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Denne_projektmappe" defaultThemeVersion="124226"/>
  <mc:AlternateContent xmlns:mc="http://schemas.openxmlformats.org/markup-compatibility/2006">
    <mc:Choice Requires="x15">
      <x15ac:absPath xmlns:x15ac="http://schemas.microsoft.com/office/spreadsheetml/2010/11/ac" url="\\file01\redirection$\Users\jael\Desktop\"/>
    </mc:Choice>
  </mc:AlternateContent>
  <xr:revisionPtr revIDLastSave="0" documentId="13_ncr:1_{9AD8E9C9-5BD7-41FD-A064-0DB98810C6AC}" xr6:coauthVersionLast="44" xr6:coauthVersionMax="44" xr10:uidLastSave="{00000000-0000-0000-0000-000000000000}"/>
  <bookViews>
    <workbookView xWindow="-120" yWindow="-120" windowWidth="29040" windowHeight="15840" xr2:uid="{00000000-000D-0000-FFFF-FFFF00000000}"/>
  </bookViews>
  <sheets>
    <sheet name="FS Aftale" sheetId="6" r:id="rId1"/>
    <sheet name="SLA" sheetId="9" r:id="rId2"/>
    <sheet name="Ydelser" sheetId="16" r:id="rId3"/>
    <sheet name="Eksport" sheetId="13" r:id="rId4"/>
    <sheet name="CSV" sheetId="10" r:id="rId5"/>
    <sheet name="MM (= Mortens mellemregninger)" sheetId="14" r:id="rId6"/>
    <sheet name="Støtteark" sheetId="5" r:id="rId7"/>
  </sheets>
  <definedNames>
    <definedName name="Aftalt" localSheetId="3">Støtteark!#REF!</definedName>
    <definedName name="Aftalt">Støtteark!#REF!</definedName>
    <definedName name="Driftskoordinator_time_pris">Støtteark!$F$8</definedName>
    <definedName name="Frekvens">Støtteark!$U$4:$U$9</definedName>
    <definedName name="Gartner_time_pris">Støtteark!$F$9</definedName>
    <definedName name="Inspektør_time_pris">Støtteark!$F$7</definedName>
    <definedName name="Servicechef_time_pris">Støtteark!$F$4</definedName>
    <definedName name="Servicemedarbejder_time_pris">Støtteark!#REF!</definedName>
    <definedName name="Timepriser">Støtteark!$F$4:$F$20</definedName>
    <definedName name="_xlnm.Print_Area" localSheetId="4">CSV!$A:$AR</definedName>
    <definedName name="_xlnm.Print_Titles" localSheetId="4">CSV!$1:$1</definedName>
    <definedName name="_xlnm.Print_Titles" localSheetId="3">Eksport!$1:$5</definedName>
    <definedName name="_xlnm.Print_Titles" localSheetId="0">'FS Aftale'!$1:$3</definedName>
    <definedName name="_xlnm.Print_Titles" localSheetId="1">SLA!$1:$3</definedName>
    <definedName name="Valgliste">IF('FS Aftale'!XFD1=Støtteark!$D$21,Støtteark!$B$22:$B$28,IF('FS Aftale'!XFD1=Støtteark!$E$21,Støtteark!$B$30:$B$35,IF('FS Aftale'!XFD1=Støtteark!$F$21,Støtteark!$B$25:$B$33,Støtteark!$B$22:$B$35)))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99" i="13" l="1"/>
  <c r="O99" i="13"/>
  <c r="N99" i="13"/>
  <c r="D99" i="13"/>
  <c r="C99" i="13"/>
  <c r="B99" i="13"/>
  <c r="Q98" i="13"/>
  <c r="O98" i="13"/>
  <c r="N98" i="13" s="1"/>
  <c r="D98" i="13"/>
  <c r="C98" i="13"/>
  <c r="B98" i="13"/>
  <c r="Q97" i="13"/>
  <c r="O97" i="13"/>
  <c r="N97" i="13"/>
  <c r="D97" i="13"/>
  <c r="C97" i="13"/>
  <c r="B97" i="13"/>
  <c r="Q96" i="13"/>
  <c r="O96" i="13"/>
  <c r="N96" i="13" s="1"/>
  <c r="D96" i="13"/>
  <c r="C96" i="13"/>
  <c r="B96" i="13"/>
  <c r="Q93" i="13"/>
  <c r="O93" i="13"/>
  <c r="N93" i="13" s="1"/>
  <c r="D93" i="13"/>
  <c r="C93" i="13"/>
  <c r="B93" i="13"/>
  <c r="Q92" i="13"/>
  <c r="O92" i="13"/>
  <c r="N92" i="13"/>
  <c r="D92" i="13"/>
  <c r="C92" i="13"/>
  <c r="B92" i="13"/>
  <c r="Q91" i="13"/>
  <c r="O91" i="13"/>
  <c r="N91" i="13" s="1"/>
  <c r="D91" i="13"/>
  <c r="C91" i="13"/>
  <c r="B91" i="13"/>
  <c r="Q90" i="13"/>
  <c r="O90" i="13"/>
  <c r="N90" i="13" s="1"/>
  <c r="D90" i="13"/>
  <c r="C90" i="13"/>
  <c r="B90" i="13"/>
  <c r="Q89" i="13"/>
  <c r="O89" i="13"/>
  <c r="N89" i="13"/>
  <c r="D89" i="13"/>
  <c r="C89" i="13"/>
  <c r="B89" i="13"/>
  <c r="Q88" i="13"/>
  <c r="O88" i="13"/>
  <c r="N88" i="13"/>
  <c r="D88" i="13"/>
  <c r="C88" i="13"/>
  <c r="B88" i="13"/>
  <c r="Q86" i="13"/>
  <c r="O86" i="13"/>
  <c r="N86" i="13"/>
  <c r="D86" i="13"/>
  <c r="C86" i="13"/>
  <c r="B86" i="13"/>
  <c r="Q85" i="13"/>
  <c r="O85" i="13"/>
  <c r="N85" i="13"/>
  <c r="C85" i="13"/>
  <c r="B85" i="13"/>
  <c r="Q84" i="13"/>
  <c r="O84" i="13"/>
  <c r="N84" i="13"/>
  <c r="C84" i="13"/>
  <c r="B84" i="13"/>
  <c r="Q83" i="13"/>
  <c r="O83" i="13"/>
  <c r="N83" i="13"/>
  <c r="C83" i="13"/>
  <c r="B83" i="13"/>
  <c r="Q82" i="13"/>
  <c r="O82" i="13"/>
  <c r="N82" i="13"/>
  <c r="C82" i="13"/>
  <c r="B82" i="13"/>
  <c r="D81" i="13"/>
  <c r="Q73" i="13"/>
  <c r="O73" i="13"/>
  <c r="N73" i="13"/>
  <c r="D73" i="13"/>
  <c r="C73" i="13"/>
  <c r="B73" i="13"/>
  <c r="Q72" i="13"/>
  <c r="O72" i="13"/>
  <c r="N72" i="13"/>
  <c r="D72" i="13"/>
  <c r="C72" i="13"/>
  <c r="B72" i="13"/>
  <c r="Q71" i="13"/>
  <c r="O71" i="13"/>
  <c r="N71" i="13"/>
  <c r="D71" i="13"/>
  <c r="C71" i="13"/>
  <c r="B71" i="13"/>
  <c r="Q70" i="13"/>
  <c r="O70" i="13"/>
  <c r="N70" i="13"/>
  <c r="D70" i="13"/>
  <c r="C70" i="13"/>
  <c r="B70" i="13"/>
  <c r="Q66" i="13"/>
  <c r="O66" i="13"/>
  <c r="N66" i="13"/>
  <c r="D66" i="13"/>
  <c r="C66" i="13"/>
  <c r="B66" i="13"/>
  <c r="Q65" i="13"/>
  <c r="O65" i="13"/>
  <c r="N65" i="13"/>
  <c r="D65" i="13"/>
  <c r="C65" i="13"/>
  <c r="B65" i="13"/>
  <c r="Q64" i="13"/>
  <c r="O64" i="13"/>
  <c r="N64" i="13"/>
  <c r="D64" i="13"/>
  <c r="C64" i="13"/>
  <c r="B64" i="13"/>
  <c r="Q63" i="13"/>
  <c r="O63" i="13"/>
  <c r="N63" i="13"/>
  <c r="D63" i="13"/>
  <c r="C63" i="13"/>
  <c r="B63" i="13"/>
  <c r="Q62" i="13"/>
  <c r="O62" i="13"/>
  <c r="N62" i="13"/>
  <c r="D62" i="13"/>
  <c r="C62" i="13"/>
  <c r="B62" i="13"/>
  <c r="Q61" i="13"/>
  <c r="O61" i="13"/>
  <c r="N61" i="13"/>
  <c r="D61" i="13"/>
  <c r="C61" i="13"/>
  <c r="B61" i="13"/>
  <c r="Q60" i="13"/>
  <c r="O60" i="13"/>
  <c r="N60" i="13"/>
  <c r="D60" i="13"/>
  <c r="C60" i="13"/>
  <c r="B60" i="13"/>
  <c r="Q59" i="13"/>
  <c r="O59" i="13"/>
  <c r="N59" i="13"/>
  <c r="D59" i="13"/>
  <c r="C59" i="13"/>
  <c r="B59" i="13"/>
  <c r="Q58" i="13"/>
  <c r="O58" i="13"/>
  <c r="N58" i="13"/>
  <c r="D58" i="13"/>
  <c r="C58" i="13"/>
  <c r="B58" i="13"/>
  <c r="Q57" i="13"/>
  <c r="O57" i="13"/>
  <c r="N57" i="13"/>
  <c r="D57" i="13"/>
  <c r="C57" i="13"/>
  <c r="B57" i="13"/>
  <c r="Q56" i="13"/>
  <c r="O56" i="13"/>
  <c r="N56" i="13"/>
  <c r="D56" i="13"/>
  <c r="C56" i="13"/>
  <c r="B56" i="13"/>
  <c r="Q55" i="13"/>
  <c r="O55" i="13"/>
  <c r="N55" i="13"/>
  <c r="D55" i="13"/>
  <c r="C55" i="13"/>
  <c r="B55" i="13"/>
  <c r="Q54" i="13"/>
  <c r="O54" i="13"/>
  <c r="N54" i="13"/>
  <c r="D54" i="13"/>
  <c r="C54" i="13"/>
  <c r="B54" i="13"/>
  <c r="Q50" i="13"/>
  <c r="O50" i="13"/>
  <c r="N50" i="13"/>
  <c r="C50" i="13"/>
  <c r="B50" i="13"/>
  <c r="D49" i="13"/>
  <c r="Q46" i="13"/>
  <c r="O46" i="13"/>
  <c r="N46" i="13"/>
  <c r="D46" i="13"/>
  <c r="C46" i="13"/>
  <c r="B46" i="13"/>
  <c r="Q45" i="13"/>
  <c r="O45" i="13"/>
  <c r="N45" i="13"/>
  <c r="D45" i="13"/>
  <c r="C45" i="13"/>
  <c r="B45" i="13"/>
  <c r="Q44" i="13"/>
  <c r="O44" i="13"/>
  <c r="N44" i="13"/>
  <c r="D44" i="13"/>
  <c r="C44" i="13"/>
  <c r="B44" i="13"/>
  <c r="Q43" i="13"/>
  <c r="O43" i="13"/>
  <c r="N43" i="13"/>
  <c r="D43" i="13"/>
  <c r="C43" i="13"/>
  <c r="B43" i="13"/>
  <c r="Q42" i="13"/>
  <c r="O42" i="13"/>
  <c r="N42" i="13"/>
  <c r="D42" i="13"/>
  <c r="C42" i="13"/>
  <c r="B42" i="13"/>
  <c r="Q41" i="13"/>
  <c r="O41" i="13"/>
  <c r="N41" i="13"/>
  <c r="D41" i="13"/>
  <c r="C41" i="13"/>
  <c r="B41" i="13"/>
  <c r="Q40" i="13"/>
  <c r="O40" i="13"/>
  <c r="N40" i="13"/>
  <c r="D40" i="13"/>
  <c r="C40" i="13"/>
  <c r="B40" i="13"/>
  <c r="Q37" i="13"/>
  <c r="O37" i="13"/>
  <c r="N37" i="13"/>
  <c r="D37" i="13"/>
  <c r="C37" i="13"/>
  <c r="B37" i="13"/>
  <c r="Q36" i="13"/>
  <c r="O36" i="13"/>
  <c r="N36" i="13" s="1"/>
  <c r="D36" i="13"/>
  <c r="C36" i="13"/>
  <c r="B36" i="13"/>
  <c r="Q35" i="13"/>
  <c r="O35" i="13"/>
  <c r="N35" i="13"/>
  <c r="D35" i="13"/>
  <c r="C35" i="13"/>
  <c r="B35" i="13"/>
  <c r="Q34" i="13"/>
  <c r="O34" i="13"/>
  <c r="N34" i="13" s="1"/>
  <c r="C34" i="13"/>
  <c r="B34" i="13"/>
  <c r="D33" i="13"/>
  <c r="G54" i="9" l="1"/>
  <c r="D125" i="9" l="1"/>
  <c r="D126" i="9"/>
  <c r="F108" i="9"/>
  <c r="F107" i="9"/>
  <c r="F88" i="9"/>
  <c r="F86" i="9"/>
  <c r="F85" i="9"/>
  <c r="F84" i="9"/>
  <c r="F83" i="9"/>
  <c r="F82" i="9"/>
  <c r="F81" i="9"/>
  <c r="D82" i="9"/>
  <c r="D81" i="9"/>
  <c r="D79" i="9"/>
  <c r="D78" i="9"/>
  <c r="D77" i="9"/>
  <c r="D76" i="9"/>
  <c r="D68" i="6" l="1"/>
  <c r="I30" i="6" l="1"/>
  <c r="Q108" i="13" l="1"/>
  <c r="Q109" i="13"/>
  <c r="Q110" i="13"/>
  <c r="Q131" i="13"/>
  <c r="Q132" i="13"/>
  <c r="Q133" i="13"/>
  <c r="Q134" i="13"/>
  <c r="Q135" i="13"/>
  <c r="Q136" i="13"/>
  <c r="Q137" i="13"/>
  <c r="Q138" i="13"/>
  <c r="Q139" i="13"/>
  <c r="Q140" i="13"/>
  <c r="Q141" i="13"/>
  <c r="Q142" i="13"/>
  <c r="Q143" i="13"/>
  <c r="Q144" i="13"/>
  <c r="Q145" i="13"/>
  <c r="Q146" i="13"/>
  <c r="Q147" i="13"/>
  <c r="Q148" i="13"/>
  <c r="Q149" i="13"/>
  <c r="Q126" i="13"/>
  <c r="Q127" i="13"/>
  <c r="Q121" i="13"/>
  <c r="Q122" i="13"/>
  <c r="Q123" i="13"/>
  <c r="Q115" i="13"/>
  <c r="Q116" i="13"/>
  <c r="Q117" i="13"/>
  <c r="Q118" i="13"/>
  <c r="Q103" i="13"/>
  <c r="Q104" i="13"/>
  <c r="Q77" i="13"/>
  <c r="Q78" i="13"/>
  <c r="Q79" i="13"/>
  <c r="Q51" i="13"/>
  <c r="Q52" i="13"/>
  <c r="Q53" i="13"/>
  <c r="Q67" i="13"/>
  <c r="Q68" i="13"/>
  <c r="Q38" i="13"/>
  <c r="Q39" i="13"/>
  <c r="Q30" i="13"/>
  <c r="Q23" i="13"/>
  <c r="Q24" i="13"/>
  <c r="Q25" i="13"/>
  <c r="Q26" i="13"/>
  <c r="Q27" i="13"/>
  <c r="Q12" i="13"/>
  <c r="Q13" i="13"/>
  <c r="Q14" i="13"/>
  <c r="Q15" i="13"/>
  <c r="Q16" i="13"/>
  <c r="Q17" i="13"/>
  <c r="Q18" i="13"/>
  <c r="Q19" i="13"/>
  <c r="Q7" i="13"/>
  <c r="Q8" i="13"/>
  <c r="J154" i="6" l="1"/>
  <c r="J155" i="6"/>
  <c r="I155" i="6"/>
  <c r="I154" i="6"/>
  <c r="C149" i="6" l="1"/>
  <c r="C148" i="6"/>
  <c r="C147" i="6"/>
  <c r="C146" i="6"/>
  <c r="C145" i="6"/>
  <c r="C144" i="6"/>
  <c r="C143" i="6"/>
  <c r="C142" i="6"/>
  <c r="C141" i="6"/>
  <c r="C140" i="6"/>
  <c r="C139" i="6"/>
  <c r="C138" i="6"/>
  <c r="C137" i="6"/>
  <c r="C136" i="6"/>
  <c r="C135" i="6"/>
  <c r="C134" i="6"/>
  <c r="C133" i="6"/>
  <c r="C132" i="6"/>
  <c r="C131" i="6"/>
  <c r="C130" i="6"/>
  <c r="B129" i="6"/>
  <c r="C127" i="6"/>
  <c r="C126" i="6"/>
  <c r="C125" i="6"/>
  <c r="B124" i="6"/>
  <c r="C123" i="6"/>
  <c r="C122" i="6"/>
  <c r="C121" i="6"/>
  <c r="C120" i="6"/>
  <c r="B119" i="6"/>
  <c r="C118" i="6"/>
  <c r="C117" i="6"/>
  <c r="C116" i="6"/>
  <c r="C115" i="6"/>
  <c r="C114" i="6"/>
  <c r="B113" i="6"/>
  <c r="B112" i="6"/>
  <c r="C110" i="6"/>
  <c r="C109" i="6"/>
  <c r="C108" i="6"/>
  <c r="C107" i="6"/>
  <c r="B106" i="6"/>
  <c r="C104" i="6"/>
  <c r="C103" i="6"/>
  <c r="C102" i="6"/>
  <c r="B101" i="6"/>
  <c r="C99" i="6"/>
  <c r="C98" i="6"/>
  <c r="C97" i="6"/>
  <c r="C96" i="6"/>
  <c r="C95" i="6"/>
  <c r="B94" i="6"/>
  <c r="C93" i="6"/>
  <c r="C92" i="6"/>
  <c r="C91" i="6"/>
  <c r="C90" i="6"/>
  <c r="C89" i="6"/>
  <c r="C88" i="6"/>
  <c r="B87" i="6"/>
  <c r="C86" i="6"/>
  <c r="C85" i="6"/>
  <c r="C84" i="6"/>
  <c r="C83" i="6"/>
  <c r="C82" i="6"/>
  <c r="C81" i="6"/>
  <c r="B80" i="6"/>
  <c r="C79" i="6"/>
  <c r="C78" i="6"/>
  <c r="C77" i="6"/>
  <c r="C76" i="6"/>
  <c r="B75" i="6"/>
  <c r="C73" i="6"/>
  <c r="C72" i="6"/>
  <c r="C71" i="6"/>
  <c r="C70" i="6"/>
  <c r="B69" i="6"/>
  <c r="C68" i="6"/>
  <c r="C67" i="6"/>
  <c r="C66" i="6"/>
  <c r="C65" i="6"/>
  <c r="C64" i="6"/>
  <c r="C63" i="6"/>
  <c r="C62" i="6"/>
  <c r="C61" i="6"/>
  <c r="C60" i="6"/>
  <c r="C59" i="6"/>
  <c r="C58" i="6"/>
  <c r="C57" i="6"/>
  <c r="C56" i="6"/>
  <c r="C55" i="6"/>
  <c r="C54" i="6"/>
  <c r="C53" i="6"/>
  <c r="C52" i="6"/>
  <c r="C51" i="6"/>
  <c r="C50" i="6"/>
  <c r="C49" i="6"/>
  <c r="B48" i="6"/>
  <c r="C46" i="6"/>
  <c r="C45" i="6"/>
  <c r="C44" i="6"/>
  <c r="C43" i="6"/>
  <c r="C42" i="6"/>
  <c r="C41" i="6"/>
  <c r="C40" i="6"/>
  <c r="C39" i="6"/>
  <c r="C38" i="6"/>
  <c r="C37" i="6"/>
  <c r="C36" i="6"/>
  <c r="C35" i="6"/>
  <c r="C34" i="6"/>
  <c r="C33" i="6"/>
  <c r="C32" i="6"/>
  <c r="B31" i="6"/>
  <c r="C30" i="6"/>
  <c r="C29" i="6"/>
  <c r="B28" i="6"/>
  <c r="C27" i="6"/>
  <c r="C26" i="6"/>
  <c r="C25" i="6"/>
  <c r="C24" i="6"/>
  <c r="C23" i="6"/>
  <c r="C22" i="6"/>
  <c r="B21" i="6"/>
  <c r="C19" i="6"/>
  <c r="C18" i="6"/>
  <c r="C17" i="6"/>
  <c r="C16" i="6"/>
  <c r="C15" i="6"/>
  <c r="C14" i="6"/>
  <c r="C13" i="6"/>
  <c r="C12" i="6"/>
  <c r="C11" i="6"/>
  <c r="B10" i="6"/>
  <c r="C8" i="6"/>
  <c r="C7" i="6"/>
  <c r="C6" i="6"/>
  <c r="B5" i="6"/>
  <c r="A5" i="6"/>
  <c r="C3" i="6"/>
  <c r="B3" i="6"/>
  <c r="A3" i="6"/>
  <c r="G149" i="9"/>
  <c r="F149" i="9"/>
  <c r="C149" i="9"/>
  <c r="G148" i="9"/>
  <c r="F148" i="9"/>
  <c r="C148" i="9"/>
  <c r="G147" i="9"/>
  <c r="F147" i="9"/>
  <c r="C147" i="9"/>
  <c r="G146" i="9"/>
  <c r="F146" i="9"/>
  <c r="C146" i="9"/>
  <c r="G145" i="9"/>
  <c r="F145" i="9"/>
  <c r="C145" i="9"/>
  <c r="G144" i="9"/>
  <c r="F144" i="9"/>
  <c r="C144" i="9"/>
  <c r="G143" i="9"/>
  <c r="F143" i="9"/>
  <c r="C143" i="9"/>
  <c r="G142" i="9"/>
  <c r="F142" i="9"/>
  <c r="C142" i="9"/>
  <c r="G141" i="9"/>
  <c r="F141" i="9"/>
  <c r="C141" i="9"/>
  <c r="G140" i="9"/>
  <c r="F140" i="9"/>
  <c r="C140" i="9"/>
  <c r="G139" i="9"/>
  <c r="F139" i="9"/>
  <c r="C139" i="9"/>
  <c r="G138" i="9"/>
  <c r="F138" i="9"/>
  <c r="C138" i="9"/>
  <c r="G137" i="9"/>
  <c r="F137" i="9"/>
  <c r="C137" i="9"/>
  <c r="G136" i="9"/>
  <c r="F136" i="9"/>
  <c r="C136" i="9"/>
  <c r="G135" i="9"/>
  <c r="F135" i="9"/>
  <c r="C135" i="9"/>
  <c r="G134" i="9"/>
  <c r="F134" i="9"/>
  <c r="C134" i="9"/>
  <c r="G133" i="9"/>
  <c r="F133" i="9"/>
  <c r="C133" i="9"/>
  <c r="G132" i="9"/>
  <c r="F132" i="9"/>
  <c r="C132" i="9"/>
  <c r="G131" i="9"/>
  <c r="F131" i="9"/>
  <c r="C131" i="9"/>
  <c r="G130" i="9"/>
  <c r="F130" i="9"/>
  <c r="C130" i="9"/>
  <c r="B129" i="9"/>
  <c r="G127" i="9"/>
  <c r="F127" i="9"/>
  <c r="C127" i="9"/>
  <c r="G126" i="9"/>
  <c r="F126" i="9"/>
  <c r="C126" i="9"/>
  <c r="G125" i="9"/>
  <c r="F125" i="9"/>
  <c r="C125" i="9"/>
  <c r="B124" i="9"/>
  <c r="G123" i="9"/>
  <c r="F123" i="9"/>
  <c r="C123" i="9"/>
  <c r="G122" i="9"/>
  <c r="F122" i="9"/>
  <c r="C122" i="9"/>
  <c r="G121" i="9"/>
  <c r="F121" i="9"/>
  <c r="C121" i="9"/>
  <c r="G120" i="9"/>
  <c r="F120" i="9"/>
  <c r="C120" i="9"/>
  <c r="B119" i="9"/>
  <c r="G118" i="9"/>
  <c r="F118" i="9"/>
  <c r="C118" i="9"/>
  <c r="G117" i="9"/>
  <c r="F117" i="9"/>
  <c r="C117" i="9"/>
  <c r="G116" i="9"/>
  <c r="F116" i="9"/>
  <c r="C116" i="9"/>
  <c r="G115" i="9"/>
  <c r="F115" i="9"/>
  <c r="C115" i="9"/>
  <c r="G114" i="9"/>
  <c r="F114" i="9"/>
  <c r="C114" i="9"/>
  <c r="B113" i="9"/>
  <c r="B112" i="9"/>
  <c r="G110" i="9"/>
  <c r="F110" i="9"/>
  <c r="C110" i="9"/>
  <c r="G109" i="9"/>
  <c r="F109" i="9"/>
  <c r="C109" i="9"/>
  <c r="G108" i="9"/>
  <c r="C108" i="9"/>
  <c r="C107" i="9"/>
  <c r="B106" i="9"/>
  <c r="G104" i="9"/>
  <c r="F104" i="9"/>
  <c r="C104" i="9"/>
  <c r="G103" i="9"/>
  <c r="F103" i="9"/>
  <c r="C103" i="9"/>
  <c r="G102" i="9"/>
  <c r="F102" i="9"/>
  <c r="C102" i="9"/>
  <c r="B101" i="9"/>
  <c r="G99" i="9"/>
  <c r="F99" i="9"/>
  <c r="C99" i="9"/>
  <c r="G98" i="9"/>
  <c r="F98" i="9"/>
  <c r="C98" i="9"/>
  <c r="F97" i="9"/>
  <c r="C97" i="9"/>
  <c r="G96" i="9"/>
  <c r="F96" i="9"/>
  <c r="C96" i="9"/>
  <c r="G95" i="9"/>
  <c r="F95" i="9"/>
  <c r="C95" i="9"/>
  <c r="B94" i="9"/>
  <c r="G93" i="9"/>
  <c r="F93" i="9"/>
  <c r="C93" i="9"/>
  <c r="F92" i="9"/>
  <c r="C92" i="9"/>
  <c r="F91" i="9"/>
  <c r="C91" i="9"/>
  <c r="F90" i="9"/>
  <c r="C90" i="9"/>
  <c r="G89" i="9"/>
  <c r="F89" i="9"/>
  <c r="C89" i="9"/>
  <c r="G88" i="9"/>
  <c r="C88" i="9"/>
  <c r="B87" i="9"/>
  <c r="C86" i="9"/>
  <c r="C85" i="9"/>
  <c r="C84" i="9"/>
  <c r="G83" i="9"/>
  <c r="C83" i="9"/>
  <c r="C82" i="9"/>
  <c r="G81" i="9"/>
  <c r="C81" i="9"/>
  <c r="B80" i="9"/>
  <c r="G79" i="9"/>
  <c r="F79" i="9"/>
  <c r="C79" i="9"/>
  <c r="F78" i="9"/>
  <c r="C78" i="9"/>
  <c r="G77" i="9"/>
  <c r="F77" i="9"/>
  <c r="C77" i="9"/>
  <c r="G76" i="9"/>
  <c r="F76" i="9"/>
  <c r="C76" i="9"/>
  <c r="B75" i="9"/>
  <c r="F73" i="9"/>
  <c r="C73" i="9"/>
  <c r="F72" i="9"/>
  <c r="C72" i="9"/>
  <c r="G71" i="9"/>
  <c r="F71" i="9"/>
  <c r="C71" i="9"/>
  <c r="F70" i="9"/>
  <c r="C70" i="9"/>
  <c r="B69" i="9"/>
  <c r="F68" i="9"/>
  <c r="C68" i="9"/>
  <c r="G67" i="9"/>
  <c r="F67" i="9"/>
  <c r="C67" i="9"/>
  <c r="F66" i="9"/>
  <c r="C66" i="9"/>
  <c r="G65" i="9"/>
  <c r="F65" i="9"/>
  <c r="C65" i="9"/>
  <c r="G64" i="9"/>
  <c r="F64" i="9"/>
  <c r="C64" i="9"/>
  <c r="G63" i="9"/>
  <c r="F63" i="9"/>
  <c r="C63" i="9"/>
  <c r="F62" i="9"/>
  <c r="C62" i="9"/>
  <c r="G61" i="9"/>
  <c r="F61" i="9"/>
  <c r="C61" i="9"/>
  <c r="G60" i="9"/>
  <c r="F60" i="9"/>
  <c r="C60" i="9"/>
  <c r="F59" i="9"/>
  <c r="C59" i="9"/>
  <c r="G58" i="9"/>
  <c r="F58" i="9"/>
  <c r="C58" i="9"/>
  <c r="F57" i="9"/>
  <c r="C57" i="9"/>
  <c r="G56" i="9"/>
  <c r="F56" i="9"/>
  <c r="C56" i="9"/>
  <c r="F55" i="9"/>
  <c r="C55" i="9"/>
  <c r="F54" i="9"/>
  <c r="C54" i="9"/>
  <c r="G53" i="9"/>
  <c r="F53" i="9"/>
  <c r="C53" i="9"/>
  <c r="G52" i="9"/>
  <c r="F52" i="9"/>
  <c r="C52" i="9"/>
  <c r="G51" i="9"/>
  <c r="F51" i="9"/>
  <c r="C51" i="9"/>
  <c r="G50" i="9"/>
  <c r="F50" i="9"/>
  <c r="C50" i="9"/>
  <c r="G49" i="9"/>
  <c r="F49" i="9"/>
  <c r="C49" i="9"/>
  <c r="B48" i="9"/>
  <c r="F46" i="9"/>
  <c r="C46" i="9"/>
  <c r="F45" i="9"/>
  <c r="C45" i="9"/>
  <c r="F44" i="9"/>
  <c r="C44" i="9"/>
  <c r="F43" i="9"/>
  <c r="C43" i="9"/>
  <c r="G42" i="9"/>
  <c r="F42" i="9"/>
  <c r="C42" i="9"/>
  <c r="G41" i="9"/>
  <c r="F41" i="9"/>
  <c r="C41" i="9"/>
  <c r="G40" i="9"/>
  <c r="F40" i="9"/>
  <c r="C40" i="9"/>
  <c r="G39" i="9"/>
  <c r="F39" i="9"/>
  <c r="C39" i="9"/>
  <c r="G38" i="9"/>
  <c r="F38" i="9"/>
  <c r="C38" i="9"/>
  <c r="G37" i="9"/>
  <c r="F37" i="9"/>
  <c r="C37" i="9"/>
  <c r="G36" i="9"/>
  <c r="F36" i="9"/>
  <c r="C36" i="9"/>
  <c r="G35" i="9"/>
  <c r="F35" i="9"/>
  <c r="C35" i="9"/>
  <c r="G34" i="9"/>
  <c r="F34" i="9"/>
  <c r="C34" i="9"/>
  <c r="G33" i="9"/>
  <c r="F33" i="9"/>
  <c r="C33" i="9"/>
  <c r="G32" i="9"/>
  <c r="F32" i="9"/>
  <c r="C32" i="9"/>
  <c r="B31" i="9"/>
  <c r="G30" i="9"/>
  <c r="F30" i="9"/>
  <c r="C30" i="9"/>
  <c r="G29" i="9"/>
  <c r="F29" i="9"/>
  <c r="C29" i="9"/>
  <c r="B28" i="9"/>
  <c r="G27" i="9"/>
  <c r="F27" i="9"/>
  <c r="C27" i="9"/>
  <c r="G26" i="9"/>
  <c r="F26" i="9"/>
  <c r="C26" i="9"/>
  <c r="G25" i="9"/>
  <c r="F25" i="9"/>
  <c r="C25" i="9"/>
  <c r="G24" i="9"/>
  <c r="F24" i="9"/>
  <c r="C24" i="9"/>
  <c r="G23" i="9"/>
  <c r="F23" i="9"/>
  <c r="C23" i="9"/>
  <c r="G22" i="9"/>
  <c r="F22" i="9"/>
  <c r="C22" i="9"/>
  <c r="B21" i="9"/>
  <c r="G19" i="9"/>
  <c r="F19" i="9"/>
  <c r="C19" i="9"/>
  <c r="G18" i="9"/>
  <c r="F18" i="9"/>
  <c r="C18" i="9"/>
  <c r="G17" i="9"/>
  <c r="F17" i="9"/>
  <c r="C17" i="9"/>
  <c r="G16" i="9"/>
  <c r="F16" i="9"/>
  <c r="C16" i="9"/>
  <c r="G15" i="9"/>
  <c r="F15" i="9"/>
  <c r="C15" i="9"/>
  <c r="G14" i="9"/>
  <c r="F14" i="9"/>
  <c r="C14" i="9"/>
  <c r="G13" i="9"/>
  <c r="F13" i="9"/>
  <c r="C13" i="9"/>
  <c r="G12" i="9"/>
  <c r="F12" i="9"/>
  <c r="C12" i="9"/>
  <c r="G11" i="9"/>
  <c r="F11" i="9"/>
  <c r="C11" i="9"/>
  <c r="B10" i="9"/>
  <c r="G8" i="9"/>
  <c r="F8" i="9"/>
  <c r="C8" i="9"/>
  <c r="G7" i="9"/>
  <c r="F7" i="9"/>
  <c r="C7" i="9"/>
  <c r="G6" i="9"/>
  <c r="F6" i="9"/>
  <c r="C6" i="9"/>
  <c r="B5" i="9"/>
  <c r="A5" i="9"/>
  <c r="C3" i="9"/>
  <c r="C149" i="13"/>
  <c r="C148" i="13"/>
  <c r="C147" i="13"/>
  <c r="C146" i="13"/>
  <c r="C145" i="13"/>
  <c r="C144" i="13"/>
  <c r="C143" i="13"/>
  <c r="C142" i="13"/>
  <c r="C141" i="13"/>
  <c r="C140" i="13"/>
  <c r="C139" i="13"/>
  <c r="C138" i="13"/>
  <c r="C137" i="13"/>
  <c r="C136" i="13"/>
  <c r="C135" i="13"/>
  <c r="C134" i="13"/>
  <c r="C133" i="13"/>
  <c r="C132" i="13"/>
  <c r="C131" i="13"/>
  <c r="C130" i="13"/>
  <c r="C127" i="13"/>
  <c r="C126" i="13"/>
  <c r="C125" i="13"/>
  <c r="C123" i="13"/>
  <c r="C122" i="13"/>
  <c r="C121" i="13"/>
  <c r="C120" i="13"/>
  <c r="C118" i="13"/>
  <c r="C117" i="13"/>
  <c r="C116" i="13"/>
  <c r="C115" i="13"/>
  <c r="C114" i="13"/>
  <c r="C110" i="13"/>
  <c r="C109" i="13"/>
  <c r="C108" i="13"/>
  <c r="C107" i="13"/>
  <c r="C104" i="13"/>
  <c r="C103" i="13"/>
  <c r="C102" i="13"/>
  <c r="C95" i="13"/>
  <c r="C79" i="13"/>
  <c r="C78" i="13"/>
  <c r="C77" i="13"/>
  <c r="C76" i="13"/>
  <c r="C68" i="13"/>
  <c r="C67" i="13"/>
  <c r="C53" i="13"/>
  <c r="C52" i="13"/>
  <c r="C51" i="13"/>
  <c r="C39" i="13"/>
  <c r="C38" i="13"/>
  <c r="C32" i="13"/>
  <c r="C30" i="13"/>
  <c r="C29" i="13"/>
  <c r="C27" i="13"/>
  <c r="C26" i="13"/>
  <c r="C25" i="13"/>
  <c r="C24" i="13"/>
  <c r="C23" i="13"/>
  <c r="C22" i="13"/>
  <c r="C19" i="13"/>
  <c r="C18" i="13"/>
  <c r="C17" i="13"/>
  <c r="C16" i="13"/>
  <c r="C15" i="13"/>
  <c r="C14" i="13"/>
  <c r="C13" i="13"/>
  <c r="C12" i="13"/>
  <c r="C11" i="13"/>
  <c r="C8" i="13"/>
  <c r="C7" i="13"/>
  <c r="C6" i="13"/>
  <c r="C14" i="14"/>
  <c r="C11" i="14"/>
  <c r="C8" i="14"/>
  <c r="C5" i="14"/>
  <c r="M12" i="5"/>
  <c r="M11" i="5"/>
  <c r="M10" i="5"/>
  <c r="L9" i="5"/>
  <c r="P7" i="5"/>
  <c r="M7" i="5"/>
  <c r="P6" i="5"/>
  <c r="M6" i="5"/>
  <c r="P5" i="5"/>
  <c r="M5" i="5"/>
  <c r="P4" i="5"/>
  <c r="L4" i="5"/>
  <c r="G97" i="9"/>
  <c r="G92" i="9"/>
  <c r="G91" i="9"/>
  <c r="G90" i="9"/>
  <c r="G86" i="9"/>
  <c r="G85" i="9"/>
  <c r="G84" i="9"/>
  <c r="G82" i="9"/>
  <c r="G78" i="9"/>
  <c r="G73" i="9"/>
  <c r="G72" i="9"/>
  <c r="G70" i="9"/>
  <c r="G66" i="9"/>
  <c r="G62" i="9"/>
  <c r="G59" i="9"/>
  <c r="G46" i="9"/>
  <c r="G45" i="9"/>
  <c r="G44" i="9"/>
  <c r="G43" i="9"/>
  <c r="A48" i="6"/>
  <c r="B8" i="13"/>
  <c r="G1" i="16"/>
  <c r="F1" i="16"/>
  <c r="E1" i="16"/>
  <c r="D1" i="16"/>
  <c r="C1" i="16"/>
  <c r="B1" i="16"/>
  <c r="A1" i="16"/>
  <c r="A10" i="6" l="1"/>
  <c r="A10" i="9"/>
  <c r="A8" i="6"/>
  <c r="B6" i="13"/>
  <c r="A7" i="9"/>
  <c r="A6" i="6"/>
  <c r="A6" i="9"/>
  <c r="A7" i="6"/>
  <c r="B7" i="13"/>
  <c r="A8" i="9"/>
  <c r="A21" i="9"/>
  <c r="B5" i="14"/>
  <c r="A21" i="6"/>
  <c r="B8" i="14"/>
  <c r="A48" i="9"/>
  <c r="A11" i="9" l="1"/>
  <c r="B11" i="13"/>
  <c r="A11" i="6"/>
  <c r="A23" i="6"/>
  <c r="B22" i="13"/>
  <c r="A22" i="9"/>
  <c r="A22" i="6"/>
  <c r="A49" i="6"/>
  <c r="A49" i="9"/>
  <c r="B11" i="14"/>
  <c r="A75" i="9"/>
  <c r="A75" i="6"/>
  <c r="A1" i="6"/>
  <c r="A12" i="9" l="1"/>
  <c r="A12" i="6"/>
  <c r="B12" i="13"/>
  <c r="A50" i="6"/>
  <c r="A50" i="9"/>
  <c r="A13" i="9"/>
  <c r="A15" i="6"/>
  <c r="A14" i="6"/>
  <c r="A23" i="9"/>
  <c r="B23" i="13"/>
  <c r="A13" i="6"/>
  <c r="B13" i="13"/>
  <c r="A14" i="9"/>
  <c r="B14" i="13"/>
  <c r="B51" i="13"/>
  <c r="B77" i="13"/>
  <c r="A76" i="9"/>
  <c r="B76" i="13"/>
  <c r="A76" i="6"/>
  <c r="A101" i="6"/>
  <c r="A101" i="9"/>
  <c r="D17" i="14"/>
  <c r="I149" i="6"/>
  <c r="I148" i="6"/>
  <c r="I147" i="6"/>
  <c r="I146" i="6"/>
  <c r="I145" i="6"/>
  <c r="I144" i="6"/>
  <c r="I143" i="6"/>
  <c r="I142" i="6"/>
  <c r="I141" i="6"/>
  <c r="I140" i="6"/>
  <c r="I139" i="6"/>
  <c r="I138" i="6"/>
  <c r="I137" i="6"/>
  <c r="I136" i="6"/>
  <c r="I135" i="6"/>
  <c r="I134" i="6"/>
  <c r="I133" i="6"/>
  <c r="I132" i="6"/>
  <c r="I131" i="6"/>
  <c r="I130" i="6"/>
  <c r="I127" i="6"/>
  <c r="I126" i="6"/>
  <c r="I125" i="6"/>
  <c r="I123" i="6"/>
  <c r="I122" i="6"/>
  <c r="I121" i="6"/>
  <c r="I120" i="6"/>
  <c r="I118" i="6"/>
  <c r="I117" i="6"/>
  <c r="I116" i="6"/>
  <c r="I115" i="6"/>
  <c r="I114" i="6"/>
  <c r="I110" i="6"/>
  <c r="I109" i="6"/>
  <c r="I108" i="6"/>
  <c r="I107" i="6"/>
  <c r="I104" i="6"/>
  <c r="I103" i="6"/>
  <c r="I102" i="6"/>
  <c r="I99" i="6"/>
  <c r="I98" i="6"/>
  <c r="I97" i="6"/>
  <c r="I96" i="6"/>
  <c r="I95" i="6"/>
  <c r="I93" i="6"/>
  <c r="I92" i="6"/>
  <c r="I91" i="6"/>
  <c r="I90" i="6"/>
  <c r="I89" i="6"/>
  <c r="I88" i="6"/>
  <c r="I86" i="6"/>
  <c r="I85" i="6"/>
  <c r="I84" i="6"/>
  <c r="I83" i="6"/>
  <c r="I82" i="6"/>
  <c r="I81" i="6"/>
  <c r="I79" i="6"/>
  <c r="I78" i="6"/>
  <c r="I77" i="6"/>
  <c r="I76" i="6"/>
  <c r="I73" i="6"/>
  <c r="I72" i="6"/>
  <c r="I71" i="6"/>
  <c r="I70" i="6"/>
  <c r="I67" i="6"/>
  <c r="I66" i="6"/>
  <c r="I65" i="6"/>
  <c r="I64" i="6"/>
  <c r="I63" i="6"/>
  <c r="I62" i="6"/>
  <c r="I61" i="6"/>
  <c r="I60" i="6"/>
  <c r="I59" i="6"/>
  <c r="I58" i="6"/>
  <c r="I57" i="6"/>
  <c r="I56" i="6"/>
  <c r="I55" i="6"/>
  <c r="I54" i="6"/>
  <c r="I53" i="6"/>
  <c r="I52" i="6"/>
  <c r="I51" i="6"/>
  <c r="I50" i="6"/>
  <c r="I49" i="6"/>
  <c r="I46" i="6"/>
  <c r="I45" i="6"/>
  <c r="I44" i="6"/>
  <c r="I43" i="6"/>
  <c r="I42" i="6"/>
  <c r="I41" i="6"/>
  <c r="I40" i="6"/>
  <c r="I39" i="6"/>
  <c r="I38" i="6"/>
  <c r="I37" i="6"/>
  <c r="I36" i="6"/>
  <c r="I35" i="6"/>
  <c r="I34" i="6"/>
  <c r="I29" i="6"/>
  <c r="I27" i="6"/>
  <c r="I26" i="6"/>
  <c r="I25" i="6"/>
  <c r="I24" i="6"/>
  <c r="I23" i="6"/>
  <c r="I22" i="6"/>
  <c r="I19" i="6"/>
  <c r="I18" i="6"/>
  <c r="I17" i="6"/>
  <c r="I16" i="6"/>
  <c r="I15" i="6"/>
  <c r="I14" i="6"/>
  <c r="I13" i="6"/>
  <c r="I12" i="6"/>
  <c r="I11" i="6"/>
  <c r="I8" i="6"/>
  <c r="I7" i="6"/>
  <c r="I6" i="6"/>
  <c r="B15" i="13" l="1"/>
  <c r="A15" i="9"/>
  <c r="B16" i="13"/>
  <c r="A77" i="9"/>
  <c r="A51" i="6"/>
  <c r="A52" i="9"/>
  <c r="A51" i="9"/>
  <c r="A24" i="9"/>
  <c r="A24" i="6"/>
  <c r="B24" i="13"/>
  <c r="A77" i="6"/>
  <c r="B104" i="13"/>
  <c r="B102" i="13"/>
  <c r="A102" i="6"/>
  <c r="A102" i="9"/>
  <c r="A106" i="6"/>
  <c r="A106" i="9"/>
  <c r="G1" i="14"/>
  <c r="F1" i="14"/>
  <c r="E1" i="14"/>
  <c r="D1" i="14"/>
  <c r="C1" i="14"/>
  <c r="B1" i="14"/>
  <c r="A1" i="14"/>
  <c r="A16" i="9" l="1"/>
  <c r="A16" i="6"/>
  <c r="B79" i="13"/>
  <c r="A79" i="6"/>
  <c r="B52" i="13"/>
  <c r="A52" i="6"/>
  <c r="A79" i="9"/>
  <c r="A80" i="9"/>
  <c r="A78" i="6"/>
  <c r="A78" i="9"/>
  <c r="A80" i="6"/>
  <c r="A81" i="6"/>
  <c r="A81" i="9"/>
  <c r="B78" i="13"/>
  <c r="B25" i="13"/>
  <c r="A25" i="6"/>
  <c r="A25" i="9"/>
  <c r="A103" i="6"/>
  <c r="A103" i="9"/>
  <c r="B103" i="13"/>
  <c r="A104" i="6"/>
  <c r="A104" i="9"/>
  <c r="A112" i="9"/>
  <c r="A112" i="6"/>
  <c r="A108" i="9"/>
  <c r="A107" i="9"/>
  <c r="A107" i="6"/>
  <c r="B107" i="13"/>
  <c r="A82" i="9" l="1"/>
  <c r="A17" i="6"/>
  <c r="B17" i="13"/>
  <c r="A17" i="9"/>
  <c r="A82" i="6"/>
  <c r="A53" i="9"/>
  <c r="A53" i="6"/>
  <c r="B53" i="13"/>
  <c r="A26" i="9"/>
  <c r="A26" i="6"/>
  <c r="B26" i="13"/>
  <c r="A108" i="6"/>
  <c r="A109" i="6"/>
  <c r="B108" i="13"/>
  <c r="B130" i="13"/>
  <c r="A129" i="9"/>
  <c r="B14" i="14"/>
  <c r="A129" i="6"/>
  <c r="A114" i="9"/>
  <c r="A113" i="9"/>
  <c r="I33" i="6"/>
  <c r="I32" i="6"/>
  <c r="B116" i="13" l="1"/>
  <c r="B18" i="13"/>
  <c r="A18" i="6"/>
  <c r="A18" i="9"/>
  <c r="B109" i="13"/>
  <c r="A131" i="9"/>
  <c r="A54" i="6"/>
  <c r="A54" i="9"/>
  <c r="A83" i="6"/>
  <c r="A83" i="9"/>
  <c r="B114" i="13"/>
  <c r="A27" i="6"/>
  <c r="A27" i="9"/>
  <c r="B27" i="13"/>
  <c r="A109" i="9"/>
  <c r="A110" i="9"/>
  <c r="A130" i="6"/>
  <c r="A130" i="9"/>
  <c r="E35" i="5"/>
  <c r="B35" i="5"/>
  <c r="E34" i="5"/>
  <c r="B34" i="5"/>
  <c r="F33" i="5"/>
  <c r="E33" i="5"/>
  <c r="B33" i="5"/>
  <c r="F32" i="5"/>
  <c r="E32" i="5"/>
  <c r="B32" i="5"/>
  <c r="F31" i="5"/>
  <c r="E31" i="5"/>
  <c r="B31" i="5"/>
  <c r="F30" i="5"/>
  <c r="E30" i="5"/>
  <c r="B30" i="5"/>
  <c r="F29" i="5"/>
  <c r="F28" i="5"/>
  <c r="D28" i="5"/>
  <c r="B28" i="5"/>
  <c r="F27" i="5"/>
  <c r="D27" i="5"/>
  <c r="B27" i="5"/>
  <c r="F26" i="5"/>
  <c r="D26" i="5"/>
  <c r="B26" i="5"/>
  <c r="F25" i="5"/>
  <c r="D25" i="5"/>
  <c r="D24" i="5"/>
  <c r="B24" i="5"/>
  <c r="D23" i="5"/>
  <c r="B23" i="5"/>
  <c r="D22" i="5"/>
  <c r="B22" i="5"/>
  <c r="B25" i="5" l="1"/>
  <c r="B115" i="13"/>
  <c r="A115" i="9"/>
  <c r="A117" i="9"/>
  <c r="A116" i="9"/>
  <c r="A131" i="6"/>
  <c r="A137" i="6"/>
  <c r="B131" i="13"/>
  <c r="A19" i="9"/>
  <c r="B19" i="13"/>
  <c r="A19" i="6"/>
  <c r="A55" i="9"/>
  <c r="A55" i="6"/>
  <c r="B110" i="13"/>
  <c r="A28" i="6"/>
  <c r="A28" i="9"/>
  <c r="A84" i="9"/>
  <c r="A84" i="6"/>
  <c r="A110" i="6"/>
  <c r="Q6" i="13"/>
  <c r="B133" i="13" l="1"/>
  <c r="A134" i="9"/>
  <c r="A136" i="6"/>
  <c r="A133" i="6"/>
  <c r="B132" i="13"/>
  <c r="B134" i="13"/>
  <c r="A136" i="9"/>
  <c r="A132" i="6"/>
  <c r="A137" i="9"/>
  <c r="B136" i="13"/>
  <c r="A134" i="6"/>
  <c r="B118" i="13"/>
  <c r="B117" i="13"/>
  <c r="A135" i="6"/>
  <c r="B137" i="13"/>
  <c r="A132" i="9"/>
  <c r="A135" i="9"/>
  <c r="A133" i="9"/>
  <c r="B135" i="13"/>
  <c r="A149" i="6"/>
  <c r="A56" i="6"/>
  <c r="A56" i="9"/>
  <c r="A85" i="6"/>
  <c r="A85" i="9"/>
  <c r="A29" i="6"/>
  <c r="A29" i="9"/>
  <c r="B29" i="13"/>
  <c r="C15" i="5"/>
  <c r="A118" i="9" l="1"/>
  <c r="A141" i="6"/>
  <c r="A143" i="9"/>
  <c r="A144" i="6"/>
  <c r="B149" i="13"/>
  <c r="B146" i="13"/>
  <c r="A147" i="6"/>
  <c r="B147" i="13"/>
  <c r="A139" i="6"/>
  <c r="A140" i="9"/>
  <c r="A146" i="9"/>
  <c r="A139" i="9"/>
  <c r="A148" i="9"/>
  <c r="B143" i="13"/>
  <c r="A149" i="9"/>
  <c r="A138" i="6"/>
  <c r="B138" i="13"/>
  <c r="A148" i="6"/>
  <c r="A142" i="9"/>
  <c r="A138" i="9"/>
  <c r="B144" i="13"/>
  <c r="B141" i="13"/>
  <c r="A142" i="6"/>
  <c r="B148" i="13"/>
  <c r="A144" i="9"/>
  <c r="A145" i="9"/>
  <c r="A147" i="9"/>
  <c r="B145" i="13"/>
  <c r="B142" i="13"/>
  <c r="A145" i="6"/>
  <c r="B140" i="13"/>
  <c r="A141" i="9"/>
  <c r="A143" i="6"/>
  <c r="A146" i="6"/>
  <c r="B139" i="13"/>
  <c r="A140" i="6"/>
  <c r="A57" i="9"/>
  <c r="A57" i="6"/>
  <c r="A30" i="9"/>
  <c r="B30" i="13"/>
  <c r="A30" i="6"/>
  <c r="A86" i="9"/>
  <c r="A86" i="6"/>
  <c r="E149" i="13"/>
  <c r="E148" i="13"/>
  <c r="E147" i="13"/>
  <c r="E146" i="13"/>
  <c r="E145" i="13"/>
  <c r="E144" i="13"/>
  <c r="E143" i="13"/>
  <c r="E142" i="13"/>
  <c r="E141" i="13"/>
  <c r="E140" i="13"/>
  <c r="E139" i="13"/>
  <c r="E138" i="13"/>
  <c r="E137" i="13"/>
  <c r="E136" i="13"/>
  <c r="E135" i="13"/>
  <c r="E134" i="13"/>
  <c r="E133" i="13"/>
  <c r="E132" i="13"/>
  <c r="E131" i="13"/>
  <c r="E130" i="13"/>
  <c r="E99" i="13"/>
  <c r="E98" i="13"/>
  <c r="E97" i="13"/>
  <c r="E96" i="13"/>
  <c r="E95" i="13"/>
  <c r="E93" i="13"/>
  <c r="E92" i="13"/>
  <c r="E91" i="13"/>
  <c r="E90" i="13"/>
  <c r="E89" i="13"/>
  <c r="E88" i="13"/>
  <c r="E86" i="13"/>
  <c r="E85" i="13"/>
  <c r="E84" i="13"/>
  <c r="E83" i="13"/>
  <c r="E82" i="13"/>
  <c r="E81" i="13"/>
  <c r="E79" i="13"/>
  <c r="E78" i="13"/>
  <c r="E77" i="13"/>
  <c r="E76" i="13"/>
  <c r="E73" i="13"/>
  <c r="E72" i="13"/>
  <c r="E71" i="13"/>
  <c r="E70" i="13"/>
  <c r="E67" i="13"/>
  <c r="E66" i="13"/>
  <c r="E65" i="13"/>
  <c r="E64" i="13"/>
  <c r="E63" i="13"/>
  <c r="E62" i="13"/>
  <c r="E61" i="13"/>
  <c r="E60" i="13"/>
  <c r="E59" i="13"/>
  <c r="E58" i="13"/>
  <c r="E57" i="13"/>
  <c r="E56" i="13"/>
  <c r="E55" i="13"/>
  <c r="E54" i="13"/>
  <c r="E53" i="13"/>
  <c r="E52" i="13"/>
  <c r="E51" i="13"/>
  <c r="E50" i="13"/>
  <c r="E49" i="13"/>
  <c r="E46" i="13"/>
  <c r="E45" i="13"/>
  <c r="E44" i="13"/>
  <c r="E43" i="13"/>
  <c r="E42" i="13"/>
  <c r="E41" i="13"/>
  <c r="E40" i="13"/>
  <c r="E39" i="13"/>
  <c r="E38" i="13"/>
  <c r="E37" i="13"/>
  <c r="E36" i="13"/>
  <c r="E35" i="13"/>
  <c r="E34" i="13"/>
  <c r="E32" i="13"/>
  <c r="E22" i="13"/>
  <c r="O149" i="13"/>
  <c r="O148" i="13"/>
  <c r="O147" i="13"/>
  <c r="O146" i="13"/>
  <c r="O145" i="13"/>
  <c r="O144" i="13"/>
  <c r="O143" i="13"/>
  <c r="O142" i="13"/>
  <c r="O141" i="13"/>
  <c r="O140" i="13"/>
  <c r="O139" i="13"/>
  <c r="O138" i="13"/>
  <c r="O137" i="13"/>
  <c r="O136" i="13"/>
  <c r="O135" i="13"/>
  <c r="O134" i="13"/>
  <c r="O133" i="13"/>
  <c r="O132" i="13"/>
  <c r="O131" i="13"/>
  <c r="O130" i="13"/>
  <c r="O127" i="13"/>
  <c r="O126" i="13"/>
  <c r="O125" i="13"/>
  <c r="O123" i="13"/>
  <c r="O122" i="13"/>
  <c r="O121" i="13"/>
  <c r="O120" i="13"/>
  <c r="O118" i="13"/>
  <c r="O117" i="13"/>
  <c r="O116" i="13"/>
  <c r="O115" i="13"/>
  <c r="O114" i="13"/>
  <c r="O110" i="13"/>
  <c r="O109" i="13"/>
  <c r="O108" i="13"/>
  <c r="O107" i="13"/>
  <c r="O104" i="13"/>
  <c r="O103" i="13"/>
  <c r="O102" i="13"/>
  <c r="O95" i="13"/>
  <c r="O79" i="13"/>
  <c r="O78" i="13"/>
  <c r="O77" i="13"/>
  <c r="O76" i="13"/>
  <c r="O67" i="13"/>
  <c r="O53" i="13"/>
  <c r="O52" i="13"/>
  <c r="O51" i="13"/>
  <c r="O39" i="13"/>
  <c r="N39" i="13" s="1"/>
  <c r="AD39" i="13" s="1"/>
  <c r="O38" i="13"/>
  <c r="O32" i="13"/>
  <c r="O30" i="13"/>
  <c r="O29" i="13"/>
  <c r="O27" i="13"/>
  <c r="O26" i="13"/>
  <c r="O25" i="13"/>
  <c r="O24" i="13"/>
  <c r="O23" i="13"/>
  <c r="O22" i="13"/>
  <c r="O19" i="13"/>
  <c r="O18" i="13"/>
  <c r="O17" i="13"/>
  <c r="O16" i="13"/>
  <c r="O15" i="13"/>
  <c r="O14" i="13"/>
  <c r="O13" i="13"/>
  <c r="O12" i="13"/>
  <c r="O11" i="13"/>
  <c r="O8" i="13"/>
  <c r="O7" i="13"/>
  <c r="N51" i="13" l="1"/>
  <c r="AD51" i="13" s="1"/>
  <c r="N38" i="13"/>
  <c r="AD38" i="13" s="1"/>
  <c r="N53" i="13"/>
  <c r="AD53" i="13" s="1"/>
  <c r="N131" i="13"/>
  <c r="AD131" i="13" s="1"/>
  <c r="N139" i="13"/>
  <c r="AD139" i="13" s="1"/>
  <c r="N147" i="13"/>
  <c r="AD147" i="13" s="1"/>
  <c r="N132" i="13"/>
  <c r="AD132" i="13" s="1"/>
  <c r="N140" i="13"/>
  <c r="AD140" i="13" s="1"/>
  <c r="N148" i="13"/>
  <c r="AD148" i="13" s="1"/>
  <c r="AB49" i="13"/>
  <c r="AK65" i="13"/>
  <c r="AD86" i="13"/>
  <c r="N95" i="13"/>
  <c r="AK95" i="13" s="1"/>
  <c r="N134" i="13"/>
  <c r="AC134" i="13" s="1"/>
  <c r="N142" i="13"/>
  <c r="AD58" i="13"/>
  <c r="AB97" i="13"/>
  <c r="N52" i="13"/>
  <c r="AA41" i="13"/>
  <c r="AK46" i="13"/>
  <c r="AA34" i="13"/>
  <c r="AJ60" i="13"/>
  <c r="AD90" i="13"/>
  <c r="AC43" i="13"/>
  <c r="AA44" i="13"/>
  <c r="AA54" i="13"/>
  <c r="AD72" i="13"/>
  <c r="AC83" i="13"/>
  <c r="AB64" i="13"/>
  <c r="N77" i="13"/>
  <c r="AB63" i="13"/>
  <c r="AA73" i="13"/>
  <c r="AB84" i="13"/>
  <c r="AA93" i="13"/>
  <c r="AG39" i="13"/>
  <c r="AL39" i="13"/>
  <c r="AF39" i="13"/>
  <c r="AM39" i="13"/>
  <c r="AE39" i="13"/>
  <c r="AI39" i="13"/>
  <c r="AH39" i="13"/>
  <c r="AA39" i="13"/>
  <c r="AK39" i="13"/>
  <c r="AC39" i="13"/>
  <c r="AJ39" i="13"/>
  <c r="AB39" i="13"/>
  <c r="N143" i="13"/>
  <c r="AD143" i="13" s="1"/>
  <c r="N78" i="13"/>
  <c r="AD78" i="13" s="1"/>
  <c r="N79" i="13"/>
  <c r="AD79" i="13" s="1"/>
  <c r="N133" i="13"/>
  <c r="AD133" i="13" s="1"/>
  <c r="N141" i="13"/>
  <c r="AD141" i="13" s="1"/>
  <c r="N149" i="13"/>
  <c r="AD149" i="13" s="1"/>
  <c r="N136" i="13"/>
  <c r="AD136" i="13" s="1"/>
  <c r="N144" i="13"/>
  <c r="AD144" i="13" s="1"/>
  <c r="N145" i="13"/>
  <c r="AD145" i="13" s="1"/>
  <c r="N76" i="13"/>
  <c r="AD76" i="13" s="1"/>
  <c r="N130" i="13"/>
  <c r="AD130" i="13" s="1"/>
  <c r="N138" i="13"/>
  <c r="AD138" i="13" s="1"/>
  <c r="N146" i="13"/>
  <c r="AD146" i="13" s="1"/>
  <c r="N135" i="13"/>
  <c r="AD135" i="13" s="1"/>
  <c r="N67" i="13"/>
  <c r="AD67" i="13" s="1"/>
  <c r="N137" i="13"/>
  <c r="AD137" i="13" s="1"/>
  <c r="N22" i="13"/>
  <c r="AD22" i="13" s="1"/>
  <c r="N32" i="13"/>
  <c r="AD32" i="13" s="1"/>
  <c r="A119" i="9"/>
  <c r="A58" i="6"/>
  <c r="A58" i="9"/>
  <c r="A87" i="9"/>
  <c r="A87" i="6"/>
  <c r="A31" i="9"/>
  <c r="A31" i="6"/>
  <c r="A120" i="9"/>
  <c r="B120" i="13"/>
  <c r="D149" i="13"/>
  <c r="D148" i="13"/>
  <c r="D147" i="13"/>
  <c r="D146" i="13"/>
  <c r="D145" i="13"/>
  <c r="D144" i="13"/>
  <c r="D143" i="13"/>
  <c r="D142" i="13"/>
  <c r="D141" i="13"/>
  <c r="D140" i="13"/>
  <c r="D139" i="13"/>
  <c r="D138" i="13"/>
  <c r="D137" i="13"/>
  <c r="D136" i="13"/>
  <c r="D135" i="13"/>
  <c r="D134" i="13"/>
  <c r="D133" i="13"/>
  <c r="D132" i="13"/>
  <c r="D131" i="13"/>
  <c r="D130" i="13"/>
  <c r="D127" i="13"/>
  <c r="D126" i="13"/>
  <c r="D125" i="13"/>
  <c r="D123" i="13"/>
  <c r="D122" i="13"/>
  <c r="D121" i="13"/>
  <c r="D120" i="13"/>
  <c r="D118" i="13"/>
  <c r="D117" i="13"/>
  <c r="D116" i="13"/>
  <c r="D115" i="13"/>
  <c r="D114" i="13"/>
  <c r="D110" i="13"/>
  <c r="D109" i="13"/>
  <c r="D108" i="13"/>
  <c r="D107" i="13"/>
  <c r="D104" i="13"/>
  <c r="D103" i="13"/>
  <c r="D102" i="13"/>
  <c r="D95" i="13"/>
  <c r="D79" i="13"/>
  <c r="D78" i="13"/>
  <c r="D77" i="13"/>
  <c r="D76" i="13"/>
  <c r="D67" i="13"/>
  <c r="D53" i="13"/>
  <c r="D52" i="13"/>
  <c r="D51" i="13"/>
  <c r="D39" i="13"/>
  <c r="D38" i="13"/>
  <c r="D32" i="13"/>
  <c r="D29" i="13"/>
  <c r="D27" i="13"/>
  <c r="D26" i="13"/>
  <c r="D25" i="13"/>
  <c r="D24" i="13"/>
  <c r="D23" i="13"/>
  <c r="D22" i="13"/>
  <c r="D19" i="13"/>
  <c r="D18" i="13"/>
  <c r="D17" i="13"/>
  <c r="D16" i="13"/>
  <c r="D15" i="13"/>
  <c r="D14" i="13"/>
  <c r="D13" i="13"/>
  <c r="D12" i="13"/>
  <c r="D11" i="13"/>
  <c r="D8" i="13"/>
  <c r="D7" i="13"/>
  <c r="AK51" i="13" l="1"/>
  <c r="AE51" i="13"/>
  <c r="AB51" i="13"/>
  <c r="AL38" i="13"/>
  <c r="AA51" i="13"/>
  <c r="AL131" i="13"/>
  <c r="AK38" i="13"/>
  <c r="AM38" i="13"/>
  <c r="AF38" i="13"/>
  <c r="AA38" i="13"/>
  <c r="AI38" i="13"/>
  <c r="AH38" i="13"/>
  <c r="AJ38" i="13"/>
  <c r="AE38" i="13"/>
  <c r="AB38" i="13"/>
  <c r="AC38" i="13"/>
  <c r="AG38" i="13"/>
  <c r="AM51" i="13"/>
  <c r="AF51" i="13"/>
  <c r="AJ51" i="13"/>
  <c r="AI51" i="13"/>
  <c r="AC51" i="13"/>
  <c r="AG51" i="13"/>
  <c r="AL51" i="13"/>
  <c r="AH51" i="13"/>
  <c r="AA131" i="13"/>
  <c r="AI131" i="13"/>
  <c r="AE131" i="13"/>
  <c r="AB131" i="13"/>
  <c r="AF131" i="13"/>
  <c r="AM131" i="13"/>
  <c r="AG131" i="13"/>
  <c r="AM139" i="13"/>
  <c r="AK131" i="13"/>
  <c r="AJ131" i="13"/>
  <c r="AH131" i="13"/>
  <c r="AG139" i="13"/>
  <c r="AF53" i="13"/>
  <c r="AB53" i="13"/>
  <c r="AA53" i="13"/>
  <c r="AL53" i="13"/>
  <c r="AI53" i="13"/>
  <c r="AH53" i="13"/>
  <c r="AE53" i="13"/>
  <c r="AK53" i="13"/>
  <c r="AJ53" i="13"/>
  <c r="AG53" i="13"/>
  <c r="AC53" i="13"/>
  <c r="AM53" i="13"/>
  <c r="AC131" i="13"/>
  <c r="AA132" i="13"/>
  <c r="AL139" i="13"/>
  <c r="AJ139" i="13"/>
  <c r="AJ147" i="13"/>
  <c r="AI147" i="13"/>
  <c r="AE147" i="13"/>
  <c r="AA147" i="13"/>
  <c r="AF148" i="13"/>
  <c r="AC139" i="13"/>
  <c r="AI132" i="13"/>
  <c r="AH139" i="13"/>
  <c r="AM140" i="13"/>
  <c r="AA139" i="13"/>
  <c r="AB139" i="13"/>
  <c r="AK132" i="13"/>
  <c r="AK139" i="13"/>
  <c r="AI139" i="13"/>
  <c r="AC140" i="13"/>
  <c r="AE139" i="13"/>
  <c r="AL132" i="13"/>
  <c r="AB140" i="13"/>
  <c r="AM148" i="13"/>
  <c r="AG140" i="13"/>
  <c r="AF139" i="13"/>
  <c r="AC132" i="13"/>
  <c r="AF140" i="13"/>
  <c r="AH140" i="13"/>
  <c r="AE132" i="13"/>
  <c r="AA140" i="13"/>
  <c r="AM132" i="13"/>
  <c r="AH148" i="13"/>
  <c r="AF132" i="13"/>
  <c r="AI148" i="13"/>
  <c r="AJ140" i="13"/>
  <c r="AE140" i="13"/>
  <c r="AM147" i="13"/>
  <c r="AK140" i="13"/>
  <c r="AI140" i="13"/>
  <c r="AJ148" i="13"/>
  <c r="AK148" i="13"/>
  <c r="AG147" i="13"/>
  <c r="AL140" i="13"/>
  <c r="AL148" i="13"/>
  <c r="AC148" i="13"/>
  <c r="AL147" i="13"/>
  <c r="AE148" i="13"/>
  <c r="AA148" i="13"/>
  <c r="AH147" i="13"/>
  <c r="AC34" i="13"/>
  <c r="AG148" i="13"/>
  <c r="AB147" i="13"/>
  <c r="AC147" i="13"/>
  <c r="AB148" i="13"/>
  <c r="AF147" i="13"/>
  <c r="AK147" i="13"/>
  <c r="AJ132" i="13"/>
  <c r="AH132" i="13"/>
  <c r="AG132" i="13"/>
  <c r="AB132" i="13"/>
  <c r="AK49" i="13"/>
  <c r="AK86" i="13"/>
  <c r="AM134" i="13"/>
  <c r="AB72" i="13"/>
  <c r="AA60" i="13"/>
  <c r="AH134" i="13"/>
  <c r="AB54" i="13"/>
  <c r="AF95" i="13"/>
  <c r="AA95" i="13"/>
  <c r="AH95" i="13"/>
  <c r="AE95" i="13"/>
  <c r="AC95" i="13"/>
  <c r="AK60" i="13"/>
  <c r="AB95" i="13"/>
  <c r="AB60" i="13"/>
  <c r="AC85" i="13"/>
  <c r="AD85" i="13"/>
  <c r="AK42" i="13"/>
  <c r="AD42" i="13"/>
  <c r="AL71" i="13"/>
  <c r="AD71" i="13"/>
  <c r="AJ59" i="13"/>
  <c r="AD59" i="13"/>
  <c r="AJ63" i="13"/>
  <c r="AD63" i="13"/>
  <c r="AA64" i="13"/>
  <c r="AD64" i="13"/>
  <c r="AK61" i="13"/>
  <c r="AD61" i="13"/>
  <c r="AJ70" i="13"/>
  <c r="AD70" i="13"/>
  <c r="AK55" i="13"/>
  <c r="AD55" i="13"/>
  <c r="AB92" i="13"/>
  <c r="AD92" i="13"/>
  <c r="AK54" i="13"/>
  <c r="AD54" i="13"/>
  <c r="AJ34" i="13"/>
  <c r="AD34" i="13"/>
  <c r="AL41" i="13"/>
  <c r="AD41" i="13"/>
  <c r="AL50" i="13"/>
  <c r="AD50" i="13"/>
  <c r="AA88" i="13"/>
  <c r="AD88" i="13"/>
  <c r="AA45" i="13"/>
  <c r="AD45" i="13"/>
  <c r="AJ52" i="13"/>
  <c r="AD52" i="13"/>
  <c r="AJ65" i="13"/>
  <c r="AD65" i="13"/>
  <c r="AK83" i="13"/>
  <c r="AD83" i="13"/>
  <c r="AG142" i="13"/>
  <c r="AD142" i="13"/>
  <c r="AI52" i="13"/>
  <c r="AC84" i="13"/>
  <c r="AD84" i="13"/>
  <c r="AG77" i="13"/>
  <c r="AD77" i="13"/>
  <c r="AA36" i="13"/>
  <c r="AD36" i="13"/>
  <c r="AK99" i="13"/>
  <c r="AD99" i="13"/>
  <c r="AC46" i="13"/>
  <c r="AD46" i="13"/>
  <c r="AJ97" i="13"/>
  <c r="AD97" i="13"/>
  <c r="AK134" i="13"/>
  <c r="AD134" i="13"/>
  <c r="AA62" i="13"/>
  <c r="AD62" i="13"/>
  <c r="AC82" i="13"/>
  <c r="AD82" i="13"/>
  <c r="AK89" i="13"/>
  <c r="AD89" i="13"/>
  <c r="AC96" i="13"/>
  <c r="AD96" i="13"/>
  <c r="AK81" i="13"/>
  <c r="AD81" i="13"/>
  <c r="AB66" i="13"/>
  <c r="AD66" i="13"/>
  <c r="AJ93" i="13"/>
  <c r="AD93" i="13"/>
  <c r="AB43" i="13"/>
  <c r="AD43" i="13"/>
  <c r="AC56" i="13"/>
  <c r="AD56" i="13"/>
  <c r="AA40" i="13"/>
  <c r="AD40" i="13"/>
  <c r="AC37" i="13"/>
  <c r="AD37" i="13"/>
  <c r="AK44" i="13"/>
  <c r="AD44" i="13"/>
  <c r="AB35" i="13"/>
  <c r="AD35" i="13"/>
  <c r="AC73" i="13"/>
  <c r="AD73" i="13"/>
  <c r="AC57" i="13"/>
  <c r="AD57" i="13"/>
  <c r="AA91" i="13"/>
  <c r="AD91" i="13"/>
  <c r="AA90" i="13"/>
  <c r="AL60" i="13"/>
  <c r="AD60" i="13"/>
  <c r="AC98" i="13"/>
  <c r="AD98" i="13"/>
  <c r="AL88" i="13"/>
  <c r="AM95" i="13"/>
  <c r="AD95" i="13"/>
  <c r="AC49" i="13"/>
  <c r="AD49" i="13"/>
  <c r="AB89" i="13"/>
  <c r="AA50" i="13"/>
  <c r="AH77" i="13"/>
  <c r="AB93" i="13"/>
  <c r="AK63" i="13"/>
  <c r="AL57" i="13"/>
  <c r="AC44" i="13"/>
  <c r="AJ98" i="13"/>
  <c r="AL89" i="13"/>
  <c r="AJ50" i="13"/>
  <c r="AL134" i="13"/>
  <c r="AC93" i="13"/>
  <c r="AJ73" i="13"/>
  <c r="AA63" i="13"/>
  <c r="AJ85" i="13"/>
  <c r="AK36" i="13"/>
  <c r="AA61" i="13"/>
  <c r="AB99" i="13"/>
  <c r="AB98" i="13"/>
  <c r="AJ134" i="13"/>
  <c r="AK84" i="13"/>
  <c r="AK73" i="13"/>
  <c r="AB36" i="13"/>
  <c r="AL61" i="13"/>
  <c r="AA46" i="13"/>
  <c r="AL98" i="13"/>
  <c r="AB50" i="13"/>
  <c r="AA49" i="13"/>
  <c r="AE77" i="13"/>
  <c r="AL93" i="13"/>
  <c r="AB73" i="13"/>
  <c r="AJ36" i="13"/>
  <c r="AB61" i="13"/>
  <c r="AL46" i="13"/>
  <c r="AK98" i="13"/>
  <c r="AE142" i="13"/>
  <c r="AA84" i="13"/>
  <c r="AL73" i="13"/>
  <c r="AB37" i="13"/>
  <c r="AC91" i="13"/>
  <c r="AA43" i="13"/>
  <c r="AJ81" i="13"/>
  <c r="AJ42" i="13"/>
  <c r="AB46" i="13"/>
  <c r="AA97" i="13"/>
  <c r="AC50" i="13"/>
  <c r="AL83" i="13"/>
  <c r="AC54" i="13"/>
  <c r="AL82" i="13"/>
  <c r="AL35" i="13"/>
  <c r="AB96" i="13"/>
  <c r="AB142" i="13"/>
  <c r="AI134" i="13"/>
  <c r="AI95" i="13"/>
  <c r="AC77" i="13"/>
  <c r="AJ84" i="13"/>
  <c r="AJ55" i="13"/>
  <c r="AJ37" i="13"/>
  <c r="AC92" i="13"/>
  <c r="AL54" i="13"/>
  <c r="AB44" i="13"/>
  <c r="AJ91" i="13"/>
  <c r="AK82" i="13"/>
  <c r="AC61" i="13"/>
  <c r="AA99" i="13"/>
  <c r="AC81" i="13"/>
  <c r="AC60" i="13"/>
  <c r="AB34" i="13"/>
  <c r="AJ46" i="13"/>
  <c r="AK59" i="13"/>
  <c r="AK96" i="13"/>
  <c r="AB65" i="13"/>
  <c r="AB55" i="13"/>
  <c r="AK92" i="13"/>
  <c r="AC59" i="13"/>
  <c r="AJ142" i="13"/>
  <c r="AC55" i="13"/>
  <c r="AL37" i="13"/>
  <c r="AK91" i="13"/>
  <c r="AL99" i="13"/>
  <c r="AA81" i="13"/>
  <c r="AJ41" i="13"/>
  <c r="AA142" i="13"/>
  <c r="AG134" i="13"/>
  <c r="AG95" i="13"/>
  <c r="AJ95" i="13"/>
  <c r="AK93" i="13"/>
  <c r="AL63" i="13"/>
  <c r="AL55" i="13"/>
  <c r="AK37" i="13"/>
  <c r="AK64" i="13"/>
  <c r="AA92" i="13"/>
  <c r="AL44" i="13"/>
  <c r="AL36" i="13"/>
  <c r="AL91" i="13"/>
  <c r="AA35" i="13"/>
  <c r="AJ99" i="13"/>
  <c r="AL81" i="13"/>
  <c r="AC42" i="13"/>
  <c r="AJ56" i="13"/>
  <c r="AJ89" i="13"/>
  <c r="AK41" i="13"/>
  <c r="AB88" i="13"/>
  <c r="AK50" i="13"/>
  <c r="AJ96" i="13"/>
  <c r="AA65" i="13"/>
  <c r="AL49" i="13"/>
  <c r="AL96" i="13"/>
  <c r="AH142" i="13"/>
  <c r="AA55" i="13"/>
  <c r="AA37" i="13"/>
  <c r="AC71" i="13"/>
  <c r="AB134" i="13"/>
  <c r="AJ92" i="13"/>
  <c r="AJ44" i="13"/>
  <c r="AF134" i="13"/>
  <c r="AL95" i="13"/>
  <c r="AC63" i="13"/>
  <c r="AJ64" i="13"/>
  <c r="AL92" i="13"/>
  <c r="AJ54" i="13"/>
  <c r="AC36" i="13"/>
  <c r="AB91" i="13"/>
  <c r="AC99" i="13"/>
  <c r="AA42" i="13"/>
  <c r="AB56" i="13"/>
  <c r="AB41" i="13"/>
  <c r="AC88" i="13"/>
  <c r="AC65" i="13"/>
  <c r="AF58" i="13"/>
  <c r="AM58" i="13"/>
  <c r="AG58" i="13"/>
  <c r="AH58" i="13"/>
  <c r="AE58" i="13"/>
  <c r="AI58" i="13"/>
  <c r="AL72" i="13"/>
  <c r="AI72" i="13"/>
  <c r="AH72" i="13"/>
  <c r="AG72" i="13"/>
  <c r="AM72" i="13"/>
  <c r="AF72" i="13"/>
  <c r="AE72" i="13"/>
  <c r="AF90" i="13"/>
  <c r="AE90" i="13"/>
  <c r="AH90" i="13"/>
  <c r="AM90" i="13"/>
  <c r="AI90" i="13"/>
  <c r="AG90" i="13"/>
  <c r="AC66" i="13"/>
  <c r="AC58" i="13"/>
  <c r="AI86" i="13"/>
  <c r="AF86" i="13"/>
  <c r="AE86" i="13"/>
  <c r="AG86" i="13"/>
  <c r="AH86" i="13"/>
  <c r="AM86" i="13"/>
  <c r="AK142" i="13"/>
  <c r="AM77" i="13"/>
  <c r="AA52" i="13"/>
  <c r="AH52" i="13"/>
  <c r="AJ57" i="13"/>
  <c r="AB85" i="13"/>
  <c r="AC64" i="13"/>
  <c r="AH83" i="13"/>
  <c r="AI83" i="13"/>
  <c r="AG83" i="13"/>
  <c r="AF83" i="13"/>
  <c r="AM83" i="13"/>
  <c r="AE83" i="13"/>
  <c r="AB62" i="13"/>
  <c r="AJ43" i="13"/>
  <c r="AF35" i="13"/>
  <c r="AI35" i="13"/>
  <c r="AE35" i="13"/>
  <c r="AG35" i="13"/>
  <c r="AM35" i="13"/>
  <c r="AH35" i="13"/>
  <c r="AJ90" i="13"/>
  <c r="AK70" i="13"/>
  <c r="AB42" i="13"/>
  <c r="AK34" i="13"/>
  <c r="AA56" i="13"/>
  <c r="AL59" i="13"/>
  <c r="AC97" i="13"/>
  <c r="AJ88" i="13"/>
  <c r="AK66" i="13"/>
  <c r="AL58" i="13"/>
  <c r="AL40" i="13"/>
  <c r="AL142" i="13"/>
  <c r="AF142" i="13"/>
  <c r="AE134" i="13"/>
  <c r="AA134" i="13"/>
  <c r="AF77" i="13"/>
  <c r="AC52" i="13"/>
  <c r="AF55" i="13"/>
  <c r="AI55" i="13"/>
  <c r="AG55" i="13"/>
  <c r="AH55" i="13"/>
  <c r="AE55" i="13"/>
  <c r="AM55" i="13"/>
  <c r="AI37" i="13"/>
  <c r="AE37" i="13"/>
  <c r="AH37" i="13"/>
  <c r="AF37" i="13"/>
  <c r="AM37" i="13"/>
  <c r="AG37" i="13"/>
  <c r="AA85" i="13"/>
  <c r="AA83" i="13"/>
  <c r="AM44" i="13"/>
  <c r="AI44" i="13"/>
  <c r="AH44" i="13"/>
  <c r="AG44" i="13"/>
  <c r="AF44" i="13"/>
  <c r="AE44" i="13"/>
  <c r="AA71" i="13"/>
  <c r="AJ61" i="13"/>
  <c r="AM61" i="13"/>
  <c r="AE61" i="13"/>
  <c r="AG61" i="13"/>
  <c r="AF61" i="13"/>
  <c r="AH61" i="13"/>
  <c r="AI61" i="13"/>
  <c r="AL43" i="13"/>
  <c r="AK35" i="13"/>
  <c r="AL70" i="13"/>
  <c r="AL56" i="13"/>
  <c r="AH46" i="13"/>
  <c r="AG46" i="13"/>
  <c r="AF46" i="13"/>
  <c r="AE46" i="13"/>
  <c r="AM46" i="13"/>
  <c r="AI46" i="13"/>
  <c r="AL97" i="13"/>
  <c r="AL66" i="13"/>
  <c r="AC40" i="13"/>
  <c r="AL86" i="13"/>
  <c r="AJ49" i="13"/>
  <c r="AK45" i="13"/>
  <c r="AI45" i="13"/>
  <c r="AH45" i="13"/>
  <c r="AE45" i="13"/>
  <c r="AM45" i="13"/>
  <c r="AG45" i="13"/>
  <c r="AF45" i="13"/>
  <c r="AJ77" i="13"/>
  <c r="AH57" i="13"/>
  <c r="AI57" i="13"/>
  <c r="AM57" i="13"/>
  <c r="AG57" i="13"/>
  <c r="AE57" i="13"/>
  <c r="AF57" i="13"/>
  <c r="AJ62" i="13"/>
  <c r="AH62" i="13"/>
  <c r="AF62" i="13"/>
  <c r="AE62" i="13"/>
  <c r="AM62" i="13"/>
  <c r="AG62" i="13"/>
  <c r="AI62" i="13"/>
  <c r="AI82" i="13"/>
  <c r="AF82" i="13"/>
  <c r="AE82" i="13"/>
  <c r="AG82" i="13"/>
  <c r="AH82" i="13"/>
  <c r="AM82" i="13"/>
  <c r="AL90" i="13"/>
  <c r="AA58" i="13"/>
  <c r="AC45" i="13"/>
  <c r="AA57" i="13"/>
  <c r="AL64" i="13"/>
  <c r="AM64" i="13"/>
  <c r="AE64" i="13"/>
  <c r="AG64" i="13"/>
  <c r="AI64" i="13"/>
  <c r="AH64" i="13"/>
  <c r="AF64" i="13"/>
  <c r="AB70" i="13"/>
  <c r="AM42" i="13"/>
  <c r="AH42" i="13"/>
  <c r="AI42" i="13"/>
  <c r="AG42" i="13"/>
  <c r="AF42" i="13"/>
  <c r="AE42" i="13"/>
  <c r="AM89" i="13"/>
  <c r="AH89" i="13"/>
  <c r="AG89" i="13"/>
  <c r="AF89" i="13"/>
  <c r="AE89" i="13"/>
  <c r="AI89" i="13"/>
  <c r="AG59" i="13"/>
  <c r="AH59" i="13"/>
  <c r="AI59" i="13"/>
  <c r="AE59" i="13"/>
  <c r="AM59" i="13"/>
  <c r="AF59" i="13"/>
  <c r="AK88" i="13"/>
  <c r="AI88" i="13"/>
  <c r="AH88" i="13"/>
  <c r="AE88" i="13"/>
  <c r="AG88" i="13"/>
  <c r="AF88" i="13"/>
  <c r="AM88" i="13"/>
  <c r="AJ58" i="13"/>
  <c r="AC142" i="13"/>
  <c r="AL77" i="13"/>
  <c r="AK77" i="13"/>
  <c r="AB52" i="13"/>
  <c r="AF52" i="13"/>
  <c r="AL84" i="13"/>
  <c r="AM84" i="13"/>
  <c r="AF84" i="13"/>
  <c r="AE84" i="13"/>
  <c r="AH84" i="13"/>
  <c r="AI84" i="13"/>
  <c r="AG84" i="13"/>
  <c r="AJ45" i="13"/>
  <c r="AK57" i="13"/>
  <c r="AJ83" i="13"/>
  <c r="AJ72" i="13"/>
  <c r="AK62" i="13"/>
  <c r="AF54" i="13"/>
  <c r="AG54" i="13"/>
  <c r="AE54" i="13"/>
  <c r="AI54" i="13"/>
  <c r="AH54" i="13"/>
  <c r="AM54" i="13"/>
  <c r="AA82" i="13"/>
  <c r="AJ35" i="13"/>
  <c r="AB90" i="13"/>
  <c r="AG81" i="13"/>
  <c r="AM81" i="13"/>
  <c r="AE81" i="13"/>
  <c r="AH81" i="13"/>
  <c r="AI81" i="13"/>
  <c r="AF81" i="13"/>
  <c r="AL42" i="13"/>
  <c r="AH98" i="13"/>
  <c r="AF98" i="13"/>
  <c r="AE98" i="13"/>
  <c r="AM98" i="13"/>
  <c r="AI98" i="13"/>
  <c r="AG98" i="13"/>
  <c r="AC89" i="13"/>
  <c r="AA59" i="13"/>
  <c r="AF41" i="13"/>
  <c r="AI41" i="13"/>
  <c r="AH41" i="13"/>
  <c r="AG41" i="13"/>
  <c r="AE41" i="13"/>
  <c r="AM41" i="13"/>
  <c r="AB58" i="13"/>
  <c r="AH96" i="13"/>
  <c r="AF96" i="13"/>
  <c r="AM96" i="13"/>
  <c r="AE96" i="13"/>
  <c r="AG96" i="13"/>
  <c r="AI96" i="13"/>
  <c r="AJ86" i="13"/>
  <c r="AF65" i="13"/>
  <c r="AM65" i="13"/>
  <c r="AH65" i="13"/>
  <c r="AG65" i="13"/>
  <c r="AE65" i="13"/>
  <c r="AI65" i="13"/>
  <c r="AG70" i="13"/>
  <c r="AM70" i="13"/>
  <c r="AI70" i="13"/>
  <c r="AE70" i="13"/>
  <c r="AH70" i="13"/>
  <c r="AF70" i="13"/>
  <c r="AJ66" i="13"/>
  <c r="AH66" i="13"/>
  <c r="AM66" i="13"/>
  <c r="AG66" i="13"/>
  <c r="AF66" i="13"/>
  <c r="AE66" i="13"/>
  <c r="AI66" i="13"/>
  <c r="AG40" i="13"/>
  <c r="AI40" i="13"/>
  <c r="AF40" i="13"/>
  <c r="AH40" i="13"/>
  <c r="AM40" i="13"/>
  <c r="AE40" i="13"/>
  <c r="AL52" i="13"/>
  <c r="AG52" i="13"/>
  <c r="AB77" i="13"/>
  <c r="AE52" i="13"/>
  <c r="AB45" i="13"/>
  <c r="AF85" i="13"/>
  <c r="AM85" i="13"/>
  <c r="AE85" i="13"/>
  <c r="AH85" i="13"/>
  <c r="AG85" i="13"/>
  <c r="AI85" i="13"/>
  <c r="AK72" i="13"/>
  <c r="AJ71" i="13"/>
  <c r="AG71" i="13"/>
  <c r="AH71" i="13"/>
  <c r="AI71" i="13"/>
  <c r="AF71" i="13"/>
  <c r="AE71" i="13"/>
  <c r="AM71" i="13"/>
  <c r="AE43" i="13"/>
  <c r="AI43" i="13"/>
  <c r="AH43" i="13"/>
  <c r="AF43" i="13"/>
  <c r="AG43" i="13"/>
  <c r="AM43" i="13"/>
  <c r="AC70" i="13"/>
  <c r="AM56" i="13"/>
  <c r="AF56" i="13"/>
  <c r="AG56" i="13"/>
  <c r="AE56" i="13"/>
  <c r="AH56" i="13"/>
  <c r="AI56" i="13"/>
  <c r="AK40" i="13"/>
  <c r="AA86" i="13"/>
  <c r="AM142" i="13"/>
  <c r="AI142" i="13"/>
  <c r="AI77" i="13"/>
  <c r="AM52" i="13"/>
  <c r="AK85" i="13"/>
  <c r="AC72" i="13"/>
  <c r="AC62" i="13"/>
  <c r="AB82" i="13"/>
  <c r="AB71" i="13"/>
  <c r="AK90" i="13"/>
  <c r="AH34" i="13"/>
  <c r="AF34" i="13"/>
  <c r="AG34" i="13"/>
  <c r="AE34" i="13"/>
  <c r="AM34" i="13"/>
  <c r="AI34" i="13"/>
  <c r="AH97" i="13"/>
  <c r="AE97" i="13"/>
  <c r="AM97" i="13"/>
  <c r="AG97" i="13"/>
  <c r="AI97" i="13"/>
  <c r="AF97" i="13"/>
  <c r="AJ40" i="13"/>
  <c r="AC86" i="13"/>
  <c r="AA77" i="13"/>
  <c r="AK52" i="13"/>
  <c r="AF93" i="13"/>
  <c r="AM93" i="13"/>
  <c r="AG93" i="13"/>
  <c r="AE93" i="13"/>
  <c r="AH93" i="13"/>
  <c r="AI93" i="13"/>
  <c r="AG73" i="13"/>
  <c r="AI73" i="13"/>
  <c r="AH73" i="13"/>
  <c r="AM73" i="13"/>
  <c r="AF73" i="13"/>
  <c r="AE73" i="13"/>
  <c r="AF63" i="13"/>
  <c r="AH63" i="13"/>
  <c r="AG63" i="13"/>
  <c r="AI63" i="13"/>
  <c r="AE63" i="13"/>
  <c r="AM63" i="13"/>
  <c r="AL45" i="13"/>
  <c r="AB57" i="13"/>
  <c r="AL85" i="13"/>
  <c r="AE92" i="13"/>
  <c r="AH92" i="13"/>
  <c r="AI92" i="13"/>
  <c r="AM92" i="13"/>
  <c r="AG92" i="13"/>
  <c r="AF92" i="13"/>
  <c r="AB83" i="13"/>
  <c r="AA72" i="13"/>
  <c r="AL62" i="13"/>
  <c r="AG36" i="13"/>
  <c r="AM36" i="13"/>
  <c r="AH36" i="13"/>
  <c r="AE36" i="13"/>
  <c r="AI36" i="13"/>
  <c r="AF36" i="13"/>
  <c r="AE91" i="13"/>
  <c r="AG91" i="13"/>
  <c r="AH91" i="13"/>
  <c r="AF91" i="13"/>
  <c r="AM91" i="13"/>
  <c r="AI91" i="13"/>
  <c r="AJ82" i="13"/>
  <c r="AK71" i="13"/>
  <c r="AK43" i="13"/>
  <c r="AC35" i="13"/>
  <c r="AF99" i="13"/>
  <c r="AI99" i="13"/>
  <c r="AM99" i="13"/>
  <c r="AE99" i="13"/>
  <c r="AH99" i="13"/>
  <c r="AG99" i="13"/>
  <c r="AC90" i="13"/>
  <c r="AB81" i="13"/>
  <c r="AA70" i="13"/>
  <c r="AF60" i="13"/>
  <c r="AG60" i="13"/>
  <c r="AE60" i="13"/>
  <c r="AI60" i="13"/>
  <c r="AM60" i="13"/>
  <c r="AH60" i="13"/>
  <c r="AL34" i="13"/>
  <c r="AK56" i="13"/>
  <c r="AA98" i="13"/>
  <c r="AA89" i="13"/>
  <c r="AB59" i="13"/>
  <c r="AC41" i="13"/>
  <c r="AK97" i="13"/>
  <c r="AA66" i="13"/>
  <c r="AK58" i="13"/>
  <c r="AF50" i="13"/>
  <c r="AI50" i="13"/>
  <c r="AH50" i="13"/>
  <c r="AM50" i="13"/>
  <c r="AG50" i="13"/>
  <c r="AE50" i="13"/>
  <c r="AB40" i="13"/>
  <c r="AA96" i="13"/>
  <c r="AB86" i="13"/>
  <c r="AL65" i="13"/>
  <c r="AH49" i="13"/>
  <c r="AM49" i="13"/>
  <c r="AF49" i="13"/>
  <c r="AE49" i="13"/>
  <c r="AG49" i="13"/>
  <c r="AI49" i="13"/>
  <c r="AG22" i="13"/>
  <c r="AJ22" i="13"/>
  <c r="AI22" i="13"/>
  <c r="AF22" i="13"/>
  <c r="AA22" i="13"/>
  <c r="AM22" i="13"/>
  <c r="AE22" i="13"/>
  <c r="AL22" i="13"/>
  <c r="AK22" i="13"/>
  <c r="AC22" i="13"/>
  <c r="AB22" i="13"/>
  <c r="AH22" i="13"/>
  <c r="AG32" i="13"/>
  <c r="AF32" i="13"/>
  <c r="AE32" i="13"/>
  <c r="AL32" i="13"/>
  <c r="AM32" i="13"/>
  <c r="AK32" i="13"/>
  <c r="AC32" i="13"/>
  <c r="AJ32" i="13"/>
  <c r="AB32" i="13"/>
  <c r="AI32" i="13"/>
  <c r="AA32" i="13"/>
  <c r="AH32" i="13"/>
  <c r="AJ67" i="13"/>
  <c r="AB67" i="13"/>
  <c r="AI67" i="13"/>
  <c r="AA67" i="13"/>
  <c r="AG67" i="13"/>
  <c r="AK67" i="13"/>
  <c r="AH67" i="13"/>
  <c r="AL67" i="13"/>
  <c r="AF67" i="13"/>
  <c r="AM67" i="13"/>
  <c r="AE67" i="13"/>
  <c r="AC67" i="13"/>
  <c r="AH76" i="13"/>
  <c r="AE76" i="13"/>
  <c r="AI76" i="13"/>
  <c r="AG76" i="13"/>
  <c r="AF76" i="13"/>
  <c r="AM76" i="13"/>
  <c r="AA76" i="13"/>
  <c r="AB76" i="13"/>
  <c r="AL76" i="13"/>
  <c r="AK76" i="13"/>
  <c r="AC76" i="13"/>
  <c r="AJ76" i="13"/>
  <c r="AH78" i="13"/>
  <c r="AG78" i="13"/>
  <c r="AK78" i="13"/>
  <c r="AJ78" i="13"/>
  <c r="AA78" i="13"/>
  <c r="AI78" i="13"/>
  <c r="AF78" i="13"/>
  <c r="AL78" i="13"/>
  <c r="AB78" i="13"/>
  <c r="AM78" i="13"/>
  <c r="AE78" i="13"/>
  <c r="AC78" i="13"/>
  <c r="AH79" i="13"/>
  <c r="AL79" i="13"/>
  <c r="AG79" i="13"/>
  <c r="AM79" i="13"/>
  <c r="AA79" i="13"/>
  <c r="AF79" i="13"/>
  <c r="AE79" i="13"/>
  <c r="AI79" i="13"/>
  <c r="AK79" i="13"/>
  <c r="AC79" i="13"/>
  <c r="AJ79" i="13"/>
  <c r="AB79" i="13"/>
  <c r="AI130" i="13"/>
  <c r="AA130" i="13"/>
  <c r="AC130" i="13"/>
  <c r="AB130" i="13"/>
  <c r="AH130" i="13"/>
  <c r="AL130" i="13"/>
  <c r="AG130" i="13"/>
  <c r="AM130" i="13"/>
  <c r="AE130" i="13"/>
  <c r="AK130" i="13"/>
  <c r="AF130" i="13"/>
  <c r="AJ130" i="13"/>
  <c r="AI133" i="13"/>
  <c r="AA133" i="13"/>
  <c r="AM133" i="13"/>
  <c r="AH133" i="13"/>
  <c r="AG133" i="13"/>
  <c r="AF133" i="13"/>
  <c r="AE133" i="13"/>
  <c r="AL133" i="13"/>
  <c r="AK133" i="13"/>
  <c r="AC133" i="13"/>
  <c r="AJ133" i="13"/>
  <c r="AB133" i="13"/>
  <c r="AI135" i="13"/>
  <c r="AA135" i="13"/>
  <c r="AC135" i="13"/>
  <c r="AH135" i="13"/>
  <c r="AF135" i="13"/>
  <c r="AG135" i="13"/>
  <c r="AB135" i="13"/>
  <c r="AM135" i="13"/>
  <c r="AE135" i="13"/>
  <c r="AL135" i="13"/>
  <c r="AK135" i="13"/>
  <c r="AJ135" i="13"/>
  <c r="AI136" i="13"/>
  <c r="AA136" i="13"/>
  <c r="AC136" i="13"/>
  <c r="AB136" i="13"/>
  <c r="AH136" i="13"/>
  <c r="AL136" i="13"/>
  <c r="AG136" i="13"/>
  <c r="AM136" i="13"/>
  <c r="AE136" i="13"/>
  <c r="AJ136" i="13"/>
  <c r="AF136" i="13"/>
  <c r="AK136" i="13"/>
  <c r="AI137" i="13"/>
  <c r="AA137" i="13"/>
  <c r="AH137" i="13"/>
  <c r="AF137" i="13"/>
  <c r="AE137" i="13"/>
  <c r="AG137" i="13"/>
  <c r="AM137" i="13"/>
  <c r="AL137" i="13"/>
  <c r="AK137" i="13"/>
  <c r="AC137" i="13"/>
  <c r="AJ137" i="13"/>
  <c r="AB137" i="13"/>
  <c r="AI138" i="13"/>
  <c r="AA138" i="13"/>
  <c r="AH138" i="13"/>
  <c r="AF138" i="13"/>
  <c r="AE138" i="13"/>
  <c r="AG138" i="13"/>
  <c r="AM138" i="13"/>
  <c r="AL138" i="13"/>
  <c r="AK138" i="13"/>
  <c r="AC138" i="13"/>
  <c r="AJ138" i="13"/>
  <c r="AB138" i="13"/>
  <c r="AI141" i="13"/>
  <c r="AA141" i="13"/>
  <c r="AF141" i="13"/>
  <c r="AM141" i="13"/>
  <c r="AE141" i="13"/>
  <c r="AL141" i="13"/>
  <c r="AH141" i="13"/>
  <c r="AG141" i="13"/>
  <c r="AK141" i="13"/>
  <c r="AC141" i="13"/>
  <c r="AJ141" i="13"/>
  <c r="AB141" i="13"/>
  <c r="AI143" i="13"/>
  <c r="AA143" i="13"/>
  <c r="AK143" i="13"/>
  <c r="AJ143" i="13"/>
  <c r="AH143" i="13"/>
  <c r="AF143" i="13"/>
  <c r="AG143" i="13"/>
  <c r="AC143" i="13"/>
  <c r="AM143" i="13"/>
  <c r="AE143" i="13"/>
  <c r="AL143" i="13"/>
  <c r="AB143" i="13"/>
  <c r="AI144" i="13"/>
  <c r="AA144" i="13"/>
  <c r="AL144" i="13"/>
  <c r="AK144" i="13"/>
  <c r="AC144" i="13"/>
  <c r="AJ144" i="13"/>
  <c r="AB144" i="13"/>
  <c r="AH144" i="13"/>
  <c r="AE144" i="13"/>
  <c r="AG144" i="13"/>
  <c r="AM144" i="13"/>
  <c r="AF144" i="13"/>
  <c r="AI145" i="13"/>
  <c r="AA145" i="13"/>
  <c r="AK145" i="13"/>
  <c r="AC145" i="13"/>
  <c r="AJ145" i="13"/>
  <c r="AH145" i="13"/>
  <c r="AB145" i="13"/>
  <c r="AG145" i="13"/>
  <c r="AM145" i="13"/>
  <c r="AE145" i="13"/>
  <c r="AL145" i="13"/>
  <c r="AF145" i="13"/>
  <c r="AI146" i="13"/>
  <c r="AA146" i="13"/>
  <c r="AH146" i="13"/>
  <c r="AG146" i="13"/>
  <c r="AF146" i="13"/>
  <c r="AM146" i="13"/>
  <c r="AE146" i="13"/>
  <c r="AL146" i="13"/>
  <c r="AK146" i="13"/>
  <c r="AC146" i="13"/>
  <c r="AJ146" i="13"/>
  <c r="AB146" i="13"/>
  <c r="AI149" i="13"/>
  <c r="AA149" i="13"/>
  <c r="AJ149" i="13"/>
  <c r="AH149" i="13"/>
  <c r="AF149" i="13"/>
  <c r="AK149" i="13"/>
  <c r="AG149" i="13"/>
  <c r="AC149" i="13"/>
  <c r="AM149" i="13"/>
  <c r="AE149" i="13"/>
  <c r="AL149" i="13"/>
  <c r="AB149" i="13"/>
  <c r="A59" i="9"/>
  <c r="A59" i="6"/>
  <c r="B32" i="13"/>
  <c r="A32" i="9"/>
  <c r="A32" i="6"/>
  <c r="A88" i="6"/>
  <c r="A88" i="9"/>
  <c r="B121" i="13"/>
  <c r="A121" i="9"/>
  <c r="Q130" i="13"/>
  <c r="Q125" i="13"/>
  <c r="Q120" i="13"/>
  <c r="Q95" i="13"/>
  <c r="A60" i="6" l="1"/>
  <c r="A60" i="9"/>
  <c r="A89" i="9"/>
  <c r="A89" i="6"/>
  <c r="A33" i="6"/>
  <c r="A33" i="9"/>
  <c r="B122" i="13"/>
  <c r="A122" i="9"/>
  <c r="G1" i="9"/>
  <c r="A61" i="9" l="1"/>
  <c r="A61" i="6"/>
  <c r="A34" i="6"/>
  <c r="A34" i="9"/>
  <c r="A90" i="9"/>
  <c r="A90" i="6"/>
  <c r="A123" i="9"/>
  <c r="B123" i="13"/>
  <c r="E32" i="9"/>
  <c r="A62" i="6" l="1"/>
  <c r="A62" i="9"/>
  <c r="A35" i="6"/>
  <c r="A35" i="9"/>
  <c r="A91" i="9"/>
  <c r="A91" i="6"/>
  <c r="A124" i="9"/>
  <c r="E3" i="9"/>
  <c r="E22" i="9"/>
  <c r="E29" i="9"/>
  <c r="E33" i="9"/>
  <c r="E34" i="9"/>
  <c r="E35" i="9"/>
  <c r="E36" i="9"/>
  <c r="E37" i="9"/>
  <c r="E38" i="9"/>
  <c r="E39" i="9"/>
  <c r="E40" i="9"/>
  <c r="E41" i="9"/>
  <c r="E42" i="9"/>
  <c r="E43" i="9"/>
  <c r="E44" i="9"/>
  <c r="E45" i="9"/>
  <c r="E46" i="9"/>
  <c r="E49" i="9"/>
  <c r="E50" i="9"/>
  <c r="E51" i="9"/>
  <c r="E52" i="9"/>
  <c r="E53" i="9"/>
  <c r="E54" i="9"/>
  <c r="E55" i="9"/>
  <c r="E56" i="9"/>
  <c r="E57" i="9"/>
  <c r="E58" i="9"/>
  <c r="E59" i="9"/>
  <c r="E60" i="9"/>
  <c r="E61" i="9"/>
  <c r="E62" i="9"/>
  <c r="E63" i="9"/>
  <c r="E64" i="9"/>
  <c r="E65" i="9"/>
  <c r="E66" i="9"/>
  <c r="E67" i="9"/>
  <c r="E70" i="9"/>
  <c r="E71" i="9"/>
  <c r="E72" i="9"/>
  <c r="E73" i="9"/>
  <c r="E76" i="9"/>
  <c r="E77" i="9"/>
  <c r="E78" i="9"/>
  <c r="E79" i="9"/>
  <c r="E81" i="9"/>
  <c r="E82" i="9"/>
  <c r="E83" i="9"/>
  <c r="E84" i="9"/>
  <c r="E85" i="9"/>
  <c r="E86" i="9"/>
  <c r="E88" i="9"/>
  <c r="E89" i="9"/>
  <c r="E90" i="9"/>
  <c r="E91" i="9"/>
  <c r="E92" i="9"/>
  <c r="E93" i="9"/>
  <c r="E95" i="9"/>
  <c r="E96" i="9"/>
  <c r="E97" i="9"/>
  <c r="E98" i="9"/>
  <c r="E99" i="9"/>
  <c r="E130" i="9"/>
  <c r="E131" i="9"/>
  <c r="E132" i="9"/>
  <c r="E133" i="9"/>
  <c r="E134" i="9"/>
  <c r="E135" i="9"/>
  <c r="E136" i="9"/>
  <c r="E137" i="9"/>
  <c r="E138" i="9"/>
  <c r="E139" i="9"/>
  <c r="E140" i="9"/>
  <c r="E141" i="9"/>
  <c r="E142" i="9"/>
  <c r="E143" i="9"/>
  <c r="E144" i="9"/>
  <c r="E145" i="9"/>
  <c r="E146" i="9"/>
  <c r="E147" i="9"/>
  <c r="E148" i="9"/>
  <c r="E149" i="9"/>
  <c r="A63" i="6" l="1"/>
  <c r="A63" i="9"/>
  <c r="A92" i="6"/>
  <c r="A92" i="9"/>
  <c r="A36" i="6"/>
  <c r="A36" i="9"/>
  <c r="A125" i="9"/>
  <c r="B125" i="13"/>
  <c r="D131" i="9"/>
  <c r="D132" i="9"/>
  <c r="D133" i="9"/>
  <c r="D134" i="9"/>
  <c r="D135" i="9"/>
  <c r="D136" i="9"/>
  <c r="D137" i="9"/>
  <c r="D138" i="9"/>
  <c r="D139" i="9"/>
  <c r="D140" i="9"/>
  <c r="D141" i="9"/>
  <c r="D142" i="9"/>
  <c r="D143" i="9"/>
  <c r="D144" i="9"/>
  <c r="D145" i="9"/>
  <c r="D146" i="9"/>
  <c r="D147" i="9"/>
  <c r="D148" i="9"/>
  <c r="D149" i="9"/>
  <c r="A64" i="9" l="1"/>
  <c r="A64" i="6"/>
  <c r="A37" i="6"/>
  <c r="A37" i="9"/>
  <c r="A93" i="6"/>
  <c r="A93" i="9"/>
  <c r="A126" i="9"/>
  <c r="B126" i="13"/>
  <c r="D130" i="9"/>
  <c r="A65" i="9" l="1"/>
  <c r="A65" i="6"/>
  <c r="A94" i="6"/>
  <c r="A94" i="9"/>
  <c r="A38" i="9"/>
  <c r="B38" i="13"/>
  <c r="A38" i="6"/>
  <c r="B127" i="13"/>
  <c r="A127" i="9"/>
  <c r="Q114" i="13"/>
  <c r="Q107" i="13"/>
  <c r="Q102" i="13"/>
  <c r="AP76" i="13"/>
  <c r="Q76" i="13"/>
  <c r="Q32" i="13"/>
  <c r="Q29" i="13"/>
  <c r="Q22" i="13"/>
  <c r="Q11" i="13"/>
  <c r="P7" i="13"/>
  <c r="P8" i="13" s="1"/>
  <c r="P11" i="13" s="1"/>
  <c r="P12" i="13" s="1"/>
  <c r="P13" i="13" s="1"/>
  <c r="P14" i="13" s="1"/>
  <c r="P15" i="13" s="1"/>
  <c r="P16" i="13" s="1"/>
  <c r="P17" i="13" s="1"/>
  <c r="P18" i="13" s="1"/>
  <c r="P19" i="13" s="1"/>
  <c r="P22" i="13" s="1"/>
  <c r="P23" i="13" s="1"/>
  <c r="O6" i="13"/>
  <c r="M6" i="13"/>
  <c r="M7" i="13" s="1"/>
  <c r="M8" i="13" s="1"/>
  <c r="M11" i="13" s="1"/>
  <c r="M12" i="13" s="1"/>
  <c r="M13" i="13" s="1"/>
  <c r="M14" i="13" s="1"/>
  <c r="M15" i="13" s="1"/>
  <c r="M16" i="13" s="1"/>
  <c r="M17" i="13" s="1"/>
  <c r="M18" i="13" s="1"/>
  <c r="M19" i="13" s="1"/>
  <c r="M22" i="13" s="1"/>
  <c r="L6" i="13"/>
  <c r="L7" i="13" s="1"/>
  <c r="L8" i="13" s="1"/>
  <c r="L11" i="13" s="1"/>
  <c r="L12" i="13" s="1"/>
  <c r="L13" i="13" s="1"/>
  <c r="L14" i="13" s="1"/>
  <c r="L15" i="13" s="1"/>
  <c r="L16" i="13" s="1"/>
  <c r="L17" i="13" s="1"/>
  <c r="L18" i="13" s="1"/>
  <c r="L19" i="13" s="1"/>
  <c r="L22" i="13" s="1"/>
  <c r="K6" i="13"/>
  <c r="K7" i="13" s="1"/>
  <c r="K8" i="13" s="1"/>
  <c r="K11" i="13" s="1"/>
  <c r="K12" i="13" s="1"/>
  <c r="K13" i="13" s="1"/>
  <c r="K14" i="13" s="1"/>
  <c r="K15" i="13" s="1"/>
  <c r="K16" i="13" s="1"/>
  <c r="K17" i="13" s="1"/>
  <c r="K18" i="13" s="1"/>
  <c r="K19" i="13" s="1"/>
  <c r="K22" i="13" s="1"/>
  <c r="K23" i="13" s="1"/>
  <c r="K24" i="13" s="1"/>
  <c r="K25" i="13" s="1"/>
  <c r="K26" i="13" s="1"/>
  <c r="K27" i="13" s="1"/>
  <c r="J6" i="13"/>
  <c r="J7" i="13" s="1"/>
  <c r="J8" i="13" s="1"/>
  <c r="J11" i="13" s="1"/>
  <c r="J12" i="13" s="1"/>
  <c r="J13" i="13" s="1"/>
  <c r="J14" i="13" s="1"/>
  <c r="J15" i="13" s="1"/>
  <c r="J16" i="13" s="1"/>
  <c r="J17" i="13" s="1"/>
  <c r="J18" i="13" s="1"/>
  <c r="J19" i="13" s="1"/>
  <c r="J22" i="13" s="1"/>
  <c r="J23" i="13" s="1"/>
  <c r="J24" i="13" s="1"/>
  <c r="J25" i="13" s="1"/>
  <c r="J26" i="13" s="1"/>
  <c r="J27" i="13" s="1"/>
  <c r="H6" i="13"/>
  <c r="H7" i="13" s="1"/>
  <c r="H8" i="13" s="1"/>
  <c r="H11" i="13" s="1"/>
  <c r="H12" i="13" s="1"/>
  <c r="H13" i="13" s="1"/>
  <c r="H14" i="13" s="1"/>
  <c r="H15" i="13" s="1"/>
  <c r="H16" i="13" s="1"/>
  <c r="H17" i="13" s="1"/>
  <c r="H18" i="13" s="1"/>
  <c r="H19" i="13" s="1"/>
  <c r="H22" i="13" s="1"/>
  <c r="H23" i="13" s="1"/>
  <c r="H24" i="13" s="1"/>
  <c r="H25" i="13" s="1"/>
  <c r="H26" i="13" s="1"/>
  <c r="H27" i="13" s="1"/>
  <c r="G6" i="13"/>
  <c r="G7" i="13" s="1"/>
  <c r="G8" i="13" s="1"/>
  <c r="G11" i="13" s="1"/>
  <c r="G12" i="13" s="1"/>
  <c r="G13" i="13" s="1"/>
  <c r="G14" i="13" s="1"/>
  <c r="G15" i="13" s="1"/>
  <c r="G16" i="13" s="1"/>
  <c r="G17" i="13" s="1"/>
  <c r="G18" i="13" s="1"/>
  <c r="G19" i="13" s="1"/>
  <c r="G22" i="13" s="1"/>
  <c r="G23" i="13" s="1"/>
  <c r="G24" i="13" s="1"/>
  <c r="G25" i="13" s="1"/>
  <c r="G26" i="13" s="1"/>
  <c r="G27" i="13" s="1"/>
  <c r="F6" i="13"/>
  <c r="F7" i="13" s="1"/>
  <c r="F8" i="13" s="1"/>
  <c r="F11" i="13" s="1"/>
  <c r="F12" i="13" s="1"/>
  <c r="F13" i="13" s="1"/>
  <c r="F14" i="13" s="1"/>
  <c r="F15" i="13" s="1"/>
  <c r="F16" i="13" s="1"/>
  <c r="F17" i="13" s="1"/>
  <c r="F18" i="13" s="1"/>
  <c r="F19" i="13" s="1"/>
  <c r="F22" i="13" s="1"/>
  <c r="F23" i="13" s="1"/>
  <c r="F24" i="13" s="1"/>
  <c r="F25" i="13" s="1"/>
  <c r="F26" i="13" s="1"/>
  <c r="F27" i="13" s="1"/>
  <c r="D6" i="13"/>
  <c r="H1" i="13"/>
  <c r="A1" i="13"/>
  <c r="A66" i="6" l="1"/>
  <c r="A66" i="9"/>
  <c r="B39" i="13"/>
  <c r="A39" i="9"/>
  <c r="A39" i="6"/>
  <c r="B95" i="13"/>
  <c r="A95" i="9"/>
  <c r="A95" i="6"/>
  <c r="L23" i="13"/>
  <c r="L24" i="13" s="1"/>
  <c r="L25" i="13" s="1"/>
  <c r="L26" i="13" s="1"/>
  <c r="L27" i="13" s="1"/>
  <c r="M23" i="13"/>
  <c r="M24" i="13" s="1"/>
  <c r="M25" i="13" s="1"/>
  <c r="M26" i="13" s="1"/>
  <c r="M27" i="13" s="1"/>
  <c r="M29" i="13" s="1"/>
  <c r="M30" i="13" s="1"/>
  <c r="M32" i="13" s="1"/>
  <c r="P24" i="13"/>
  <c r="P25" i="13" s="1"/>
  <c r="P26" i="13" s="1"/>
  <c r="P27" i="13" s="1"/>
  <c r="P29" i="13" s="1"/>
  <c r="P30" i="13" s="1"/>
  <c r="P32" i="13" s="1"/>
  <c r="K29" i="13"/>
  <c r="K30" i="13" s="1"/>
  <c r="K32" i="13" s="1"/>
  <c r="G29" i="13"/>
  <c r="G30" i="13" s="1"/>
  <c r="G32" i="13" s="1"/>
  <c r="H29" i="13"/>
  <c r="H30" i="13" s="1"/>
  <c r="H32" i="13" s="1"/>
  <c r="J29" i="13"/>
  <c r="J30" i="13" s="1"/>
  <c r="J32" i="13" s="1"/>
  <c r="F29" i="13"/>
  <c r="F30" i="13" s="1"/>
  <c r="F32" i="13" s="1"/>
  <c r="A67" i="6" l="1"/>
  <c r="A67" i="9"/>
  <c r="B67" i="13"/>
  <c r="A40" i="9"/>
  <c r="A40" i="6"/>
  <c r="A96" i="6"/>
  <c r="A96" i="9"/>
  <c r="L29" i="13"/>
  <c r="L30" i="13" s="1"/>
  <c r="L32" i="13" s="1"/>
  <c r="L33" i="13" s="1"/>
  <c r="L34" i="13" s="1"/>
  <c r="L35" i="13" s="1"/>
  <c r="L36" i="13" s="1"/>
  <c r="L37" i="13" s="1"/>
  <c r="L38" i="13" s="1"/>
  <c r="L39" i="13" s="1"/>
  <c r="L40" i="13" s="1"/>
  <c r="L41" i="13" s="1"/>
  <c r="J33" i="13"/>
  <c r="J34" i="13" s="1"/>
  <c r="J35" i="13" s="1"/>
  <c r="J36" i="13" s="1"/>
  <c r="J37" i="13" s="1"/>
  <c r="J38" i="13" s="1"/>
  <c r="J39" i="13" s="1"/>
  <c r="J40" i="13" s="1"/>
  <c r="J41" i="13" s="1"/>
  <c r="P33" i="13"/>
  <c r="P34" i="13" s="1"/>
  <c r="P35" i="13" s="1"/>
  <c r="P36" i="13" s="1"/>
  <c r="P37" i="13" s="1"/>
  <c r="P38" i="13" s="1"/>
  <c r="P39" i="13" s="1"/>
  <c r="P40" i="13" s="1"/>
  <c r="P41" i="13" s="1"/>
  <c r="H33" i="13"/>
  <c r="H34" i="13" s="1"/>
  <c r="H35" i="13" s="1"/>
  <c r="H36" i="13" s="1"/>
  <c r="H37" i="13" s="1"/>
  <c r="H38" i="13" s="1"/>
  <c r="H39" i="13" s="1"/>
  <c r="H40" i="13" s="1"/>
  <c r="H41" i="13" s="1"/>
  <c r="M33" i="13"/>
  <c r="M34" i="13" s="1"/>
  <c r="M35" i="13" s="1"/>
  <c r="M36" i="13" s="1"/>
  <c r="M37" i="13" s="1"/>
  <c r="M38" i="13" s="1"/>
  <c r="M39" i="13" s="1"/>
  <c r="M40" i="13" s="1"/>
  <c r="M41" i="13" s="1"/>
  <c r="K33" i="13"/>
  <c r="K34" i="13" s="1"/>
  <c r="K35" i="13" s="1"/>
  <c r="K36" i="13" s="1"/>
  <c r="K37" i="13" s="1"/>
  <c r="K38" i="13" s="1"/>
  <c r="K39" i="13" s="1"/>
  <c r="K40" i="13" s="1"/>
  <c r="K41" i="13" s="1"/>
  <c r="G33" i="13"/>
  <c r="G34" i="13" s="1"/>
  <c r="G35" i="13" s="1"/>
  <c r="G36" i="13" s="1"/>
  <c r="G37" i="13" s="1"/>
  <c r="G38" i="13" s="1"/>
  <c r="G39" i="13" s="1"/>
  <c r="F33" i="13"/>
  <c r="F34" i="13" s="1"/>
  <c r="F35" i="13" s="1"/>
  <c r="F36" i="13" s="1"/>
  <c r="F37" i="13" s="1"/>
  <c r="F38" i="13" s="1"/>
  <c r="F39" i="13" s="1"/>
  <c r="A68" i="6" l="1"/>
  <c r="B68" i="13"/>
  <c r="A68" i="9"/>
  <c r="A41" i="6"/>
  <c r="A41" i="9"/>
  <c r="A97" i="6"/>
  <c r="A97" i="9"/>
  <c r="M42" i="13"/>
  <c r="M43" i="13" s="1"/>
  <c r="M44" i="13" s="1"/>
  <c r="M45" i="13" s="1"/>
  <c r="M46" i="13" s="1"/>
  <c r="M49" i="13" s="1"/>
  <c r="M50" i="13" s="1"/>
  <c r="M51" i="13" s="1"/>
  <c r="M52" i="13" s="1"/>
  <c r="M53" i="13" s="1"/>
  <c r="M54" i="13" s="1"/>
  <c r="M55" i="13" s="1"/>
  <c r="M56" i="13" s="1"/>
  <c r="M57" i="13" s="1"/>
  <c r="M58" i="13" s="1"/>
  <c r="M59" i="13" s="1"/>
  <c r="M60" i="13" s="1"/>
  <c r="M61" i="13" s="1"/>
  <c r="M62" i="13" s="1"/>
  <c r="M63" i="13" s="1"/>
  <c r="M64" i="13" s="1"/>
  <c r="M65" i="13" s="1"/>
  <c r="M66" i="13" s="1"/>
  <c r="M67" i="13" s="1"/>
  <c r="M68" i="13" s="1"/>
  <c r="M70" i="13" s="1"/>
  <c r="M71" i="13" s="1"/>
  <c r="M72" i="13" s="1"/>
  <c r="M73" i="13" s="1"/>
  <c r="M76" i="13" s="1"/>
  <c r="M77" i="13" s="1"/>
  <c r="M78" i="13" s="1"/>
  <c r="M79" i="13" s="1"/>
  <c r="M81" i="13" s="1"/>
  <c r="M82" i="13" s="1"/>
  <c r="M83" i="13" s="1"/>
  <c r="M84" i="13" s="1"/>
  <c r="M85" i="13" s="1"/>
  <c r="M86" i="13" s="1"/>
  <c r="M88" i="13" s="1"/>
  <c r="M89" i="13" s="1"/>
  <c r="M90" i="13" s="1"/>
  <c r="M91" i="13" s="1"/>
  <c r="M92" i="13" s="1"/>
  <c r="M93" i="13" s="1"/>
  <c r="K42" i="13"/>
  <c r="K43" i="13" s="1"/>
  <c r="K44" i="13" s="1"/>
  <c r="K45" i="13" s="1"/>
  <c r="K46" i="13" s="1"/>
  <c r="K49" i="13" s="1"/>
  <c r="K50" i="13" s="1"/>
  <c r="K51" i="13" s="1"/>
  <c r="K52" i="13" s="1"/>
  <c r="K53" i="13" s="1"/>
  <c r="K54" i="13" s="1"/>
  <c r="K55" i="13" s="1"/>
  <c r="K56" i="13" s="1"/>
  <c r="K57" i="13" s="1"/>
  <c r="K58" i="13" s="1"/>
  <c r="K59" i="13" s="1"/>
  <c r="K60" i="13" s="1"/>
  <c r="K61" i="13" s="1"/>
  <c r="K62" i="13" s="1"/>
  <c r="K63" i="13" s="1"/>
  <c r="K64" i="13" s="1"/>
  <c r="K65" i="13" s="1"/>
  <c r="K66" i="13" s="1"/>
  <c r="K67" i="13" s="1"/>
  <c r="K68" i="13" s="1"/>
  <c r="K70" i="13" s="1"/>
  <c r="K71" i="13" s="1"/>
  <c r="K72" i="13" s="1"/>
  <c r="K73" i="13" s="1"/>
  <c r="K76" i="13" s="1"/>
  <c r="K77" i="13" s="1"/>
  <c r="K78" i="13" s="1"/>
  <c r="K79" i="13" s="1"/>
  <c r="K81" i="13" s="1"/>
  <c r="K82" i="13" s="1"/>
  <c r="K83" i="13" s="1"/>
  <c r="K84" i="13" s="1"/>
  <c r="K85" i="13" s="1"/>
  <c r="P42" i="13"/>
  <c r="P43" i="13" s="1"/>
  <c r="P44" i="13" s="1"/>
  <c r="P45" i="13" s="1"/>
  <c r="P46" i="13" s="1"/>
  <c r="P49" i="13" s="1"/>
  <c r="P50" i="13" s="1"/>
  <c r="P51" i="13" s="1"/>
  <c r="P52" i="13" s="1"/>
  <c r="P53" i="13" s="1"/>
  <c r="P54" i="13" s="1"/>
  <c r="P55" i="13" s="1"/>
  <c r="P56" i="13" s="1"/>
  <c r="P57" i="13" s="1"/>
  <c r="P58" i="13" s="1"/>
  <c r="P59" i="13" s="1"/>
  <c r="P60" i="13" s="1"/>
  <c r="P61" i="13" s="1"/>
  <c r="P62" i="13" s="1"/>
  <c r="P63" i="13" s="1"/>
  <c r="P64" i="13" s="1"/>
  <c r="P65" i="13" s="1"/>
  <c r="P66" i="13" s="1"/>
  <c r="P67" i="13" s="1"/>
  <c r="P68" i="13" s="1"/>
  <c r="P70" i="13" s="1"/>
  <c r="P71" i="13" s="1"/>
  <c r="P72" i="13" s="1"/>
  <c r="P73" i="13" s="1"/>
  <c r="P76" i="13" s="1"/>
  <c r="P77" i="13" s="1"/>
  <c r="P78" i="13" s="1"/>
  <c r="P79" i="13" s="1"/>
  <c r="P81" i="13" s="1"/>
  <c r="P82" i="13" s="1"/>
  <c r="P83" i="13" s="1"/>
  <c r="P84" i="13" s="1"/>
  <c r="P85" i="13" s="1"/>
  <c r="P86" i="13" s="1"/>
  <c r="P88" i="13" s="1"/>
  <c r="P89" i="13" s="1"/>
  <c r="P90" i="13" s="1"/>
  <c r="P91" i="13" s="1"/>
  <c r="P92" i="13" s="1"/>
  <c r="P93" i="13" s="1"/>
  <c r="L42" i="13"/>
  <c r="L43" i="13" s="1"/>
  <c r="L44" i="13" s="1"/>
  <c r="L45" i="13" s="1"/>
  <c r="L46" i="13" s="1"/>
  <c r="L49" i="13" s="1"/>
  <c r="L50" i="13" s="1"/>
  <c r="L51" i="13" s="1"/>
  <c r="L52" i="13" s="1"/>
  <c r="L53" i="13" s="1"/>
  <c r="L54" i="13" s="1"/>
  <c r="L55" i="13" s="1"/>
  <c r="L56" i="13" s="1"/>
  <c r="L57" i="13" s="1"/>
  <c r="L58" i="13" s="1"/>
  <c r="L59" i="13" s="1"/>
  <c r="L60" i="13" s="1"/>
  <c r="L61" i="13" s="1"/>
  <c r="L62" i="13" s="1"/>
  <c r="L63" i="13" s="1"/>
  <c r="L64" i="13" s="1"/>
  <c r="L65" i="13" s="1"/>
  <c r="L66" i="13" s="1"/>
  <c r="L67" i="13" s="1"/>
  <c r="L68" i="13" s="1"/>
  <c r="L70" i="13" s="1"/>
  <c r="L71" i="13" s="1"/>
  <c r="L72" i="13" s="1"/>
  <c r="L73" i="13" s="1"/>
  <c r="L76" i="13" s="1"/>
  <c r="L77" i="13" s="1"/>
  <c r="L78" i="13" s="1"/>
  <c r="L79" i="13" s="1"/>
  <c r="L81" i="13" s="1"/>
  <c r="L82" i="13" s="1"/>
  <c r="L83" i="13" s="1"/>
  <c r="L84" i="13" s="1"/>
  <c r="L85" i="13" s="1"/>
  <c r="L86" i="13" s="1"/>
  <c r="L88" i="13" s="1"/>
  <c r="L89" i="13" s="1"/>
  <c r="L90" i="13" s="1"/>
  <c r="L91" i="13" s="1"/>
  <c r="L92" i="13" s="1"/>
  <c r="L93" i="13" s="1"/>
  <c r="H42" i="13"/>
  <c r="H43" i="13" s="1"/>
  <c r="H44" i="13" s="1"/>
  <c r="H45" i="13" s="1"/>
  <c r="H46" i="13" s="1"/>
  <c r="H49" i="13" s="1"/>
  <c r="H50" i="13" s="1"/>
  <c r="H51" i="13" s="1"/>
  <c r="H52" i="13" s="1"/>
  <c r="H53" i="13" s="1"/>
  <c r="H54" i="13" s="1"/>
  <c r="H55" i="13" s="1"/>
  <c r="H56" i="13" s="1"/>
  <c r="H57" i="13" s="1"/>
  <c r="H58" i="13" s="1"/>
  <c r="H59" i="13" s="1"/>
  <c r="H60" i="13" s="1"/>
  <c r="H61" i="13" s="1"/>
  <c r="H62" i="13" s="1"/>
  <c r="H63" i="13" s="1"/>
  <c r="H64" i="13" s="1"/>
  <c r="H65" i="13" s="1"/>
  <c r="H66" i="13" s="1"/>
  <c r="H67" i="13" s="1"/>
  <c r="H68" i="13" s="1"/>
  <c r="H70" i="13" s="1"/>
  <c r="H71" i="13" s="1"/>
  <c r="H72" i="13" s="1"/>
  <c r="H73" i="13" s="1"/>
  <c r="H76" i="13" s="1"/>
  <c r="H77" i="13" s="1"/>
  <c r="H78" i="13" s="1"/>
  <c r="H79" i="13" s="1"/>
  <c r="H81" i="13" s="1"/>
  <c r="H82" i="13" s="1"/>
  <c r="H83" i="13" s="1"/>
  <c r="H84" i="13" s="1"/>
  <c r="H85" i="13" s="1"/>
  <c r="J42" i="13"/>
  <c r="J43" i="13" s="1"/>
  <c r="J44" i="13" s="1"/>
  <c r="J45" i="13" s="1"/>
  <c r="J46" i="13" s="1"/>
  <c r="J49" i="13" s="1"/>
  <c r="J50" i="13" s="1"/>
  <c r="J51" i="13" s="1"/>
  <c r="J52" i="13" s="1"/>
  <c r="J53" i="13" s="1"/>
  <c r="J54" i="13" s="1"/>
  <c r="J55" i="13" s="1"/>
  <c r="J56" i="13" s="1"/>
  <c r="J57" i="13" s="1"/>
  <c r="J58" i="13" s="1"/>
  <c r="J59" i="13" s="1"/>
  <c r="J60" i="13" s="1"/>
  <c r="J61" i="13" s="1"/>
  <c r="J62" i="13" s="1"/>
  <c r="J63" i="13" s="1"/>
  <c r="J64" i="13" s="1"/>
  <c r="J65" i="13" s="1"/>
  <c r="J66" i="13" s="1"/>
  <c r="J67" i="13" s="1"/>
  <c r="J68" i="13" s="1"/>
  <c r="J70" i="13" s="1"/>
  <c r="J71" i="13" s="1"/>
  <c r="J72" i="13" s="1"/>
  <c r="J73" i="13" s="1"/>
  <c r="J76" i="13" s="1"/>
  <c r="J77" i="13" s="1"/>
  <c r="J78" i="13" s="1"/>
  <c r="J79" i="13" s="1"/>
  <c r="J81" i="13" s="1"/>
  <c r="J82" i="13" s="1"/>
  <c r="J83" i="13" s="1"/>
  <c r="J84" i="13" s="1"/>
  <c r="J85" i="13" s="1"/>
  <c r="G40" i="13"/>
  <c r="G41" i="13" s="1"/>
  <c r="F40" i="13"/>
  <c r="F41" i="13" s="1"/>
  <c r="A69" i="6" l="1"/>
  <c r="A69" i="9"/>
  <c r="A42" i="6"/>
  <c r="A42" i="9"/>
  <c r="A98" i="6"/>
  <c r="A98" i="9"/>
  <c r="H88" i="13"/>
  <c r="H89" i="13" s="1"/>
  <c r="H90" i="13" s="1"/>
  <c r="H91" i="13" s="1"/>
  <c r="H92" i="13" s="1"/>
  <c r="H86" i="13"/>
  <c r="P95" i="13"/>
  <c r="P96" i="13" s="1"/>
  <c r="P97" i="13" s="1"/>
  <c r="P98" i="13" s="1"/>
  <c r="P99" i="13" s="1"/>
  <c r="P102" i="13" s="1"/>
  <c r="P103" i="13" s="1"/>
  <c r="P104" i="13" s="1"/>
  <c r="P107" i="13" s="1"/>
  <c r="P108" i="13" s="1"/>
  <c r="P109" i="13" s="1"/>
  <c r="P110" i="13" s="1"/>
  <c r="P114" i="13" s="1"/>
  <c r="P115" i="13" s="1"/>
  <c r="P116" i="13" s="1"/>
  <c r="P117" i="13" s="1"/>
  <c r="P118" i="13" s="1"/>
  <c r="P120" i="13" s="1"/>
  <c r="P121" i="13" s="1"/>
  <c r="P122" i="13" s="1"/>
  <c r="P123" i="13" s="1"/>
  <c r="P125" i="13" s="1"/>
  <c r="P126" i="13" s="1"/>
  <c r="P127" i="13" s="1"/>
  <c r="P130" i="13" s="1"/>
  <c r="P131" i="13" s="1"/>
  <c r="P132" i="13" s="1"/>
  <c r="P133" i="13" s="1"/>
  <c r="P134" i="13" s="1"/>
  <c r="P135" i="13" s="1"/>
  <c r="P136" i="13" s="1"/>
  <c r="P137" i="13" s="1"/>
  <c r="P138" i="13" s="1"/>
  <c r="P139" i="13" s="1"/>
  <c r="P140" i="13" s="1"/>
  <c r="P141" i="13" s="1"/>
  <c r="P142" i="13" s="1"/>
  <c r="P143" i="13" s="1"/>
  <c r="P144" i="13" s="1"/>
  <c r="P145" i="13" s="1"/>
  <c r="P146" i="13" s="1"/>
  <c r="P147" i="13" s="1"/>
  <c r="P148" i="13" s="1"/>
  <c r="P149" i="13" s="1"/>
  <c r="L95" i="13"/>
  <c r="L96" i="13" s="1"/>
  <c r="L97" i="13" s="1"/>
  <c r="L98" i="13" s="1"/>
  <c r="L99" i="13" s="1"/>
  <c r="L102" i="13" s="1"/>
  <c r="L103" i="13" s="1"/>
  <c r="L104" i="13" s="1"/>
  <c r="L107" i="13" s="1"/>
  <c r="L108" i="13" s="1"/>
  <c r="L109" i="13" s="1"/>
  <c r="L110" i="13" s="1"/>
  <c r="L114" i="13" s="1"/>
  <c r="L115" i="13" s="1"/>
  <c r="L116" i="13" s="1"/>
  <c r="L117" i="13" s="1"/>
  <c r="L118" i="13" s="1"/>
  <c r="L120" i="13" s="1"/>
  <c r="L121" i="13" s="1"/>
  <c r="L122" i="13" s="1"/>
  <c r="L123" i="13" s="1"/>
  <c r="L125" i="13" s="1"/>
  <c r="L126" i="13" s="1"/>
  <c r="L127" i="13" s="1"/>
  <c r="L130" i="13" s="1"/>
  <c r="L131" i="13" s="1"/>
  <c r="L132" i="13" s="1"/>
  <c r="L133" i="13" s="1"/>
  <c r="L134" i="13" s="1"/>
  <c r="L135" i="13" s="1"/>
  <c r="L136" i="13" s="1"/>
  <c r="L137" i="13" s="1"/>
  <c r="L138" i="13" s="1"/>
  <c r="L139" i="13" s="1"/>
  <c r="L140" i="13" s="1"/>
  <c r="L141" i="13" s="1"/>
  <c r="L142" i="13" s="1"/>
  <c r="L143" i="13" s="1"/>
  <c r="L144" i="13" s="1"/>
  <c r="L145" i="13" s="1"/>
  <c r="L146" i="13" s="1"/>
  <c r="L147" i="13" s="1"/>
  <c r="L148" i="13" s="1"/>
  <c r="L149" i="13" s="1"/>
  <c r="K86" i="13"/>
  <c r="K88" i="13"/>
  <c r="K89" i="13" s="1"/>
  <c r="K90" i="13" s="1"/>
  <c r="K91" i="13" s="1"/>
  <c r="K92" i="13" s="1"/>
  <c r="J86" i="13"/>
  <c r="J88" i="13"/>
  <c r="J89" i="13" s="1"/>
  <c r="J90" i="13" s="1"/>
  <c r="J91" i="13" s="1"/>
  <c r="J92" i="13" s="1"/>
  <c r="M95" i="13"/>
  <c r="M96" i="13" s="1"/>
  <c r="M97" i="13" s="1"/>
  <c r="M98" i="13" s="1"/>
  <c r="M99" i="13" s="1"/>
  <c r="M102" i="13" s="1"/>
  <c r="M103" i="13" s="1"/>
  <c r="M104" i="13" s="1"/>
  <c r="M107" i="13" s="1"/>
  <c r="M108" i="13" s="1"/>
  <c r="M109" i="13" s="1"/>
  <c r="M110" i="13" s="1"/>
  <c r="M114" i="13" s="1"/>
  <c r="M115" i="13" s="1"/>
  <c r="M116" i="13" s="1"/>
  <c r="M117" i="13" s="1"/>
  <c r="M118" i="13" s="1"/>
  <c r="M120" i="13" s="1"/>
  <c r="M121" i="13" s="1"/>
  <c r="M122" i="13" s="1"/>
  <c r="M123" i="13" s="1"/>
  <c r="M125" i="13" s="1"/>
  <c r="M126" i="13" s="1"/>
  <c r="M127" i="13" s="1"/>
  <c r="M130" i="13" s="1"/>
  <c r="M131" i="13" s="1"/>
  <c r="M132" i="13" s="1"/>
  <c r="M133" i="13" s="1"/>
  <c r="M134" i="13" s="1"/>
  <c r="M135" i="13" s="1"/>
  <c r="M136" i="13" s="1"/>
  <c r="M137" i="13" s="1"/>
  <c r="M138" i="13" s="1"/>
  <c r="M139" i="13" s="1"/>
  <c r="M140" i="13" s="1"/>
  <c r="M141" i="13" s="1"/>
  <c r="M142" i="13" s="1"/>
  <c r="M143" i="13" s="1"/>
  <c r="M144" i="13" s="1"/>
  <c r="M145" i="13" s="1"/>
  <c r="M146" i="13" s="1"/>
  <c r="M147" i="13" s="1"/>
  <c r="M148" i="13" s="1"/>
  <c r="M149" i="13" s="1"/>
  <c r="G42" i="13"/>
  <c r="G43" i="13" s="1"/>
  <c r="G44" i="13" s="1"/>
  <c r="G45" i="13" s="1"/>
  <c r="G46" i="13" s="1"/>
  <c r="G49" i="13" s="1"/>
  <c r="G50" i="13" s="1"/>
  <c r="G51" i="13" s="1"/>
  <c r="G52" i="13" s="1"/>
  <c r="G53" i="13" s="1"/>
  <c r="G54" i="13" s="1"/>
  <c r="G55" i="13" s="1"/>
  <c r="G56" i="13" s="1"/>
  <c r="G57" i="13" s="1"/>
  <c r="G58" i="13" s="1"/>
  <c r="G59" i="13" s="1"/>
  <c r="G60" i="13" s="1"/>
  <c r="G61" i="13" s="1"/>
  <c r="G62" i="13" s="1"/>
  <c r="G63" i="13" s="1"/>
  <c r="G64" i="13" s="1"/>
  <c r="G65" i="13" s="1"/>
  <c r="G66" i="13" s="1"/>
  <c r="G67" i="13" s="1"/>
  <c r="G68" i="13" s="1"/>
  <c r="G70" i="13" s="1"/>
  <c r="G71" i="13" s="1"/>
  <c r="G72" i="13" s="1"/>
  <c r="G73" i="13" s="1"/>
  <c r="G76" i="13" s="1"/>
  <c r="G77" i="13" s="1"/>
  <c r="G78" i="13" s="1"/>
  <c r="G79" i="13" s="1"/>
  <c r="G81" i="13" s="1"/>
  <c r="G82" i="13" s="1"/>
  <c r="G83" i="13" s="1"/>
  <c r="G84" i="13" s="1"/>
  <c r="G85" i="13" s="1"/>
  <c r="F42" i="13"/>
  <c r="F43" i="13" s="1"/>
  <c r="F44" i="13" s="1"/>
  <c r="F45" i="13" s="1"/>
  <c r="F46" i="13" s="1"/>
  <c r="F49" i="13" s="1"/>
  <c r="F50" i="13" s="1"/>
  <c r="F51" i="13" s="1"/>
  <c r="F52" i="13" s="1"/>
  <c r="F53" i="13" s="1"/>
  <c r="F54" i="13" s="1"/>
  <c r="F55" i="13" s="1"/>
  <c r="F56" i="13" s="1"/>
  <c r="F57" i="13" s="1"/>
  <c r="F58" i="13" s="1"/>
  <c r="F59" i="13" s="1"/>
  <c r="F60" i="13" s="1"/>
  <c r="F61" i="13" s="1"/>
  <c r="F62" i="13" s="1"/>
  <c r="F63" i="13" s="1"/>
  <c r="F64" i="13" s="1"/>
  <c r="F65" i="13" s="1"/>
  <c r="F66" i="13" s="1"/>
  <c r="F67" i="13" s="1"/>
  <c r="F68" i="13" s="1"/>
  <c r="F70" i="13" s="1"/>
  <c r="F71" i="13" s="1"/>
  <c r="F72" i="13" s="1"/>
  <c r="F73" i="13" s="1"/>
  <c r="F76" i="13" s="1"/>
  <c r="F77" i="13" s="1"/>
  <c r="F78" i="13" s="1"/>
  <c r="F79" i="13" s="1"/>
  <c r="F81" i="13" s="1"/>
  <c r="F82" i="13" s="1"/>
  <c r="F83" i="13" s="1"/>
  <c r="F84" i="13" s="1"/>
  <c r="F85" i="13" s="1"/>
  <c r="A1" i="9"/>
  <c r="A70" i="9" l="1"/>
  <c r="A70" i="6"/>
  <c r="A43" i="9"/>
  <c r="A43" i="6"/>
  <c r="A99" i="9"/>
  <c r="A99" i="6"/>
  <c r="D30" i="13"/>
  <c r="J93" i="13"/>
  <c r="J95" i="13"/>
  <c r="K93" i="13"/>
  <c r="K95" i="13"/>
  <c r="H93" i="13"/>
  <c r="H95" i="13"/>
  <c r="G86" i="13"/>
  <c r="G88" i="13"/>
  <c r="G89" i="13" s="1"/>
  <c r="G90" i="13" s="1"/>
  <c r="G91" i="13" s="1"/>
  <c r="G92" i="13" s="1"/>
  <c r="F86" i="13"/>
  <c r="F88" i="13"/>
  <c r="F89" i="13" s="1"/>
  <c r="F90" i="13" s="1"/>
  <c r="F91" i="13" s="1"/>
  <c r="F92" i="13" s="1"/>
  <c r="E68" i="13"/>
  <c r="A71" i="6" l="1"/>
  <c r="A71" i="9"/>
  <c r="A44" i="6"/>
  <c r="A44" i="9"/>
  <c r="K96" i="13"/>
  <c r="K97" i="13" s="1"/>
  <c r="K98" i="13" s="1"/>
  <c r="K99" i="13" s="1"/>
  <c r="K102" i="13" s="1"/>
  <c r="K103" i="13" s="1"/>
  <c r="K104" i="13" s="1"/>
  <c r="K107" i="13" s="1"/>
  <c r="K108" i="13" s="1"/>
  <c r="K109" i="13" s="1"/>
  <c r="K110" i="13" s="1"/>
  <c r="K114" i="13" s="1"/>
  <c r="K115" i="13" s="1"/>
  <c r="K116" i="13" s="1"/>
  <c r="K117" i="13" s="1"/>
  <c r="K118" i="13" s="1"/>
  <c r="K120" i="13" s="1"/>
  <c r="K121" i="13" s="1"/>
  <c r="K122" i="13" s="1"/>
  <c r="K123" i="13" s="1"/>
  <c r="K125" i="13" s="1"/>
  <c r="K126" i="13" s="1"/>
  <c r="K127" i="13" s="1"/>
  <c r="K130" i="13" s="1"/>
  <c r="K131" i="13" s="1"/>
  <c r="K132" i="13" s="1"/>
  <c r="K133" i="13" s="1"/>
  <c r="K134" i="13" s="1"/>
  <c r="K135" i="13" s="1"/>
  <c r="K136" i="13" s="1"/>
  <c r="K137" i="13" s="1"/>
  <c r="K138" i="13" s="1"/>
  <c r="K139" i="13" s="1"/>
  <c r="K140" i="13" s="1"/>
  <c r="K141" i="13" s="1"/>
  <c r="K142" i="13" s="1"/>
  <c r="K143" i="13" s="1"/>
  <c r="K144" i="13" s="1"/>
  <c r="K145" i="13" s="1"/>
  <c r="K146" i="13" s="1"/>
  <c r="K147" i="13" s="1"/>
  <c r="K148" i="13" s="1"/>
  <c r="K149" i="13" s="1"/>
  <c r="H96" i="13"/>
  <c r="H97" i="13" s="1"/>
  <c r="H98" i="13" s="1"/>
  <c r="H99" i="13" s="1"/>
  <c r="H102" i="13" s="1"/>
  <c r="H103" i="13" s="1"/>
  <c r="H104" i="13" s="1"/>
  <c r="H107" i="13" s="1"/>
  <c r="H108" i="13" s="1"/>
  <c r="H109" i="13" s="1"/>
  <c r="H110" i="13" s="1"/>
  <c r="H114" i="13" s="1"/>
  <c r="H115" i="13" s="1"/>
  <c r="H116" i="13" s="1"/>
  <c r="H117" i="13" s="1"/>
  <c r="H118" i="13" s="1"/>
  <c r="H120" i="13" s="1"/>
  <c r="H121" i="13" s="1"/>
  <c r="H122" i="13" s="1"/>
  <c r="H123" i="13" s="1"/>
  <c r="H125" i="13" s="1"/>
  <c r="H126" i="13" s="1"/>
  <c r="H127" i="13" s="1"/>
  <c r="H130" i="13" s="1"/>
  <c r="H131" i="13" s="1"/>
  <c r="H132" i="13" s="1"/>
  <c r="H133" i="13" s="1"/>
  <c r="H134" i="13" s="1"/>
  <c r="H135" i="13" s="1"/>
  <c r="H136" i="13" s="1"/>
  <c r="H137" i="13" s="1"/>
  <c r="H138" i="13" s="1"/>
  <c r="H139" i="13" s="1"/>
  <c r="H140" i="13" s="1"/>
  <c r="H141" i="13" s="1"/>
  <c r="H142" i="13" s="1"/>
  <c r="H143" i="13" s="1"/>
  <c r="H144" i="13" s="1"/>
  <c r="H145" i="13" s="1"/>
  <c r="H146" i="13" s="1"/>
  <c r="H147" i="13" s="1"/>
  <c r="H148" i="13" s="1"/>
  <c r="H149" i="13" s="1"/>
  <c r="J96" i="13"/>
  <c r="J97" i="13" s="1"/>
  <c r="J98" i="13" s="1"/>
  <c r="J99" i="13" s="1"/>
  <c r="J102" i="13" s="1"/>
  <c r="J103" i="13" s="1"/>
  <c r="J104" i="13" s="1"/>
  <c r="J107" i="13" s="1"/>
  <c r="J108" i="13" s="1"/>
  <c r="J109" i="13" s="1"/>
  <c r="J110" i="13" s="1"/>
  <c r="J114" i="13" s="1"/>
  <c r="J115" i="13" s="1"/>
  <c r="J116" i="13" s="1"/>
  <c r="J117" i="13" s="1"/>
  <c r="J118" i="13" s="1"/>
  <c r="J120" i="13" s="1"/>
  <c r="J121" i="13" s="1"/>
  <c r="J122" i="13" s="1"/>
  <c r="J123" i="13" s="1"/>
  <c r="J125" i="13" s="1"/>
  <c r="J126" i="13" s="1"/>
  <c r="J127" i="13" s="1"/>
  <c r="J130" i="13" s="1"/>
  <c r="J131" i="13" s="1"/>
  <c r="J132" i="13" s="1"/>
  <c r="J133" i="13" s="1"/>
  <c r="J134" i="13" s="1"/>
  <c r="J135" i="13" s="1"/>
  <c r="J136" i="13" s="1"/>
  <c r="J137" i="13" s="1"/>
  <c r="J138" i="13" s="1"/>
  <c r="J139" i="13" s="1"/>
  <c r="J140" i="13" s="1"/>
  <c r="J141" i="13" s="1"/>
  <c r="J142" i="13" s="1"/>
  <c r="J143" i="13" s="1"/>
  <c r="J144" i="13" s="1"/>
  <c r="J145" i="13" s="1"/>
  <c r="J146" i="13" s="1"/>
  <c r="J147" i="13" s="1"/>
  <c r="J148" i="13" s="1"/>
  <c r="J149" i="13" s="1"/>
  <c r="G93" i="13"/>
  <c r="G95" i="13"/>
  <c r="F93" i="13"/>
  <c r="F95" i="13"/>
  <c r="E30" i="13"/>
  <c r="N30" i="13" s="1"/>
  <c r="AD30" i="13" s="1"/>
  <c r="E27" i="13"/>
  <c r="N27" i="13" s="1"/>
  <c r="AD27" i="13" s="1"/>
  <c r="E26" i="13"/>
  <c r="N26" i="13" s="1"/>
  <c r="AD26" i="13" s="1"/>
  <c r="E25" i="13"/>
  <c r="N25" i="13" s="1"/>
  <c r="AD25" i="13" s="1"/>
  <c r="E24" i="13"/>
  <c r="N24" i="13" s="1"/>
  <c r="AD24" i="13" s="1"/>
  <c r="E23" i="13"/>
  <c r="N23" i="13" s="1"/>
  <c r="AD23" i="13" s="1"/>
  <c r="E19" i="13"/>
  <c r="N19" i="13" s="1"/>
  <c r="AD19" i="13" s="1"/>
  <c r="E18" i="13"/>
  <c r="N18" i="13" s="1"/>
  <c r="AD18" i="13" s="1"/>
  <c r="E17" i="13"/>
  <c r="N17" i="13" s="1"/>
  <c r="AD17" i="13" s="1"/>
  <c r="E16" i="13"/>
  <c r="N16" i="13" s="1"/>
  <c r="AD16" i="13" s="1"/>
  <c r="E15" i="13"/>
  <c r="N15" i="13" s="1"/>
  <c r="AD15" i="13" s="1"/>
  <c r="E14" i="13"/>
  <c r="N14" i="13" s="1"/>
  <c r="AD14" i="13" s="1"/>
  <c r="E13" i="13"/>
  <c r="N13" i="13" s="1"/>
  <c r="AD13" i="13" s="1"/>
  <c r="E12" i="13"/>
  <c r="N12" i="13" s="1"/>
  <c r="AD12" i="13" s="1"/>
  <c r="E11" i="13"/>
  <c r="N11" i="13" s="1"/>
  <c r="AD11" i="13" s="1"/>
  <c r="AG11" i="13" l="1"/>
  <c r="AE11" i="13"/>
  <c r="AL11" i="13"/>
  <c r="AI11" i="13"/>
  <c r="AH11" i="13"/>
  <c r="AF11" i="13"/>
  <c r="AM11" i="13"/>
  <c r="AA11" i="13"/>
  <c r="AK11" i="13"/>
  <c r="AC11" i="13"/>
  <c r="AJ11" i="13"/>
  <c r="AB11" i="13"/>
  <c r="AG12" i="13"/>
  <c r="AB12" i="13"/>
  <c r="AH12" i="13"/>
  <c r="AF12" i="13"/>
  <c r="AA12" i="13"/>
  <c r="AM12" i="13"/>
  <c r="AE12" i="13"/>
  <c r="AL12" i="13"/>
  <c r="AJ12" i="13"/>
  <c r="AK12" i="13"/>
  <c r="AC12" i="13"/>
  <c r="AI12" i="13"/>
  <c r="AG13" i="13"/>
  <c r="AF13" i="13"/>
  <c r="AM13" i="13"/>
  <c r="AE13" i="13"/>
  <c r="AK13" i="13"/>
  <c r="AC13" i="13"/>
  <c r="AJ13" i="13"/>
  <c r="AB13" i="13"/>
  <c r="AI13" i="13"/>
  <c r="AA13" i="13"/>
  <c r="AH13" i="13"/>
  <c r="AL13" i="13"/>
  <c r="AG14" i="13"/>
  <c r="AH14" i="13"/>
  <c r="AF14" i="13"/>
  <c r="AC14" i="13"/>
  <c r="AB14" i="13"/>
  <c r="AM14" i="13"/>
  <c r="AE14" i="13"/>
  <c r="AL14" i="13"/>
  <c r="AI14" i="13"/>
  <c r="AK14" i="13"/>
  <c r="AJ14" i="13"/>
  <c r="AA14" i="13"/>
  <c r="AG15" i="13"/>
  <c r="AF15" i="13"/>
  <c r="AE15" i="13"/>
  <c r="AC15" i="13"/>
  <c r="AB15" i="13"/>
  <c r="AI15" i="13"/>
  <c r="AM15" i="13"/>
  <c r="AL15" i="13"/>
  <c r="AJ15" i="13"/>
  <c r="AK15" i="13"/>
  <c r="AA15" i="13"/>
  <c r="AH15" i="13"/>
  <c r="AG16" i="13"/>
  <c r="AH16" i="13"/>
  <c r="AF16" i="13"/>
  <c r="AJ16" i="13"/>
  <c r="AM16" i="13"/>
  <c r="AE16" i="13"/>
  <c r="AL16" i="13"/>
  <c r="AI16" i="13"/>
  <c r="AK16" i="13"/>
  <c r="AC16" i="13"/>
  <c r="AB16" i="13"/>
  <c r="AA16" i="13"/>
  <c r="AG17" i="13"/>
  <c r="AF17" i="13"/>
  <c r="AE17" i="13"/>
  <c r="AB17" i="13"/>
  <c r="AH17" i="13"/>
  <c r="AM17" i="13"/>
  <c r="AL17" i="13"/>
  <c r="AI17" i="13"/>
  <c r="AK17" i="13"/>
  <c r="AC17" i="13"/>
  <c r="AJ17" i="13"/>
  <c r="AA17" i="13"/>
  <c r="AG18" i="13"/>
  <c r="AB18" i="13"/>
  <c r="AF18" i="13"/>
  <c r="AI18" i="13"/>
  <c r="AM18" i="13"/>
  <c r="AE18" i="13"/>
  <c r="AL18" i="13"/>
  <c r="AA18" i="13"/>
  <c r="AH18" i="13"/>
  <c r="AK18" i="13"/>
  <c r="AC18" i="13"/>
  <c r="AJ18" i="13"/>
  <c r="AG19" i="13"/>
  <c r="AB19" i="13"/>
  <c r="AH19" i="13"/>
  <c r="AF19" i="13"/>
  <c r="AJ19" i="13"/>
  <c r="AI19" i="13"/>
  <c r="AM19" i="13"/>
  <c r="AE19" i="13"/>
  <c r="AL19" i="13"/>
  <c r="AA19" i="13"/>
  <c r="AK19" i="13"/>
  <c r="AC19" i="13"/>
  <c r="AG23" i="13"/>
  <c r="AF23" i="13"/>
  <c r="AE23" i="13"/>
  <c r="AL23" i="13"/>
  <c r="AM23" i="13"/>
  <c r="AK23" i="13"/>
  <c r="AC23" i="13"/>
  <c r="AJ23" i="13"/>
  <c r="AB23" i="13"/>
  <c r="AI23" i="13"/>
  <c r="AA23" i="13"/>
  <c r="AH23" i="13"/>
  <c r="AG24" i="13"/>
  <c r="AJ24" i="13"/>
  <c r="AF24" i="13"/>
  <c r="AH24" i="13"/>
  <c r="AM24" i="13"/>
  <c r="AE24" i="13"/>
  <c r="AL24" i="13"/>
  <c r="AA24" i="13"/>
  <c r="AK24" i="13"/>
  <c r="AC24" i="13"/>
  <c r="AB24" i="13"/>
  <c r="AI24" i="13"/>
  <c r="AG25" i="13"/>
  <c r="AL25" i="13"/>
  <c r="AI25" i="13"/>
  <c r="AF25" i="13"/>
  <c r="AA25" i="13"/>
  <c r="AM25" i="13"/>
  <c r="AE25" i="13"/>
  <c r="AB25" i="13"/>
  <c r="AH25" i="13"/>
  <c r="AK25" i="13"/>
  <c r="AC25" i="13"/>
  <c r="AJ25" i="13"/>
  <c r="AG26" i="13"/>
  <c r="AF26" i="13"/>
  <c r="AE26" i="13"/>
  <c r="AL26" i="13"/>
  <c r="AM26" i="13"/>
  <c r="AK26" i="13"/>
  <c r="AC26" i="13"/>
  <c r="AJ26" i="13"/>
  <c r="AB26" i="13"/>
  <c r="AI26" i="13"/>
  <c r="AA26" i="13"/>
  <c r="AH26" i="13"/>
  <c r="AG27" i="13"/>
  <c r="AF27" i="13"/>
  <c r="AE27" i="13"/>
  <c r="AL27" i="13"/>
  <c r="AM27" i="13"/>
  <c r="AK27" i="13"/>
  <c r="AC27" i="13"/>
  <c r="AJ27" i="13"/>
  <c r="AB27" i="13"/>
  <c r="AI27" i="13"/>
  <c r="AA27" i="13"/>
  <c r="AH27" i="13"/>
  <c r="AG30" i="13"/>
  <c r="AF30" i="13"/>
  <c r="AM30" i="13"/>
  <c r="AL30" i="13"/>
  <c r="AE30" i="13"/>
  <c r="AK30" i="13"/>
  <c r="AC30" i="13"/>
  <c r="AJ30" i="13"/>
  <c r="AB30" i="13"/>
  <c r="AI30" i="13"/>
  <c r="AA30" i="13"/>
  <c r="AH30" i="13"/>
  <c r="A72" i="6"/>
  <c r="A72" i="9"/>
  <c r="A45" i="6"/>
  <c r="A45" i="9"/>
  <c r="F96" i="13"/>
  <c r="F97" i="13" s="1"/>
  <c r="F98" i="13" s="1"/>
  <c r="F99" i="13" s="1"/>
  <c r="F102" i="13" s="1"/>
  <c r="F103" i="13" s="1"/>
  <c r="F104" i="13" s="1"/>
  <c r="F107" i="13" s="1"/>
  <c r="F108" i="13" s="1"/>
  <c r="F109" i="13" s="1"/>
  <c r="F110" i="13" s="1"/>
  <c r="F114" i="13" s="1"/>
  <c r="F115" i="13" s="1"/>
  <c r="F116" i="13" s="1"/>
  <c r="F117" i="13" s="1"/>
  <c r="F118" i="13" s="1"/>
  <c r="F120" i="13" s="1"/>
  <c r="F121" i="13" s="1"/>
  <c r="F122" i="13" s="1"/>
  <c r="F123" i="13" s="1"/>
  <c r="F125" i="13" s="1"/>
  <c r="F126" i="13" s="1"/>
  <c r="F127" i="13" s="1"/>
  <c r="F130" i="13" s="1"/>
  <c r="F131" i="13" s="1"/>
  <c r="F132" i="13" s="1"/>
  <c r="F133" i="13" s="1"/>
  <c r="F134" i="13" s="1"/>
  <c r="F135" i="13" s="1"/>
  <c r="F136" i="13" s="1"/>
  <c r="F137" i="13" s="1"/>
  <c r="F138" i="13" s="1"/>
  <c r="F139" i="13" s="1"/>
  <c r="F140" i="13" s="1"/>
  <c r="F141" i="13" s="1"/>
  <c r="F142" i="13" s="1"/>
  <c r="F143" i="13" s="1"/>
  <c r="F144" i="13" s="1"/>
  <c r="F145" i="13" s="1"/>
  <c r="F146" i="13" s="1"/>
  <c r="F147" i="13" s="1"/>
  <c r="F148" i="13" s="1"/>
  <c r="F149" i="13" s="1"/>
  <c r="G96" i="13"/>
  <c r="G97" i="13" s="1"/>
  <c r="G98" i="13" s="1"/>
  <c r="G99" i="13" s="1"/>
  <c r="G102" i="13" s="1"/>
  <c r="G103" i="13" s="1"/>
  <c r="G104" i="13" s="1"/>
  <c r="G107" i="13" s="1"/>
  <c r="G108" i="13" s="1"/>
  <c r="G109" i="13" s="1"/>
  <c r="G110" i="13" s="1"/>
  <c r="G114" i="13" s="1"/>
  <c r="G115" i="13" s="1"/>
  <c r="G116" i="13" s="1"/>
  <c r="G117" i="13" s="1"/>
  <c r="G118" i="13" s="1"/>
  <c r="G120" i="13" s="1"/>
  <c r="G121" i="13" s="1"/>
  <c r="G122" i="13" s="1"/>
  <c r="G123" i="13" s="1"/>
  <c r="G125" i="13" s="1"/>
  <c r="G126" i="13" s="1"/>
  <c r="G127" i="13" s="1"/>
  <c r="G130" i="13" s="1"/>
  <c r="G131" i="13" s="1"/>
  <c r="G132" i="13" s="1"/>
  <c r="G133" i="13" s="1"/>
  <c r="G134" i="13" s="1"/>
  <c r="G135" i="13" s="1"/>
  <c r="G136" i="13" s="1"/>
  <c r="G137" i="13" s="1"/>
  <c r="G138" i="13" s="1"/>
  <c r="G139" i="13" s="1"/>
  <c r="G140" i="13" s="1"/>
  <c r="G141" i="13" s="1"/>
  <c r="G142" i="13" s="1"/>
  <c r="G143" i="13" s="1"/>
  <c r="G144" i="13" s="1"/>
  <c r="G145" i="13" s="1"/>
  <c r="G146" i="13" s="1"/>
  <c r="G147" i="13" s="1"/>
  <c r="G148" i="13" s="1"/>
  <c r="G149" i="13" s="1"/>
  <c r="A73" i="9" l="1"/>
  <c r="A73" i="6"/>
  <c r="A46" i="6"/>
  <c r="A46" i="9"/>
  <c r="O68" i="13"/>
  <c r="N68" i="13" s="1"/>
  <c r="AD68" i="13" s="1"/>
  <c r="AJ68" i="13" l="1"/>
  <c r="AB68" i="13"/>
  <c r="AI68" i="13"/>
  <c r="AA68" i="13"/>
  <c r="AH68" i="13"/>
  <c r="AG68" i="13"/>
  <c r="AF68" i="13"/>
  <c r="AM68" i="13"/>
  <c r="AE68" i="13"/>
  <c r="AL68" i="13"/>
  <c r="AK68" i="13"/>
  <c r="AC68" i="13"/>
  <c r="E68" i="9"/>
  <c r="E33" i="13" l="1"/>
  <c r="AD33" i="13" l="1"/>
  <c r="I68" i="6"/>
  <c r="B156" i="9"/>
  <c r="G158" i="6"/>
  <c r="F156" i="9" s="1"/>
  <c r="F158" i="6"/>
  <c r="E156" i="9" s="1"/>
  <c r="D151" i="9"/>
  <c r="G151" i="9"/>
  <c r="C152" i="9"/>
  <c r="C153" i="9"/>
  <c r="C154" i="9"/>
  <c r="G68" i="9"/>
  <c r="D83" i="9"/>
  <c r="D84" i="9"/>
  <c r="D85" i="9"/>
  <c r="D86" i="9"/>
  <c r="D88" i="9"/>
  <c r="D89" i="9"/>
  <c r="D90" i="9"/>
  <c r="D91" i="9"/>
  <c r="D92" i="9"/>
  <c r="D93" i="9"/>
  <c r="D95" i="9"/>
  <c r="D96" i="9"/>
  <c r="D97" i="9"/>
  <c r="D98" i="9"/>
  <c r="D99" i="9"/>
  <c r="AJ33" i="13" l="1"/>
  <c r="AK33" i="13"/>
  <c r="AM33" i="13"/>
  <c r="AI33" i="13"/>
  <c r="AE33" i="13"/>
  <c r="AG33" i="13"/>
  <c r="AH33" i="13"/>
  <c r="AF33" i="13"/>
  <c r="AC33" i="13"/>
  <c r="AA33" i="13"/>
  <c r="AL33" i="13"/>
  <c r="AB33" i="13"/>
  <c r="D68" i="13"/>
  <c r="S41" i="13" l="1"/>
  <c r="S72" i="13"/>
  <c r="S60" i="13"/>
  <c r="S58" i="13"/>
  <c r="S99" i="13"/>
  <c r="S46" i="13"/>
  <c r="S35" i="13"/>
  <c r="S85" i="13"/>
  <c r="S70" i="13"/>
  <c r="S56" i="13"/>
  <c r="S36" i="13"/>
  <c r="S43" i="13"/>
  <c r="S97" i="13"/>
  <c r="S93" i="13"/>
  <c r="S82" i="13"/>
  <c r="S86" i="13"/>
  <c r="S13" i="13"/>
  <c r="S17" i="13"/>
  <c r="S12" i="13"/>
  <c r="S32" i="13"/>
  <c r="S18" i="13"/>
  <c r="S16" i="13"/>
  <c r="S62" i="13"/>
  <c r="S53" i="13"/>
  <c r="S136" i="13"/>
  <c r="S76" i="13"/>
  <c r="S71" i="13"/>
  <c r="S84" i="13"/>
  <c r="S147" i="13"/>
  <c r="S81" i="13"/>
  <c r="S11" i="13"/>
  <c r="S146" i="13"/>
  <c r="S91" i="13"/>
  <c r="S92" i="13"/>
  <c r="S30" i="13"/>
  <c r="S24" i="13"/>
  <c r="S14" i="13"/>
  <c r="S25" i="13"/>
  <c r="S52" i="13"/>
  <c r="S59" i="13"/>
  <c r="S27" i="13"/>
  <c r="S38" i="13"/>
  <c r="S78" i="13"/>
  <c r="S79" i="13"/>
  <c r="S135" i="13"/>
  <c r="S145" i="13"/>
  <c r="S77" i="13"/>
  <c r="S51" i="13"/>
  <c r="S34" i="13"/>
  <c r="S26" i="13"/>
  <c r="S39" i="13"/>
  <c r="S130" i="13"/>
  <c r="S57" i="13"/>
  <c r="S139" i="13"/>
  <c r="S134" i="13"/>
  <c r="S73" i="13"/>
  <c r="S137" i="13"/>
  <c r="S143" i="13"/>
  <c r="S144" i="13"/>
  <c r="S22" i="13"/>
  <c r="S138" i="13"/>
  <c r="S140" i="13"/>
  <c r="S133" i="13"/>
  <c r="S132" i="13"/>
  <c r="S141" i="13"/>
  <c r="S142" i="13"/>
  <c r="S19" i="13"/>
  <c r="S89" i="13"/>
  <c r="S148" i="13"/>
  <c r="S149" i="13"/>
  <c r="S63" i="13"/>
  <c r="S67" i="13"/>
  <c r="S15" i="13"/>
  <c r="S37" i="13"/>
  <c r="S66" i="13"/>
  <c r="S131" i="13"/>
  <c r="S98" i="13"/>
  <c r="S44" i="13"/>
  <c r="S83" i="13"/>
  <c r="S96" i="13"/>
  <c r="S55" i="13"/>
  <c r="S64" i="13"/>
  <c r="S88" i="13"/>
  <c r="S68" i="13"/>
  <c r="S90" i="13"/>
  <c r="S50" i="13"/>
  <c r="S45" i="13"/>
  <c r="E29" i="13"/>
  <c r="N29" i="13" s="1"/>
  <c r="AD29" i="13" s="1"/>
  <c r="AM29" i="13" l="1"/>
  <c r="AH29" i="13"/>
  <c r="AB29" i="13"/>
  <c r="AJ29" i="13"/>
  <c r="AF29" i="13"/>
  <c r="AA29" i="13"/>
  <c r="AI29" i="13"/>
  <c r="AE29" i="13"/>
  <c r="AL29" i="13"/>
  <c r="AC29" i="13"/>
  <c r="AK29" i="13"/>
  <c r="S49" i="13"/>
  <c r="W49" i="13"/>
  <c r="V49" i="13"/>
  <c r="T49" i="13"/>
  <c r="U49" i="13"/>
  <c r="S42" i="13"/>
  <c r="T42" i="13"/>
  <c r="W42" i="13"/>
  <c r="V42" i="13"/>
  <c r="U42" i="13"/>
  <c r="S61" i="13"/>
  <c r="U61" i="13"/>
  <c r="T61" i="13"/>
  <c r="V61" i="13"/>
  <c r="W61" i="13"/>
  <c r="W40" i="13"/>
  <c r="S40" i="13"/>
  <c r="T40" i="13"/>
  <c r="U40" i="13"/>
  <c r="V40" i="13"/>
  <c r="S33" i="13"/>
  <c r="W33" i="13"/>
  <c r="V33" i="13"/>
  <c r="U33" i="13"/>
  <c r="T33" i="13"/>
  <c r="S54" i="13"/>
  <c r="W54" i="13"/>
  <c r="U54" i="13"/>
  <c r="V54" i="13"/>
  <c r="T54" i="13"/>
  <c r="S65" i="13"/>
  <c r="T65" i="13"/>
  <c r="U65" i="13"/>
  <c r="W65" i="13"/>
  <c r="V65" i="13"/>
  <c r="U95" i="13"/>
  <c r="W95" i="13"/>
  <c r="V95" i="13"/>
  <c r="T95" i="13"/>
  <c r="S95" i="13"/>
  <c r="S23" i="13"/>
  <c r="V23" i="13"/>
  <c r="W23" i="13"/>
  <c r="T23" i="13"/>
  <c r="U23" i="13"/>
  <c r="T146" i="13"/>
  <c r="W146" i="13"/>
  <c r="V146" i="13"/>
  <c r="U146" i="13"/>
  <c r="V130" i="13"/>
  <c r="T130" i="13"/>
  <c r="W130" i="13"/>
  <c r="U130" i="13"/>
  <c r="U148" i="13"/>
  <c r="V148" i="13"/>
  <c r="T148" i="13"/>
  <c r="W148" i="13"/>
  <c r="U134" i="13"/>
  <c r="T134" i="13"/>
  <c r="W134" i="13"/>
  <c r="V134" i="13"/>
  <c r="V144" i="13"/>
  <c r="W144" i="13"/>
  <c r="T144" i="13"/>
  <c r="U144" i="13"/>
  <c r="T145" i="13"/>
  <c r="W145" i="13"/>
  <c r="V145" i="13"/>
  <c r="U145" i="13"/>
  <c r="W147" i="13"/>
  <c r="U147" i="13"/>
  <c r="T147" i="13"/>
  <c r="V147" i="13"/>
  <c r="W137" i="13"/>
  <c r="U137" i="13"/>
  <c r="V137" i="13"/>
  <c r="T137" i="13"/>
  <c r="U25" i="13"/>
  <c r="W25" i="13"/>
  <c r="T25" i="13"/>
  <c r="V25" i="13"/>
  <c r="T149" i="13"/>
  <c r="W149" i="13"/>
  <c r="U149" i="13"/>
  <c r="V149" i="13"/>
  <c r="T138" i="13"/>
  <c r="U138" i="13"/>
  <c r="V138" i="13"/>
  <c r="W138" i="13"/>
  <c r="W131" i="13"/>
  <c r="V131" i="13"/>
  <c r="U131" i="13"/>
  <c r="T131" i="13"/>
  <c r="U26" i="13"/>
  <c r="T26" i="13"/>
  <c r="V26" i="13"/>
  <c r="W26" i="13"/>
  <c r="U139" i="13"/>
  <c r="T139" i="13"/>
  <c r="V139" i="13"/>
  <c r="W139" i="13"/>
  <c r="T135" i="13"/>
  <c r="U135" i="13"/>
  <c r="V135" i="13"/>
  <c r="W135" i="13"/>
  <c r="W132" i="13"/>
  <c r="U132" i="13"/>
  <c r="V132" i="13"/>
  <c r="T132" i="13"/>
  <c r="T133" i="13"/>
  <c r="V133" i="13"/>
  <c r="W133" i="13"/>
  <c r="U133" i="13"/>
  <c r="T143" i="13"/>
  <c r="V143" i="13"/>
  <c r="U143" i="13"/>
  <c r="W143" i="13"/>
  <c r="W136" i="13"/>
  <c r="U136" i="13"/>
  <c r="V136" i="13"/>
  <c r="T136" i="13"/>
  <c r="T24" i="13"/>
  <c r="V24" i="13"/>
  <c r="W24" i="13"/>
  <c r="U24" i="13"/>
  <c r="W27" i="13"/>
  <c r="T27" i="13"/>
  <c r="U27" i="13"/>
  <c r="V27" i="13"/>
  <c r="T140" i="13"/>
  <c r="W140" i="13"/>
  <c r="U140" i="13"/>
  <c r="V140" i="13"/>
  <c r="U141" i="13"/>
  <c r="W141" i="13"/>
  <c r="T141" i="13"/>
  <c r="V141" i="13"/>
  <c r="U142" i="13"/>
  <c r="W142" i="13"/>
  <c r="V142" i="13"/>
  <c r="T142" i="13"/>
  <c r="W34" i="13"/>
  <c r="V34" i="13"/>
  <c r="U34" i="13"/>
  <c r="T34" i="13"/>
  <c r="U58" i="13"/>
  <c r="T58" i="13"/>
  <c r="W58" i="13"/>
  <c r="V58" i="13"/>
  <c r="W46" i="13"/>
  <c r="V46" i="13"/>
  <c r="T46" i="13"/>
  <c r="U46" i="13"/>
  <c r="U91" i="13"/>
  <c r="T91" i="13"/>
  <c r="W91" i="13"/>
  <c r="V91" i="13"/>
  <c r="T55" i="13"/>
  <c r="U55" i="13"/>
  <c r="W55" i="13"/>
  <c r="V55" i="13"/>
  <c r="W70" i="13"/>
  <c r="V70" i="13"/>
  <c r="U70" i="13"/>
  <c r="T70" i="13"/>
  <c r="V56" i="13"/>
  <c r="U56" i="13"/>
  <c r="W56" i="13"/>
  <c r="T56" i="13"/>
  <c r="U35" i="13"/>
  <c r="W35" i="13"/>
  <c r="V35" i="13"/>
  <c r="T35" i="13"/>
  <c r="V93" i="13"/>
  <c r="U93" i="13"/>
  <c r="T93" i="13"/>
  <c r="W93" i="13"/>
  <c r="W90" i="13"/>
  <c r="V90" i="13"/>
  <c r="U90" i="13"/>
  <c r="T90" i="13"/>
  <c r="U18" i="13"/>
  <c r="T18" i="13"/>
  <c r="W18" i="13"/>
  <c r="V18" i="13"/>
  <c r="W17" i="13"/>
  <c r="V17" i="13"/>
  <c r="T17" i="13"/>
  <c r="U17" i="13"/>
  <c r="W57" i="13"/>
  <c r="V57" i="13"/>
  <c r="U57" i="13"/>
  <c r="T57" i="13"/>
  <c r="T51" i="13"/>
  <c r="V51" i="13"/>
  <c r="U51" i="13"/>
  <c r="W51" i="13"/>
  <c r="W83" i="13"/>
  <c r="U83" i="13"/>
  <c r="V83" i="13"/>
  <c r="T83" i="13"/>
  <c r="V99" i="13"/>
  <c r="W99" i="13"/>
  <c r="T99" i="13"/>
  <c r="U99" i="13"/>
  <c r="T92" i="13"/>
  <c r="V92" i="13"/>
  <c r="W92" i="13"/>
  <c r="U92" i="13"/>
  <c r="W41" i="13"/>
  <c r="U41" i="13"/>
  <c r="T41" i="13"/>
  <c r="V41" i="13"/>
  <c r="T98" i="13"/>
  <c r="V98" i="13"/>
  <c r="U98" i="13"/>
  <c r="W98" i="13"/>
  <c r="U12" i="13"/>
  <c r="T12" i="13"/>
  <c r="W12" i="13"/>
  <c r="V12" i="13"/>
  <c r="U39" i="13"/>
  <c r="T39" i="13"/>
  <c r="W39" i="13"/>
  <c r="V39" i="13"/>
  <c r="T96" i="13"/>
  <c r="V96" i="13"/>
  <c r="U96" i="13"/>
  <c r="W96" i="13"/>
  <c r="W50" i="13"/>
  <c r="V50" i="13"/>
  <c r="T50" i="13"/>
  <c r="U50" i="13"/>
  <c r="T36" i="13"/>
  <c r="W36" i="13"/>
  <c r="V36" i="13"/>
  <c r="U36" i="13"/>
  <c r="W84" i="13"/>
  <c r="U84" i="13"/>
  <c r="V84" i="13"/>
  <c r="T84" i="13"/>
  <c r="U82" i="13"/>
  <c r="T82" i="13"/>
  <c r="V82" i="13"/>
  <c r="W82" i="13"/>
  <c r="U66" i="13"/>
  <c r="T66" i="13"/>
  <c r="W66" i="13"/>
  <c r="V66" i="13"/>
  <c r="V73" i="13"/>
  <c r="U73" i="13"/>
  <c r="T73" i="13"/>
  <c r="W73" i="13"/>
  <c r="W52" i="13"/>
  <c r="V52" i="13"/>
  <c r="U52" i="13"/>
  <c r="T52" i="13"/>
  <c r="U86" i="13"/>
  <c r="T86" i="13"/>
  <c r="W86" i="13"/>
  <c r="V86" i="13"/>
  <c r="W81" i="13"/>
  <c r="V81" i="13"/>
  <c r="U81" i="13"/>
  <c r="T81" i="13"/>
  <c r="T72" i="13"/>
  <c r="U72" i="13"/>
  <c r="V72" i="13"/>
  <c r="W72" i="13"/>
  <c r="W67" i="13"/>
  <c r="V67" i="13"/>
  <c r="T67" i="13"/>
  <c r="U67" i="13"/>
  <c r="U71" i="13"/>
  <c r="T71" i="13"/>
  <c r="W71" i="13"/>
  <c r="V71" i="13"/>
  <c r="V30" i="13"/>
  <c r="T30" i="13"/>
  <c r="W30" i="13"/>
  <c r="U30" i="13"/>
  <c r="T89" i="13"/>
  <c r="W89" i="13"/>
  <c r="V89" i="13"/>
  <c r="U89" i="13"/>
  <c r="W13" i="13"/>
  <c r="T13" i="13"/>
  <c r="V13" i="13"/>
  <c r="U13" i="13"/>
  <c r="W45" i="13"/>
  <c r="V45" i="13"/>
  <c r="U45" i="13"/>
  <c r="T45" i="13"/>
  <c r="T15" i="13"/>
  <c r="W15" i="13"/>
  <c r="V15" i="13"/>
  <c r="U15" i="13"/>
  <c r="W32" i="13"/>
  <c r="V32" i="13"/>
  <c r="T32" i="13"/>
  <c r="U32" i="13"/>
  <c r="U43" i="13"/>
  <c r="T43" i="13"/>
  <c r="V43" i="13"/>
  <c r="W43" i="13"/>
  <c r="W85" i="13"/>
  <c r="V85" i="13"/>
  <c r="T85" i="13"/>
  <c r="U85" i="13"/>
  <c r="V37" i="13"/>
  <c r="U37" i="13"/>
  <c r="W37" i="13"/>
  <c r="T37" i="13"/>
  <c r="W22" i="13"/>
  <c r="T22" i="13"/>
  <c r="V22" i="13"/>
  <c r="U22" i="13"/>
  <c r="W44" i="13"/>
  <c r="U44" i="13"/>
  <c r="T44" i="13"/>
  <c r="V44" i="13"/>
  <c r="W63" i="13"/>
  <c r="U63" i="13"/>
  <c r="T63" i="13"/>
  <c r="V63" i="13"/>
  <c r="T68" i="13"/>
  <c r="V68" i="13"/>
  <c r="W68" i="13"/>
  <c r="U68" i="13"/>
  <c r="T16" i="13"/>
  <c r="W16" i="13"/>
  <c r="V16" i="13"/>
  <c r="U16" i="13"/>
  <c r="U62" i="13"/>
  <c r="T62" i="13"/>
  <c r="V62" i="13"/>
  <c r="W62" i="13"/>
  <c r="W64" i="13"/>
  <c r="T64" i="13"/>
  <c r="U64" i="13"/>
  <c r="V64" i="13"/>
  <c r="W76" i="13"/>
  <c r="V76" i="13"/>
  <c r="U76" i="13"/>
  <c r="T76" i="13"/>
  <c r="W11" i="13"/>
  <c r="V11" i="13"/>
  <c r="U11" i="13"/>
  <c r="T11" i="13"/>
  <c r="V59" i="13"/>
  <c r="U59" i="13"/>
  <c r="T59" i="13"/>
  <c r="W59" i="13"/>
  <c r="U77" i="13"/>
  <c r="T77" i="13"/>
  <c r="W77" i="13"/>
  <c r="V77" i="13"/>
  <c r="U14" i="13"/>
  <c r="T14" i="13"/>
  <c r="W14" i="13"/>
  <c r="V14" i="13"/>
  <c r="V19" i="13"/>
  <c r="U19" i="13"/>
  <c r="W19" i="13"/>
  <c r="T19" i="13"/>
  <c r="W60" i="13"/>
  <c r="U60" i="13"/>
  <c r="V60" i="13"/>
  <c r="T60" i="13"/>
  <c r="U97" i="13"/>
  <c r="T97" i="13"/>
  <c r="W97" i="13"/>
  <c r="V97" i="13"/>
  <c r="W79" i="13"/>
  <c r="U79" i="13"/>
  <c r="T79" i="13"/>
  <c r="V79" i="13"/>
  <c r="V78" i="13"/>
  <c r="U78" i="13"/>
  <c r="W78" i="13"/>
  <c r="T78" i="13"/>
  <c r="W88" i="13"/>
  <c r="T88" i="13"/>
  <c r="V88" i="13"/>
  <c r="U88" i="13"/>
  <c r="W38" i="13"/>
  <c r="V38" i="13"/>
  <c r="U38" i="13"/>
  <c r="T38" i="13"/>
  <c r="W53" i="13"/>
  <c r="V53" i="13"/>
  <c r="U53" i="13"/>
  <c r="T53" i="13"/>
  <c r="S29" i="13"/>
  <c r="D30" i="9"/>
  <c r="I1" i="6"/>
  <c r="W29" i="13" l="1"/>
  <c r="T29" i="13"/>
  <c r="AG29" i="13"/>
  <c r="V29" i="13"/>
  <c r="U29" i="13"/>
  <c r="E8" i="13"/>
  <c r="N8" i="13" s="1"/>
  <c r="AD8" i="13" s="1"/>
  <c r="E7" i="13"/>
  <c r="N7" i="13" s="1"/>
  <c r="AD7" i="13" s="1"/>
  <c r="E6" i="13"/>
  <c r="N6" i="13" s="1"/>
  <c r="AD6" i="13" s="1"/>
  <c r="AG6" i="13" l="1"/>
  <c r="AE6" i="13"/>
  <c r="AL6" i="13"/>
  <c r="AF6" i="13"/>
  <c r="AM6" i="13"/>
  <c r="AJ6" i="13"/>
  <c r="AH6" i="13"/>
  <c r="AA6" i="13"/>
  <c r="AK6" i="13"/>
  <c r="AC6" i="13"/>
  <c r="AB6" i="13"/>
  <c r="AI6" i="13"/>
  <c r="AG7" i="13"/>
  <c r="AE7" i="13"/>
  <c r="AJ7" i="13"/>
  <c r="AF7" i="13"/>
  <c r="AM7" i="13"/>
  <c r="AL7" i="13"/>
  <c r="AA7" i="13"/>
  <c r="AI7" i="13"/>
  <c r="AK7" i="13"/>
  <c r="AC7" i="13"/>
  <c r="AB7" i="13"/>
  <c r="AH7" i="13"/>
  <c r="AG8" i="13"/>
  <c r="AM8" i="13"/>
  <c r="AB8" i="13"/>
  <c r="AH8" i="13"/>
  <c r="AF8" i="13"/>
  <c r="AE8" i="13"/>
  <c r="AL8" i="13"/>
  <c r="AI8" i="13"/>
  <c r="AA8" i="13"/>
  <c r="AK8" i="13"/>
  <c r="AC8" i="13"/>
  <c r="AJ8" i="13"/>
  <c r="D7" i="9"/>
  <c r="D8" i="9"/>
  <c r="E127" i="13"/>
  <c r="N127" i="13" s="1"/>
  <c r="AD127" i="13" s="1"/>
  <c r="E126" i="13"/>
  <c r="N126" i="13" s="1"/>
  <c r="AD126" i="13" s="1"/>
  <c r="E125" i="13"/>
  <c r="N125" i="13" s="1"/>
  <c r="AD125" i="13" s="1"/>
  <c r="E123" i="13"/>
  <c r="N123" i="13" s="1"/>
  <c r="AD123" i="13" s="1"/>
  <c r="E122" i="13"/>
  <c r="N122" i="13" s="1"/>
  <c r="AD122" i="13" s="1"/>
  <c r="E121" i="13"/>
  <c r="N121" i="13" s="1"/>
  <c r="AD121" i="13" s="1"/>
  <c r="E120" i="13"/>
  <c r="N120" i="13" s="1"/>
  <c r="AD120" i="13" s="1"/>
  <c r="E118" i="13"/>
  <c r="N118" i="13" s="1"/>
  <c r="AD118" i="13" s="1"/>
  <c r="E117" i="13"/>
  <c r="N117" i="13" s="1"/>
  <c r="AD117" i="13" s="1"/>
  <c r="E116" i="13"/>
  <c r="N116" i="13" s="1"/>
  <c r="AD116" i="13" s="1"/>
  <c r="E115" i="13"/>
  <c r="N115" i="13" s="1"/>
  <c r="AD115" i="13" s="1"/>
  <c r="E114" i="13"/>
  <c r="N114" i="13" s="1"/>
  <c r="AD114" i="13" s="1"/>
  <c r="E107" i="13"/>
  <c r="N107" i="13" s="1"/>
  <c r="AD107" i="13" s="1"/>
  <c r="E110" i="13"/>
  <c r="N110" i="13" s="1"/>
  <c r="AD110" i="13" s="1"/>
  <c r="E109" i="13"/>
  <c r="N109" i="13" s="1"/>
  <c r="AD109" i="13" s="1"/>
  <c r="E108" i="13"/>
  <c r="N108" i="13" s="1"/>
  <c r="AD108" i="13" s="1"/>
  <c r="E104" i="13"/>
  <c r="N104" i="13" s="1"/>
  <c r="AD104" i="13" s="1"/>
  <c r="E103" i="13"/>
  <c r="N103" i="13" s="1"/>
  <c r="AD103" i="13" s="1"/>
  <c r="E102" i="13"/>
  <c r="N102" i="13" s="1"/>
  <c r="AD102" i="13" s="1"/>
  <c r="AI102" i="13" l="1"/>
  <c r="AA102" i="13"/>
  <c r="AE102" i="13"/>
  <c r="AH102" i="13"/>
  <c r="AG102" i="13"/>
  <c r="AF102" i="13"/>
  <c r="AM102" i="13"/>
  <c r="AL102" i="13"/>
  <c r="AK102" i="13"/>
  <c r="AC102" i="13"/>
  <c r="AJ102" i="13"/>
  <c r="AB102" i="13"/>
  <c r="AI103" i="13"/>
  <c r="AA103" i="13"/>
  <c r="AH103" i="13"/>
  <c r="AE103" i="13"/>
  <c r="AG103" i="13"/>
  <c r="AF103" i="13"/>
  <c r="AM103" i="13"/>
  <c r="AL103" i="13"/>
  <c r="AK103" i="13"/>
  <c r="AC103" i="13"/>
  <c r="AJ103" i="13"/>
  <c r="AB103" i="13"/>
  <c r="AI104" i="13"/>
  <c r="AA104" i="13"/>
  <c r="AE104" i="13"/>
  <c r="AH104" i="13"/>
  <c r="AG104" i="13"/>
  <c r="AF104" i="13"/>
  <c r="AM104" i="13"/>
  <c r="AL104" i="13"/>
  <c r="AK104" i="13"/>
  <c r="AC104" i="13"/>
  <c r="AJ104" i="13"/>
  <c r="AB104" i="13"/>
  <c r="AI107" i="13"/>
  <c r="AA107" i="13"/>
  <c r="AF107" i="13"/>
  <c r="AH107" i="13"/>
  <c r="AG107" i="13"/>
  <c r="AJ107" i="13"/>
  <c r="AM107" i="13"/>
  <c r="AE107" i="13"/>
  <c r="AL107" i="13"/>
  <c r="AK107" i="13"/>
  <c r="AC107" i="13"/>
  <c r="AB107" i="13"/>
  <c r="AI108" i="13"/>
  <c r="AA108" i="13"/>
  <c r="AJ108" i="13"/>
  <c r="AH108" i="13"/>
  <c r="AF108" i="13"/>
  <c r="AK108" i="13"/>
  <c r="AG108" i="13"/>
  <c r="AC108" i="13"/>
  <c r="AB108" i="13"/>
  <c r="AM108" i="13"/>
  <c r="AE108" i="13"/>
  <c r="AL108" i="13"/>
  <c r="AI109" i="13"/>
  <c r="AA109" i="13"/>
  <c r="AH109" i="13"/>
  <c r="AF109" i="13"/>
  <c r="AM109" i="13"/>
  <c r="AB109" i="13"/>
  <c r="AG109" i="13"/>
  <c r="AE109" i="13"/>
  <c r="AL109" i="13"/>
  <c r="AK109" i="13"/>
  <c r="AC109" i="13"/>
  <c r="AJ109" i="13"/>
  <c r="AI110" i="13"/>
  <c r="AA110" i="13"/>
  <c r="AH110" i="13"/>
  <c r="AG110" i="13"/>
  <c r="AF110" i="13"/>
  <c r="AM110" i="13"/>
  <c r="AE110" i="13"/>
  <c r="AC110" i="13"/>
  <c r="AL110" i="13"/>
  <c r="AK110" i="13"/>
  <c r="AJ110" i="13"/>
  <c r="AB110" i="13"/>
  <c r="AI114" i="13"/>
  <c r="AA114" i="13"/>
  <c r="AH114" i="13"/>
  <c r="AF114" i="13"/>
  <c r="AK114" i="13"/>
  <c r="AJ114" i="13"/>
  <c r="AG114" i="13"/>
  <c r="AB114" i="13"/>
  <c r="AM114" i="13"/>
  <c r="AE114" i="13"/>
  <c r="AL114" i="13"/>
  <c r="AC114" i="13"/>
  <c r="AI115" i="13"/>
  <c r="AA115" i="13"/>
  <c r="AH115" i="13"/>
  <c r="AF115" i="13"/>
  <c r="AE115" i="13"/>
  <c r="AG115" i="13"/>
  <c r="AM115" i="13"/>
  <c r="AL115" i="13"/>
  <c r="AK115" i="13"/>
  <c r="AC115" i="13"/>
  <c r="AJ115" i="13"/>
  <c r="AB115" i="13"/>
  <c r="AI116" i="13"/>
  <c r="AA116" i="13"/>
  <c r="AL116" i="13"/>
  <c r="AJ116" i="13"/>
  <c r="AH116" i="13"/>
  <c r="AC116" i="13"/>
  <c r="AG116" i="13"/>
  <c r="AM116" i="13"/>
  <c r="AE116" i="13"/>
  <c r="AB116" i="13"/>
  <c r="AF116" i="13"/>
  <c r="AK116" i="13"/>
  <c r="AI117" i="13"/>
  <c r="AA117" i="13"/>
  <c r="AF117" i="13"/>
  <c r="AB117" i="13"/>
  <c r="AH117" i="13"/>
  <c r="AG117" i="13"/>
  <c r="AJ117" i="13"/>
  <c r="AM117" i="13"/>
  <c r="AE117" i="13"/>
  <c r="AL117" i="13"/>
  <c r="AK117" i="13"/>
  <c r="AC117" i="13"/>
  <c r="AI118" i="13"/>
  <c r="AA118" i="13"/>
  <c r="AC118" i="13"/>
  <c r="AB118" i="13"/>
  <c r="AH118" i="13"/>
  <c r="AJ118" i="13"/>
  <c r="AG118" i="13"/>
  <c r="AF118" i="13"/>
  <c r="AK118" i="13"/>
  <c r="AM118" i="13"/>
  <c r="AE118" i="13"/>
  <c r="AL118" i="13"/>
  <c r="AI120" i="13"/>
  <c r="AA120" i="13"/>
  <c r="AH120" i="13"/>
  <c r="AF120" i="13"/>
  <c r="AE120" i="13"/>
  <c r="AG120" i="13"/>
  <c r="AM120" i="13"/>
  <c r="AL120" i="13"/>
  <c r="AK120" i="13"/>
  <c r="AC120" i="13"/>
  <c r="AJ120" i="13"/>
  <c r="AB120" i="13"/>
  <c r="AI121" i="13"/>
  <c r="AA121" i="13"/>
  <c r="AH121" i="13"/>
  <c r="AF121" i="13"/>
  <c r="AM121" i="13"/>
  <c r="AG121" i="13"/>
  <c r="AE121" i="13"/>
  <c r="AL121" i="13"/>
  <c r="AK121" i="13"/>
  <c r="AC121" i="13"/>
  <c r="AJ121" i="13"/>
  <c r="AB121" i="13"/>
  <c r="AI122" i="13"/>
  <c r="AA122" i="13"/>
  <c r="AJ122" i="13"/>
  <c r="AH122" i="13"/>
  <c r="AC122" i="13"/>
  <c r="AG122" i="13"/>
  <c r="AF122" i="13"/>
  <c r="AK122" i="13"/>
  <c r="AM122" i="13"/>
  <c r="AE122" i="13"/>
  <c r="AL122" i="13"/>
  <c r="AB122" i="13"/>
  <c r="AI123" i="13"/>
  <c r="AA123" i="13"/>
  <c r="AB123" i="13"/>
  <c r="AH123" i="13"/>
  <c r="AF123" i="13"/>
  <c r="AC123" i="13"/>
  <c r="AG123" i="13"/>
  <c r="AJ123" i="13"/>
  <c r="AM123" i="13"/>
  <c r="AE123" i="13"/>
  <c r="AL123" i="13"/>
  <c r="AK123" i="13"/>
  <c r="AI125" i="13"/>
  <c r="AA125" i="13"/>
  <c r="AJ125" i="13"/>
  <c r="AH125" i="13"/>
  <c r="AF125" i="13"/>
  <c r="AC125" i="13"/>
  <c r="AG125" i="13"/>
  <c r="AB125" i="13"/>
  <c r="AM125" i="13"/>
  <c r="AE125" i="13"/>
  <c r="AL125" i="13"/>
  <c r="AK125" i="13"/>
  <c r="AI126" i="13"/>
  <c r="AA126" i="13"/>
  <c r="AH126" i="13"/>
  <c r="AE126" i="13"/>
  <c r="AG126" i="13"/>
  <c r="AF126" i="13"/>
  <c r="AM126" i="13"/>
  <c r="AL126" i="13"/>
  <c r="AK126" i="13"/>
  <c r="AC126" i="13"/>
  <c r="AJ126" i="13"/>
  <c r="AB126" i="13"/>
  <c r="AI127" i="13"/>
  <c r="AA127" i="13"/>
  <c r="AK127" i="13"/>
  <c r="AH127" i="13"/>
  <c r="AF127" i="13"/>
  <c r="AG127" i="13"/>
  <c r="AB127" i="13"/>
  <c r="AM127" i="13"/>
  <c r="AE127" i="13"/>
  <c r="AL127" i="13"/>
  <c r="AC127" i="13"/>
  <c r="AJ127" i="13"/>
  <c r="S6" i="13"/>
  <c r="S7" i="13"/>
  <c r="S8" i="13"/>
  <c r="W7" i="13"/>
  <c r="T7" i="13"/>
  <c r="V7" i="13"/>
  <c r="U7" i="13"/>
  <c r="U8" i="13"/>
  <c r="V8" i="13"/>
  <c r="T8" i="13"/>
  <c r="W8" i="13"/>
  <c r="U6" i="13"/>
  <c r="T6" i="13"/>
  <c r="V6" i="13"/>
  <c r="W6" i="13"/>
  <c r="S117" i="13"/>
  <c r="S122" i="13"/>
  <c r="D102" i="9"/>
  <c r="D103" i="9"/>
  <c r="D108" i="9"/>
  <c r="D107" i="9"/>
  <c r="D104" i="9"/>
  <c r="D109" i="9"/>
  <c r="D110" i="9"/>
  <c r="D6" i="9"/>
  <c r="F1" i="9"/>
  <c r="E1" i="9"/>
  <c r="D1" i="9"/>
  <c r="C1" i="9"/>
  <c r="B1" i="9"/>
  <c r="S109" i="13" l="1"/>
  <c r="S104" i="13"/>
  <c r="S121" i="13"/>
  <c r="S102" i="13"/>
  <c r="S120" i="13"/>
  <c r="S115" i="13"/>
  <c r="S126" i="13"/>
  <c r="S116" i="13"/>
  <c r="S123" i="13"/>
  <c r="S127" i="13"/>
  <c r="S107" i="13"/>
  <c r="S110" i="13"/>
  <c r="S118" i="13"/>
  <c r="S125" i="13"/>
  <c r="S108" i="13"/>
  <c r="S103" i="13"/>
  <c r="S114" i="13"/>
  <c r="U117" i="13"/>
  <c r="T117" i="13"/>
  <c r="W117" i="13"/>
  <c r="V117" i="13"/>
  <c r="U122" i="13"/>
  <c r="T122" i="13"/>
  <c r="V122" i="13"/>
  <c r="W122" i="13"/>
  <c r="V107" i="13"/>
  <c r="W107" i="13"/>
  <c r="U107" i="13"/>
  <c r="T107" i="13"/>
  <c r="T118" i="13"/>
  <c r="W118" i="13"/>
  <c r="U118" i="13"/>
  <c r="V118" i="13"/>
  <c r="W108" i="13"/>
  <c r="V108" i="13"/>
  <c r="T108" i="13"/>
  <c r="U108" i="13"/>
  <c r="T115" i="13"/>
  <c r="U115" i="13"/>
  <c r="V115" i="13"/>
  <c r="W115" i="13"/>
  <c r="W126" i="13"/>
  <c r="V126" i="13"/>
  <c r="U126" i="13"/>
  <c r="T126" i="13"/>
  <c r="W102" i="13"/>
  <c r="V102" i="13"/>
  <c r="T102" i="13"/>
  <c r="U102" i="13"/>
  <c r="V120" i="13"/>
  <c r="U120" i="13"/>
  <c r="W120" i="13"/>
  <c r="T120" i="13"/>
  <c r="U103" i="13"/>
  <c r="T103" i="13"/>
  <c r="W103" i="13"/>
  <c r="V103" i="13"/>
  <c r="W114" i="13"/>
  <c r="T114" i="13"/>
  <c r="V114" i="13"/>
  <c r="U114" i="13"/>
  <c r="W109" i="13"/>
  <c r="U109" i="13"/>
  <c r="T109" i="13"/>
  <c r="V109" i="13"/>
  <c r="U110" i="13"/>
  <c r="T110" i="13"/>
  <c r="W110" i="13"/>
  <c r="V110" i="13"/>
  <c r="W104" i="13"/>
  <c r="V104" i="13"/>
  <c r="U104" i="13"/>
  <c r="T104" i="13"/>
  <c r="W125" i="13"/>
  <c r="U125" i="13"/>
  <c r="V125" i="13"/>
  <c r="T125" i="13"/>
  <c r="W121" i="13"/>
  <c r="V121" i="13"/>
  <c r="U121" i="13"/>
  <c r="T121" i="13"/>
  <c r="W116" i="13"/>
  <c r="V116" i="13"/>
  <c r="U116" i="13"/>
  <c r="T116" i="13"/>
  <c r="V123" i="13"/>
  <c r="U123" i="13"/>
  <c r="W123" i="13"/>
  <c r="T123" i="13"/>
  <c r="U127" i="13"/>
  <c r="T127" i="13"/>
  <c r="V127" i="13"/>
  <c r="W127" i="13"/>
  <c r="J100" i="6" l="1"/>
  <c r="J9" i="6"/>
  <c r="J111" i="6"/>
  <c r="J128" i="6"/>
  <c r="J105" i="6"/>
  <c r="J150" i="6"/>
  <c r="J20" i="6"/>
  <c r="J74" i="6"/>
  <c r="C2" i="5" l="1"/>
  <c r="AR6" i="13" l="1"/>
  <c r="AR7" i="13" s="1"/>
  <c r="AR8" i="13" s="1"/>
  <c r="AR11" i="13" s="1"/>
  <c r="AR12" i="13" s="1"/>
  <c r="AR13" i="13" s="1"/>
  <c r="AR14" i="13" s="1"/>
  <c r="AR15" i="13" s="1"/>
  <c r="AR16" i="13" s="1"/>
  <c r="AR17" i="13" s="1"/>
  <c r="AR18" i="13" s="1"/>
  <c r="AR19" i="13" s="1"/>
  <c r="AR22" i="13" s="1"/>
  <c r="AR23" i="13" s="1"/>
  <c r="AR24" i="13" s="1"/>
  <c r="AR25" i="13" s="1"/>
  <c r="AR26" i="13" s="1"/>
  <c r="AR27" i="13" s="1"/>
  <c r="AR29" i="13" s="1"/>
  <c r="AR30" i="13" s="1"/>
  <c r="AR32" i="13" s="1"/>
  <c r="L1" i="6"/>
  <c r="AR33" i="13" l="1"/>
  <c r="AR34" i="13" s="1"/>
  <c r="AR35" i="13" s="1"/>
  <c r="AR36" i="13" s="1"/>
  <c r="AR37" i="13" s="1"/>
  <c r="AR38" i="13" s="1"/>
  <c r="AR39" i="13" s="1"/>
  <c r="E158" i="6"/>
  <c r="D156" i="9" s="1"/>
  <c r="H161" i="6"/>
  <c r="G159" i="9" s="1"/>
  <c r="H162" i="6"/>
  <c r="G160" i="9" s="1"/>
  <c r="H163" i="6"/>
  <c r="G161" i="9" s="1"/>
  <c r="H172" i="6"/>
  <c r="G170" i="9" s="1"/>
  <c r="H173" i="6"/>
  <c r="G171" i="9" s="1"/>
  <c r="H174" i="6"/>
  <c r="G172" i="9" s="1"/>
  <c r="J1" i="6"/>
  <c r="H1" i="6"/>
  <c r="G1" i="6"/>
  <c r="F1" i="6"/>
  <c r="D1" i="6"/>
  <c r="B1" i="6"/>
  <c r="A3" i="14" l="1"/>
  <c r="AR40" i="13"/>
  <c r="AR41" i="13" s="1"/>
  <c r="A6" i="13"/>
  <c r="A7" i="13" s="1"/>
  <c r="A8" i="13" s="1"/>
  <c r="A11" i="13" s="1"/>
  <c r="A12" i="13" s="1"/>
  <c r="A13" i="13" s="1"/>
  <c r="A14" i="13" s="1"/>
  <c r="A15" i="13" s="1"/>
  <c r="A16" i="13" s="1"/>
  <c r="A17" i="13" s="1"/>
  <c r="A18" i="13" s="1"/>
  <c r="A19" i="13" s="1"/>
  <c r="A22" i="13" s="1"/>
  <c r="AR42" i="13" l="1"/>
  <c r="AR43" i="13" s="1"/>
  <c r="AR44" i="13" s="1"/>
  <c r="AR45" i="13" s="1"/>
  <c r="AR46" i="13" s="1"/>
  <c r="AR49" i="13" s="1"/>
  <c r="AR50" i="13" s="1"/>
  <c r="AR51" i="13" s="1"/>
  <c r="AR52" i="13" s="1"/>
  <c r="AR53" i="13" s="1"/>
  <c r="AR54" i="13" s="1"/>
  <c r="AR55" i="13" s="1"/>
  <c r="AR56" i="13" s="1"/>
  <c r="AR57" i="13" s="1"/>
  <c r="AR58" i="13" s="1"/>
  <c r="AR59" i="13" s="1"/>
  <c r="AR60" i="13" s="1"/>
  <c r="AR61" i="13" s="1"/>
  <c r="AR62" i="13" s="1"/>
  <c r="AR63" i="13" s="1"/>
  <c r="AR64" i="13" s="1"/>
  <c r="AR65" i="13" s="1"/>
  <c r="AR66" i="13" s="1"/>
  <c r="AR67" i="13" s="1"/>
  <c r="AR68" i="13" s="1"/>
  <c r="AR70" i="13" s="1"/>
  <c r="AR71" i="13" s="1"/>
  <c r="AR72" i="13" s="1"/>
  <c r="AR73" i="13" s="1"/>
  <c r="AR76" i="13" s="1"/>
  <c r="AR77" i="13" s="1"/>
  <c r="AR78" i="13" s="1"/>
  <c r="AR79" i="13" s="1"/>
  <c r="AR81" i="13" s="1"/>
  <c r="AR82" i="13" s="1"/>
  <c r="AR83" i="13" s="1"/>
  <c r="AR84" i="13" s="1"/>
  <c r="AR85" i="13" s="1"/>
  <c r="AR86" i="13" s="1"/>
  <c r="AR88" i="13" s="1"/>
  <c r="AR89" i="13" s="1"/>
  <c r="AR90" i="13" s="1"/>
  <c r="AR91" i="13" s="1"/>
  <c r="AR92" i="13" s="1"/>
  <c r="AR93" i="13" s="1"/>
  <c r="A23" i="13"/>
  <c r="A24" i="13" s="1"/>
  <c r="A25" i="13" s="1"/>
  <c r="A26" i="13" s="1"/>
  <c r="A27" i="13" s="1"/>
  <c r="A29" i="13" s="1"/>
  <c r="A30" i="13" s="1"/>
  <c r="A32" i="13" s="1"/>
  <c r="A33" i="13" l="1"/>
  <c r="A34" i="13" s="1"/>
  <c r="A35" i="13" s="1"/>
  <c r="A36" i="13" s="1"/>
  <c r="A37" i="13" s="1"/>
  <c r="A38" i="13" s="1"/>
  <c r="A39" i="13" s="1"/>
  <c r="A40" i="13" s="1"/>
  <c r="A41" i="13" s="1"/>
  <c r="AR95" i="13"/>
  <c r="AR96" i="13" s="1"/>
  <c r="AR97" i="13" s="1"/>
  <c r="AR98" i="13" s="1"/>
  <c r="AR99" i="13" s="1"/>
  <c r="AR102" i="13" s="1"/>
  <c r="AR103" i="13" s="1"/>
  <c r="AR104" i="13" s="1"/>
  <c r="AR107" i="13" s="1"/>
  <c r="AR108" i="13" s="1"/>
  <c r="AR109" i="13" s="1"/>
  <c r="AR110" i="13" s="1"/>
  <c r="AR114" i="13" s="1"/>
  <c r="AR115" i="13" s="1"/>
  <c r="AR116" i="13" s="1"/>
  <c r="AR117" i="13" s="1"/>
  <c r="AR118" i="13" s="1"/>
  <c r="AR120" i="13" s="1"/>
  <c r="AR121" i="13" s="1"/>
  <c r="AR122" i="13" s="1"/>
  <c r="AR123" i="13" s="1"/>
  <c r="AR125" i="13" s="1"/>
  <c r="AR126" i="13" s="1"/>
  <c r="AR127" i="13" s="1"/>
  <c r="AR130" i="13" s="1"/>
  <c r="AR131" i="13" s="1"/>
  <c r="AR132" i="13" s="1"/>
  <c r="AR133" i="13" s="1"/>
  <c r="AR134" i="13" s="1"/>
  <c r="AR135" i="13" s="1"/>
  <c r="AR136" i="13" s="1"/>
  <c r="AR137" i="13" s="1"/>
  <c r="AR138" i="13" s="1"/>
  <c r="AR139" i="13" s="1"/>
  <c r="AR140" i="13" s="1"/>
  <c r="AR141" i="13" s="1"/>
  <c r="AR142" i="13" s="1"/>
  <c r="AR143" i="13" s="1"/>
  <c r="AR144" i="13" s="1"/>
  <c r="AR145" i="13" s="1"/>
  <c r="AR146" i="13" s="1"/>
  <c r="AR147" i="13" s="1"/>
  <c r="AR148" i="13" s="1"/>
  <c r="AR149" i="13" s="1"/>
  <c r="E173" i="6"/>
  <c r="D171" i="9" s="1"/>
  <c r="D172" i="9"/>
  <c r="E172" i="6"/>
  <c r="D170" i="9" s="1"/>
  <c r="E162" i="6"/>
  <c r="D160" i="9" s="1"/>
  <c r="E163" i="6"/>
  <c r="D161" i="9" s="1"/>
  <c r="E161" i="6"/>
  <c r="D159" i="9" s="1"/>
  <c r="E167" i="6"/>
  <c r="D165" i="9" s="1"/>
  <c r="H167" i="6"/>
  <c r="G165" i="9" s="1"/>
  <c r="E168" i="6"/>
  <c r="D166" i="9" s="1"/>
  <c r="H168" i="6"/>
  <c r="G166" i="9" s="1"/>
  <c r="E169" i="6"/>
  <c r="D167" i="9" s="1"/>
  <c r="H169" i="6"/>
  <c r="G167" i="9" s="1"/>
  <c r="H166" i="6"/>
  <c r="G164" i="9" s="1"/>
  <c r="E166" i="6"/>
  <c r="D164" i="9" s="1"/>
  <c r="A42" i="13" l="1"/>
  <c r="A43" i="13" s="1"/>
  <c r="A44" i="13" s="1"/>
  <c r="A45" i="13" s="1"/>
  <c r="A46"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70" i="13" s="1"/>
  <c r="A71" i="13" s="1"/>
  <c r="A72" i="13" s="1"/>
  <c r="A73" i="13" s="1"/>
  <c r="A76" i="13" s="1"/>
  <c r="A77" i="13" s="1"/>
  <c r="A78" i="13" s="1"/>
  <c r="A79" i="13" s="1"/>
  <c r="A81" i="13" s="1"/>
  <c r="A82" i="13" s="1"/>
  <c r="A83" i="13" s="1"/>
  <c r="A84" i="13" s="1"/>
  <c r="A85" i="13" s="1"/>
  <c r="A86" i="13" s="1"/>
  <c r="A88" i="13" s="1"/>
  <c r="A89" i="13" s="1"/>
  <c r="A90" i="13" s="1"/>
  <c r="A91" i="13" s="1"/>
  <c r="A92" i="13" s="1"/>
  <c r="A93" i="13" s="1"/>
  <c r="F163" i="6"/>
  <c r="E161" i="9" s="1"/>
  <c r="F166" i="6"/>
  <c r="E164" i="9" s="1"/>
  <c r="F162" i="6"/>
  <c r="E160" i="9" s="1"/>
  <c r="F169" i="6"/>
  <c r="E167" i="9" s="1"/>
  <c r="F172" i="6"/>
  <c r="E170" i="9" s="1"/>
  <c r="F174" i="6"/>
  <c r="E172" i="9" s="1"/>
  <c r="F167" i="6"/>
  <c r="E165" i="9" s="1"/>
  <c r="F161" i="6"/>
  <c r="E159" i="9" s="1"/>
  <c r="F168" i="6"/>
  <c r="E166" i="9" s="1"/>
  <c r="F173" i="6"/>
  <c r="E171" i="9" s="1"/>
  <c r="A95" i="13" l="1"/>
  <c r="A96" i="13" s="1"/>
  <c r="A97" i="13" s="1"/>
  <c r="A98" i="13" s="1"/>
  <c r="A99" i="13" s="1"/>
  <c r="A102" i="13" s="1"/>
  <c r="A103" i="13" s="1"/>
  <c r="A104" i="13" s="1"/>
  <c r="A107" i="13" s="1"/>
  <c r="A108" i="13" s="1"/>
  <c r="A109" i="13" s="1"/>
  <c r="A110" i="13" s="1"/>
  <c r="A114" i="13" s="1"/>
  <c r="A115" i="13" s="1"/>
  <c r="A116" i="13" s="1"/>
  <c r="A117" i="13" s="1"/>
  <c r="A118" i="13" s="1"/>
  <c r="A120" i="13" s="1"/>
  <c r="A121" i="13" s="1"/>
  <c r="A122" i="13" s="1"/>
  <c r="A123" i="13" s="1"/>
  <c r="A125" i="13" s="1"/>
  <c r="A126" i="13" s="1"/>
  <c r="A127" i="13" s="1"/>
  <c r="A130" i="13" s="1"/>
  <c r="A131" i="13" s="1"/>
  <c r="A132" i="13" s="1"/>
  <c r="A133" i="13" s="1"/>
  <c r="A134" i="13" s="1"/>
  <c r="A135" i="13" s="1"/>
  <c r="A136" i="13" s="1"/>
  <c r="A137" i="13" s="1"/>
  <c r="A138" i="13" s="1"/>
  <c r="A139" i="13" s="1"/>
  <c r="A140" i="13" s="1"/>
  <c r="A141" i="13" s="1"/>
  <c r="A142" i="13" s="1"/>
  <c r="A143" i="13" s="1"/>
  <c r="A144" i="13" s="1"/>
  <c r="A145" i="13" s="1"/>
  <c r="A146" i="13" s="1"/>
  <c r="A147" i="13" s="1"/>
  <c r="A148" i="13" s="1"/>
  <c r="A149" i="13" s="1"/>
  <c r="G168" i="6"/>
  <c r="F166" i="9" s="1"/>
  <c r="G173" i="6"/>
  <c r="F171" i="9" s="1"/>
  <c r="G162" i="6"/>
  <c r="F160" i="9" s="1"/>
  <c r="G166" i="6"/>
  <c r="F164" i="9" s="1"/>
  <c r="G167" i="6"/>
  <c r="F165" i="9" s="1"/>
  <c r="G174" i="6"/>
  <c r="F172" i="9" s="1"/>
  <c r="G172" i="6"/>
  <c r="F170" i="9" s="1"/>
  <c r="G161" i="6"/>
  <c r="F159" i="9" s="1"/>
  <c r="G169" i="6"/>
  <c r="F167" i="9" s="1"/>
  <c r="G163" i="6"/>
  <c r="F161" i="9" s="1"/>
  <c r="I6" i="5"/>
  <c r="I5" i="5"/>
  <c r="J47" i="6" s="1"/>
  <c r="L151" i="6" s="1"/>
  <c r="F154" i="6" s="1"/>
  <c r="C155" i="6" s="1"/>
  <c r="I4" i="5"/>
  <c r="D152" i="9" l="1"/>
  <c r="L155" i="6"/>
  <c r="L154" i="6"/>
  <c r="C169" i="6"/>
  <c r="C167" i="9" s="1"/>
  <c r="C168" i="6"/>
  <c r="C166" i="9" s="1"/>
  <c r="C167" i="6"/>
  <c r="C165" i="9" s="1"/>
  <c r="C166" i="6"/>
  <c r="C164" i="9" s="1"/>
  <c r="A3" i="9" l="1"/>
  <c r="B3" i="9"/>
  <c r="B171" i="6" l="1"/>
  <c r="B169" i="9" s="1"/>
  <c r="C172" i="6"/>
  <c r="C170" i="9" s="1"/>
  <c r="C173" i="6"/>
  <c r="C171" i="9" s="1"/>
  <c r="C174" i="6"/>
  <c r="C172" i="9" s="1"/>
  <c r="A166" i="6" l="1"/>
  <c r="A164" i="9" s="1"/>
  <c r="A113" i="6" l="1"/>
  <c r="H158" i="6" l="1"/>
  <c r="G156" i="9" s="1"/>
  <c r="D3" i="9"/>
  <c r="C161" i="6" l="1"/>
  <c r="C159" i="9" s="1"/>
  <c r="C162" i="6"/>
  <c r="C160" i="9" s="1"/>
  <c r="C163" i="6"/>
  <c r="C161" i="9" s="1"/>
  <c r="B165" i="6"/>
  <c r="B163" i="9" s="1"/>
  <c r="B160" i="6" l="1"/>
  <c r="B158" i="9" s="1"/>
  <c r="A160" i="6"/>
  <c r="A158" i="9" s="1"/>
  <c r="A165" i="6"/>
  <c r="A163" i="9" s="1"/>
  <c r="H154" i="6" l="1"/>
  <c r="G152" i="9" s="1"/>
  <c r="F155" i="6"/>
  <c r="H155" i="6" l="1"/>
  <c r="G153" i="9" s="1"/>
  <c r="D153" i="9"/>
  <c r="F156" i="6"/>
  <c r="D154" i="9" s="1"/>
  <c r="H156" i="6" l="1"/>
  <c r="G154" i="9" s="1"/>
  <c r="A161" i="6" l="1"/>
  <c r="A159" i="9" s="1"/>
  <c r="A162" i="6" l="1"/>
  <c r="A160" i="9" s="1"/>
  <c r="A163" i="6" l="1"/>
  <c r="A161" i="9" s="1"/>
  <c r="A168" i="6" l="1"/>
  <c r="A166" i="9" s="1"/>
  <c r="A167" i="6"/>
  <c r="A165" i="9" s="1"/>
  <c r="A169" i="6" l="1"/>
  <c r="A167" i="9" s="1"/>
  <c r="A114" i="6" l="1"/>
  <c r="A115" i="6" l="1"/>
  <c r="A116" i="6" l="1"/>
  <c r="A117" i="6" l="1"/>
  <c r="A118" i="6" l="1"/>
  <c r="A119" i="6" l="1"/>
  <c r="A120" i="6" l="1"/>
  <c r="A121" i="6" l="1"/>
  <c r="A122" i="6" l="1"/>
  <c r="A123" i="6" l="1"/>
  <c r="A124" i="6" s="1"/>
  <c r="A171" i="6" l="1"/>
  <c r="A169" i="9" s="1"/>
  <c r="A125" i="6"/>
  <c r="A172" i="6" l="1"/>
  <c r="A170" i="9" s="1"/>
  <c r="A126" i="6"/>
  <c r="A173" i="6" l="1"/>
  <c r="A171" i="9" s="1"/>
  <c r="A127" i="6"/>
  <c r="A174" i="6" l="1"/>
  <c r="A172" i="9" s="1"/>
</calcChain>
</file>

<file path=xl/sharedStrings.xml><?xml version="1.0" encoding="utf-8"?>
<sst xmlns="http://schemas.openxmlformats.org/spreadsheetml/2006/main" count="991" uniqueCount="435">
  <si>
    <t>Forudsætning</t>
  </si>
  <si>
    <t>Vicevært/varmemester</t>
  </si>
  <si>
    <t>Vinter</t>
  </si>
  <si>
    <t>Nr.</t>
  </si>
  <si>
    <t>Gruppe</t>
  </si>
  <si>
    <t>Telefon og mail</t>
  </si>
  <si>
    <t>Bestilling af håndværker</t>
  </si>
  <si>
    <t>Anmeldelse og bestilling</t>
  </si>
  <si>
    <t>Varebestilling</t>
  </si>
  <si>
    <t>Afklaring af problemets omfang med fx elinstallation, fælles belysning, brugsvand, varme, inventar, hårde hvidevarer, fugtproblemer, utætte eller defekte vinduer og døre, vaskerimaskiner og betalingsanlæg, parkeringsanlæg, elevator og affald.</t>
  </si>
  <si>
    <t>Oplukning og adgang</t>
  </si>
  <si>
    <t>Tilsyn med tomgangslejemål</t>
  </si>
  <si>
    <t>Fraflytning</t>
  </si>
  <si>
    <t>Fremvisning</t>
  </si>
  <si>
    <t>Indflytning</t>
  </si>
  <si>
    <t>Kontortid</t>
  </si>
  <si>
    <t>Måleraflæsning</t>
  </si>
  <si>
    <t>Årsaflæsning</t>
  </si>
  <si>
    <t>Tilsyn med ventiler, pumper og varmeanlæg</t>
  </si>
  <si>
    <t>Tilsyn med pumpebrønde</t>
  </si>
  <si>
    <t>Tilsyn med CTS</t>
  </si>
  <si>
    <t>CTS - vagtordning</t>
  </si>
  <si>
    <t>Tilsyn med ventilationsanlæg</t>
  </si>
  <si>
    <t>Udslamning af varmtvandsbeholder</t>
  </si>
  <si>
    <t>Tømning og administration af betalingsautomater. Arbejdet omfatter tømning, veksling og indsættelse på konto i pengeinstitut.</t>
  </si>
  <si>
    <t>Opfyldning af vaskerimaskiner</t>
  </si>
  <si>
    <t>Opfyldning af sæbe, skyllemiddel mv. af vaskerimaskiner.</t>
  </si>
  <si>
    <t>Hjertestarter</t>
  </si>
  <si>
    <t>Gennemgang samt udskiftning af lyskilder</t>
  </si>
  <si>
    <t>Fejning på fællesarealer i fx fortove, pladser, veje, stier, parkeringsarealer m.m.</t>
  </si>
  <si>
    <t>Renhold af lyskasser</t>
  </si>
  <si>
    <t>Renholdelse af cykelskur / cykelrum</t>
  </si>
  <si>
    <t>Fejning og renholdelse af frie arealer i cykelskur og cykelrum.</t>
  </si>
  <si>
    <t>Oprensning af regnvandsbrønde</t>
  </si>
  <si>
    <t>Oprensning af vejbrønde</t>
  </si>
  <si>
    <t>Rensning af tagrender</t>
  </si>
  <si>
    <t>Rensning af tagbrønde</t>
  </si>
  <si>
    <t>Slåning af græskanter</t>
  </si>
  <si>
    <t>Skæring af græskanter</t>
  </si>
  <si>
    <t>Græshøstning</t>
  </si>
  <si>
    <t>Vanding</t>
  </si>
  <si>
    <t>Deltagelse i møder</t>
  </si>
  <si>
    <t>Saltning</t>
  </si>
  <si>
    <t>Snerydning inkl. saltning</t>
  </si>
  <si>
    <t>Beskrivelse</t>
  </si>
  <si>
    <t>SLA</t>
  </si>
  <si>
    <t>Aftalt forholdsordre.</t>
  </si>
  <si>
    <t>Flytninger</t>
  </si>
  <si>
    <t>Bestilling af arbejder hos prækvalificerede håndværkere.</t>
  </si>
  <si>
    <t>Udlevering og afhentning af nøgler til fælleslokaler</t>
  </si>
  <si>
    <t xml:space="preserve">Skæring og afretning af græskanter inkl. bortskaffelse. </t>
  </si>
  <si>
    <t>Klipning af hæk og pur i op til 2 meters højde inkl. bortskaffelse.</t>
  </si>
  <si>
    <t>Saltning af område.</t>
  </si>
  <si>
    <t>Snerydning inkl. saltning af område.</t>
  </si>
  <si>
    <t>Ydelse</t>
  </si>
  <si>
    <t>Gårdmand</t>
  </si>
  <si>
    <t>Udslamning af varmtvandsbeholder.</t>
  </si>
  <si>
    <t>Vanding af træer, kummer og lign.</t>
  </si>
  <si>
    <t>Renhold af fællesarealer loft</t>
  </si>
  <si>
    <t>Renhold af fællesarealer kælder</t>
  </si>
  <si>
    <t>Oprensning af lyskasser.</t>
  </si>
  <si>
    <t>Fejning og renholdelse af storskraldsrum, inden for arbejdsmiljølovens rammer.</t>
  </si>
  <si>
    <t>Oprensning af vejbrønde i terræn og parkeringshuse.</t>
  </si>
  <si>
    <t>Oprensning af tagrender, inkl. lift.</t>
  </si>
  <si>
    <t xml:space="preserve">Arbejdets udførelse er betinget af, at det er muligt at arbejde fra lift hele vejen rundt om bygningen. </t>
  </si>
  <si>
    <t>Støvsugning af fællesarealer i tagrum og loftgange mv.</t>
  </si>
  <si>
    <t>Oprensning af synlige og tilgængelige tagbrønde uden brug af værktøj.</t>
  </si>
  <si>
    <t>Forbrugsmaterialer faktureres særskilt.</t>
  </si>
  <si>
    <t>Udlevering og afhentning af nøgler til fælleshus og gæsteværelse.</t>
  </si>
  <si>
    <t>Gartner og sommerfugl</t>
  </si>
  <si>
    <t>Booking af fælleslokaler</t>
  </si>
  <si>
    <t>Beskæring af buske i op til 2 meters højde inkl. bortskaffelse.</t>
  </si>
  <si>
    <t>Beskæring af planter, stauder, roser og lign. i op til 2 meters højde inkl. bortskaffelse.</t>
  </si>
  <si>
    <t>Flytte containere frem og tilbage og flytte sække fra nedfaldsskakte m.m. i forbindelse med tømning.</t>
  </si>
  <si>
    <t>Støvsugning af fællesarealer i kælder.</t>
  </si>
  <si>
    <t>Græspasning</t>
  </si>
  <si>
    <t>Aflæsninger</t>
  </si>
  <si>
    <t>Humlebier</t>
  </si>
  <si>
    <t>Driftskoordinator</t>
  </si>
  <si>
    <t>Algebehandling af befæstede arealer, facader, udvendige trapper, tagflader, tagterrasser.</t>
  </si>
  <si>
    <t>Moms</t>
  </si>
  <si>
    <t>Servicechef</t>
  </si>
  <si>
    <t>Ingeniør / Arkitekt / Projektleder</t>
  </si>
  <si>
    <t>Teknisk assistent / Cad Designer</t>
  </si>
  <si>
    <t>Inspektør</t>
  </si>
  <si>
    <t>Gartner</t>
  </si>
  <si>
    <t>Servicemedarbejder</t>
  </si>
  <si>
    <t>Titel</t>
  </si>
  <si>
    <t>1/4-30/9</t>
  </si>
  <si>
    <t>Timer</t>
  </si>
  <si>
    <t>Linjepris</t>
  </si>
  <si>
    <t>Gruppepris</t>
  </si>
  <si>
    <t>I alt</t>
  </si>
  <si>
    <t xml:space="preserve"> </t>
  </si>
  <si>
    <t>Aftalepris</t>
  </si>
  <si>
    <t>Årspris</t>
  </si>
  <si>
    <t>Beboerservice - Afklaring</t>
  </si>
  <si>
    <t>Forsikringsanmeldelse</t>
  </si>
  <si>
    <t>Alle udkald uden for almindelig arbejdstid afregnes særskilt.</t>
  </si>
  <si>
    <t>Gødskning af plæner</t>
  </si>
  <si>
    <t>Planter og stauder</t>
  </si>
  <si>
    <t xml:space="preserve">Slagleslåning af højt græs på engarealer, skråninger o. lign. inkl. bortskaffelse. </t>
  </si>
  <si>
    <t>Græsslåning</t>
  </si>
  <si>
    <t>Håndlugning</t>
  </si>
  <si>
    <t>Kultivering</t>
  </si>
  <si>
    <t>Containervask</t>
  </si>
  <si>
    <t>Sæsonovervågning</t>
  </si>
  <si>
    <t>Renhold</t>
  </si>
  <si>
    <t>Kontrol og tilsyn</t>
  </si>
  <si>
    <t>Daglig visuel kontrol af skærmbillede, check af evt. fejlmeddelelser, evt. rekvirere servicetekniker.</t>
  </si>
  <si>
    <t>Aflæsning af Ejendommens hoved- og evt. bimålere.
Indberetning til energiselskabet.</t>
  </si>
  <si>
    <t>Årlig kontrol af legeplads i henhold til lovkrav.</t>
  </si>
  <si>
    <t>Brandudstyr</t>
  </si>
  <si>
    <t>Afhjælpning af forsikringsskader, indhentning af tilbud, koordinering, kontrol, fakturering og opgørelse udføres efter medgået tid.</t>
  </si>
  <si>
    <t>Håndtering af forsikrings- og skadesager</t>
  </si>
  <si>
    <t>Håndtering af mindre byggesager</t>
  </si>
  <si>
    <t>Udføres af inspektørteam.</t>
  </si>
  <si>
    <t>Der hjælpes med skades- og evt. politianmeldelse.</t>
  </si>
  <si>
    <t>Kunden stiller kontor, møbler, PC og internetforbindelse samt alt materiale til rådighed. Arbejdstilsynets krav til kontorer skal være overholdt.</t>
  </si>
  <si>
    <t>Services for lejere eller ejendom</t>
  </si>
  <si>
    <t>Visuelt tilsyn for sikring af at lejemålet er i umiddelbar funktion. Herunder tilsyn med forsyningsanlæg, fyldning af vandlåse og toiletter.</t>
  </si>
  <si>
    <t>Funktionskontrol af almindelige og tilgængelige lyskilder. Udskiftning af defekte lyskilder.</t>
  </si>
  <si>
    <t>Beskrivelse af de ønskede forbrugsmaterialer. Forbrugsmaterialer faktureres særskilt.</t>
  </si>
  <si>
    <t>Partiel fejning af udvendige befæstede arealer, renhold for småt affald</t>
  </si>
  <si>
    <t>Fejning med feje-/sugemaskine på befæstede arealer</t>
  </si>
  <si>
    <t>Bekæmpelse af ukrudt på arealer i henhold til udførelseskrav (se vejledning).</t>
  </si>
  <si>
    <t>Fejning og renholdelse af affaldsrum, containergård og skaktrum.</t>
  </si>
  <si>
    <t>Maskine med manuel fremføring</t>
  </si>
  <si>
    <t>Traktor og fladebrænder</t>
  </si>
  <si>
    <t>Renhold og pasning af bede</t>
  </si>
  <si>
    <t>Gødskning</t>
  </si>
  <si>
    <t/>
  </si>
  <si>
    <t>Pasning af busketter, hække og træer</t>
  </si>
  <si>
    <t>Hækkeklipning</t>
  </si>
  <si>
    <t>Træer, beskæring</t>
  </si>
  <si>
    <t>Aftørring med tør klud.</t>
  </si>
  <si>
    <t>Udførende</t>
  </si>
  <si>
    <t>Brænding med håndholdt gasbrænder.</t>
  </si>
  <si>
    <t>Brænding med mindre fladebrænder.</t>
  </si>
  <si>
    <t>Brænding med traktorbåren fladebrænder.</t>
  </si>
  <si>
    <t>Busket, partiel beskæring</t>
  </si>
  <si>
    <t>Manuel ukrudtsbekæmpelse i bede.</t>
  </si>
  <si>
    <t>På baggrund af opdateret vedligeholdelsesniveau.</t>
  </si>
  <si>
    <t>Manuel kultivering i bede.</t>
  </si>
  <si>
    <t>Efter aftalt plan.</t>
  </si>
  <si>
    <t>Efter bevoksningstype og aftalt plan.</t>
  </si>
  <si>
    <t>Specielle krav til beskæring, eksisterende lokalplaner, vedtægter eller lign., skal være fremskaffet af Kunden inden aftalens indgåelse.</t>
  </si>
  <si>
    <t>I henhold til opmåling og tilbud.</t>
  </si>
  <si>
    <t>Ifølge aftale.</t>
  </si>
  <si>
    <t>Efter aftalt plan. Flytning af sne til anvist deponi på matriklen.</t>
  </si>
  <si>
    <t>Graffitirens</t>
  </si>
  <si>
    <t>Årligt, lovpligtigt eftersyn af legeplads</t>
  </si>
  <si>
    <t>Vurdering af stand for umiddelbare justeringer, samt affald, efterladenskaber, sandkasse, faldunderlag etc.</t>
  </si>
  <si>
    <t>Vask af P-kælder</t>
  </si>
  <si>
    <t>Maskinfejning og vask.</t>
  </si>
  <si>
    <t>Tilgængelighed.</t>
  </si>
  <si>
    <t>Breve, varslinger, informationsskrivelser etc.</t>
  </si>
  <si>
    <t>Teknik og serviceaftaler</t>
  </si>
  <si>
    <t>Lovgrundlag.</t>
  </si>
  <si>
    <t>Sikring (alarm, AIA, overvågning og vagt)</t>
  </si>
  <si>
    <t>Efter aftalte retningslinjer og prokura-regler.</t>
  </si>
  <si>
    <t>AT-vejledning B.3.1.1-3:
Arbejde fra stige må normalt ikke udføres i større højde end 5 m målt fra underlaget til det trin, man står på. Det kan dog i særlige tilfælde tillades, at der udføres let arbejde i større højde, fx når en pære skal udskiftes.
Lyskilder faktureres særskilt.</t>
  </si>
  <si>
    <t>AT-vejledning B.3.1.1-3:
Arbejde fra stige må normalt ikke udføres i større højde end 5 m målt fra underlaget til det trin, man står på. Det kan dog i særlige tilfælde tillades, at der udføres let arbejde i større højde, fx når en pære skal udskiftes.</t>
  </si>
  <si>
    <t>Overvågning af anlæg uden for normal arbejdstid via fjernstyring af CTS-programmet inkl. fejlretninger, der kan klares på distancen.
24x7 afstilling af alarmer eller videresendelse af disse til håndtering.</t>
  </si>
  <si>
    <t>Frekvent slåning af græsarealer (i vækstperioden 26-28 gange).</t>
  </si>
  <si>
    <t>"Piskning", trimning omkring træer, kanter samt mod facade og lign. (i vækstperioden hver 3. uge).</t>
  </si>
  <si>
    <t>Jf. vedlagte bilag med ydelsesbeskrivelse.</t>
  </si>
  <si>
    <t>Kontrakter, snitflader, omfang.</t>
  </si>
  <si>
    <t>Forholdsordre, aftalegrundlag, oprettet sag i UB4.</t>
  </si>
  <si>
    <t>Formål og agenda foreligger inden mødet.</t>
  </si>
  <si>
    <t>Forholdsordre for omfanget.</t>
  </si>
  <si>
    <t>Rengøring, nøgler, inventar, service, udstyr i henhold til forholdsordre.</t>
  </si>
  <si>
    <t>Inden for normal arbejdstid.</t>
  </si>
  <si>
    <t>Tilgængelighed og sikkerhedsregler, herunder kommunale periodiske restriktioner.</t>
  </si>
  <si>
    <t>Ifølge aftale. (under hensyntagen til fredning og lokalplaner).</t>
  </si>
  <si>
    <t>Lyskasserne skal være umiddelbart tilgængelige uden brug af værktøj. Øvrige forhold i henhold til Arbejdstilsynets vejledning AT-meddelelse nr. 4.05.3, marts 1998.</t>
  </si>
  <si>
    <t>Beløbs- og tidsramme, udbudsform.</t>
  </si>
  <si>
    <t>Ikke autorisationskrævende opgaver, f. eks. ringeklokke, tryk, ændring af navneskilt osv.</t>
  </si>
  <si>
    <t xml:space="preserve">Lovgrundlag er defineret af kontraktpart og valideres af jura.
Forbrugsmaterialer faktureres særskilt.
</t>
  </si>
  <si>
    <t>Umiddelbar, visuel kontrol af installationer og anlæg, evt. lækager eller andre synlige defekter.</t>
  </si>
  <si>
    <t>Umiddelbar, visuel kontrol af tilgængelige og på forhånd anviste pumpebrønde.</t>
  </si>
  <si>
    <t>Umiddelbar, visuel kontrol af ventilationsanlæg. Evt. bestilling af servicetekniker.</t>
  </si>
  <si>
    <t>Efter medgået tid.</t>
  </si>
  <si>
    <t>Jf. forholdsordre.</t>
  </si>
  <si>
    <t>Administration og bestilling af nøgler, adgangskort, brik-systemer, P-ordninger og vaskekort.</t>
  </si>
  <si>
    <t>Jf. forholdsordre. Fuldmagter.</t>
  </si>
  <si>
    <t>Umiddelbar, visuel kontrol af afløb, døre og vinduer, vand, varme, ventilation. Til sikring af funktion og undgåelse af lugtgener.</t>
  </si>
  <si>
    <t>Samarbejdspartner</t>
  </si>
  <si>
    <t>Efter ydelsens karakter</t>
  </si>
  <si>
    <t>Kontrakt</t>
  </si>
  <si>
    <t>Standard varslingsbrev udarbejdes og omdeles til lejerne 3 uger før.</t>
  </si>
  <si>
    <t>Planlægning af fremvisning.
Fremvisning af lejemål.</t>
  </si>
  <si>
    <t>Planlægning af forsyn, flyttesyn, hjemtagelse af tilbud, igangsætning af istandsættelse, måleraflæsning, kvalitetssikring, fakturering og opgørelse.</t>
  </si>
  <si>
    <t>Aflæsningskort – aflæsning og indberetning.
Aflæsningsdata opbevares tilgængeligt i varmecentralen og afleveres til administrator.</t>
  </si>
  <si>
    <t>Bestilling af ekstra nøgler, vaskekort, nøglebrikker, omkodning af samme, P-tilladelser m.m.</t>
  </si>
  <si>
    <t>Service Center</t>
  </si>
  <si>
    <t>DEAS Service Center</t>
  </si>
  <si>
    <t>CTS-niveauer</t>
  </si>
  <si>
    <t>Tilsyn</t>
  </si>
  <si>
    <t>Vagt</t>
  </si>
  <si>
    <t>1-4 billeder</t>
  </si>
  <si>
    <t>5-10 billeder</t>
  </si>
  <si>
    <t>11-20 billeder</t>
  </si>
  <si>
    <t>21+ billeder</t>
  </si>
  <si>
    <t>Pris</t>
  </si>
  <si>
    <t>Sne</t>
  </si>
  <si>
    <t>Variable omkostninger</t>
  </si>
  <si>
    <t>Bestillinger</t>
  </si>
  <si>
    <t>Beskrivelse.</t>
  </si>
  <si>
    <t>Kunde</t>
  </si>
  <si>
    <t>Ejendom</t>
  </si>
  <si>
    <t>Adresse</t>
  </si>
  <si>
    <t>Navn</t>
  </si>
  <si>
    <t>Postnr.</t>
  </si>
  <si>
    <t>By</t>
  </si>
  <si>
    <t>Kundenr.</t>
  </si>
  <si>
    <t>Kundespecifikke ydelser</t>
  </si>
  <si>
    <t>Kundespecifik ydelse 1</t>
  </si>
  <si>
    <t>Kundespecifik ydelse 2</t>
  </si>
  <si>
    <t>Kundespecifik ydelse 3</t>
  </si>
  <si>
    <t>Kundespecifik ydelse 4</t>
  </si>
  <si>
    <t>Kundespecifik ydelse 5</t>
  </si>
  <si>
    <t>Kundespecifik ydelse 6</t>
  </si>
  <si>
    <t>Kundespecifik ydelse 7</t>
  </si>
  <si>
    <t>Kundespecifik ydelse 8</t>
  </si>
  <si>
    <t>Kundespecifik ydelse 9</t>
  </si>
  <si>
    <t>Kundespecifik ydelse 10</t>
  </si>
  <si>
    <t>Kundespecifik ydelse 11</t>
  </si>
  <si>
    <t>Kundespecifik ydelse 12</t>
  </si>
  <si>
    <t>Kundespecifik ydelse 13</t>
  </si>
  <si>
    <t>Kundespecifik ydelse 14</t>
  </si>
  <si>
    <t>Kundespecifik ydelse 15</t>
  </si>
  <si>
    <t>Kundespecifik ydelse 16</t>
  </si>
  <si>
    <t>Kundespecifik ydelse 17</t>
  </si>
  <si>
    <t>Kundespecifik ydelse 18</t>
  </si>
  <si>
    <t>Kundespecifik ydelse 19</t>
  </si>
  <si>
    <t>Kundespecifik ydelse 20</t>
  </si>
  <si>
    <t>Antal pr. år</t>
  </si>
  <si>
    <t>Init</t>
  </si>
  <si>
    <t>Vinter - DEAS</t>
  </si>
  <si>
    <t>Løbende tilsyn af legeplads om behov for istandsættelser</t>
  </si>
  <si>
    <t>Aftørring af lamper i forbindelse med lyskildeskift</t>
  </si>
  <si>
    <t>I henhold til forholdsordre.
Produkt- og leveringsomkostninger faktureres særskilt.</t>
  </si>
  <si>
    <t>Under forudsætning af tilgængelighed og nødvendig elforsyning.</t>
  </si>
  <si>
    <t>Forestå overvågning af DMI's og vintertjenestens varsler. Effektuere udkald.</t>
  </si>
  <si>
    <t>Udføres af samarbejdspartner</t>
  </si>
  <si>
    <t>Omdeles/ophænges jf. aftalt deadline.</t>
  </si>
  <si>
    <t>"ABx udstyr" (almindelige brandtekniske anlæg)</t>
  </si>
  <si>
    <t>Team</t>
  </si>
  <si>
    <t>Ansvarlig</t>
  </si>
  <si>
    <t>Opgavetitel</t>
  </si>
  <si>
    <t>Samarbejdspartner (UL, UE)</t>
  </si>
  <si>
    <t>Startdato</t>
  </si>
  <si>
    <t>CVR</t>
  </si>
  <si>
    <t>Tilsyn, drift og kvalitetssikring</t>
  </si>
  <si>
    <t>Blå ydelser</t>
  </si>
  <si>
    <t>Grå ydelser</t>
  </si>
  <si>
    <t>Grønne ydelser</t>
  </si>
  <si>
    <t>Udføres af</t>
  </si>
  <si>
    <t>Angivelser</t>
  </si>
  <si>
    <t>J</t>
  </si>
  <si>
    <t>F</t>
  </si>
  <si>
    <t>M</t>
  </si>
  <si>
    <t>A</t>
  </si>
  <si>
    <t>S</t>
  </si>
  <si>
    <t>O</t>
  </si>
  <si>
    <t>N</t>
  </si>
  <si>
    <t>D</t>
  </si>
  <si>
    <t>T</t>
  </si>
  <si>
    <t>L</t>
  </si>
  <si>
    <t>Minutter pr. time</t>
  </si>
  <si>
    <t>Valgt</t>
  </si>
  <si>
    <t>Månedspris</t>
  </si>
  <si>
    <t>Servicemedarb.</t>
  </si>
  <si>
    <t>Denne dato i de valgte måneder</t>
  </si>
  <si>
    <t>Sidste dag i måneden</t>
  </si>
  <si>
    <t>Første ma-sø i måneden. 101 = ma, 102 = ti osv.</t>
  </si>
  <si>
    <t>Anden ma-sø i måneden</t>
  </si>
  <si>
    <t>Tredje ma-sø i måneden</t>
  </si>
  <si>
    <t>Fjerde ma-sø i måneden</t>
  </si>
  <si>
    <t>Femte ma-sø i måneden (hvis det forekommer)</t>
  </si>
  <si>
    <t>Sidste ma-sø i måneden</t>
  </si>
  <si>
    <t>Næstsidste ma-sø i måneden</t>
  </si>
  <si>
    <t>Timeafregnet</t>
  </si>
  <si>
    <t>Arbejdstimer pr. dag</t>
  </si>
  <si>
    <t>Arbejdsdage pr. uge</t>
  </si>
  <si>
    <t>Arbejdsdage pr. år</t>
  </si>
  <si>
    <t>Måneder pr. år</t>
  </si>
  <si>
    <t>Uger pr. år</t>
  </si>
  <si>
    <t>Uger pr. måned</t>
  </si>
  <si>
    <t>1-12</t>
  </si>
  <si>
    <t>1-52</t>
  </si>
  <si>
    <t>6 md</t>
  </si>
  <si>
    <t>#</t>
  </si>
  <si>
    <t>Definerede mødetyper.
Eksempelvis beboer-, bestyrelses-, nævns- og budgetmøder.</t>
  </si>
  <si>
    <t>Leveringsgodkendelse</t>
  </si>
  <si>
    <t>Sidste hverdag i måneden</t>
  </si>
  <si>
    <t>Fast</t>
  </si>
  <si>
    <t>Blå medarbejder</t>
  </si>
  <si>
    <t>Grå medarbejder</t>
  </si>
  <si>
    <t>Månedligt</t>
  </si>
  <si>
    <t>Ugentligt</t>
  </si>
  <si>
    <t>Ugentligt, i ulige uger</t>
  </si>
  <si>
    <t>Aftalt forholdsordre med håndværkerliste.
Aftalt beløbsgrænse.</t>
  </si>
  <si>
    <t>Bestilling af forbrugsmaterialer til ejendommen, fx. lyskilder, batterier, rengøringsartikler, vaskemidler m.m.</t>
  </si>
  <si>
    <t>Anmeldelse af skadedyr, skaktstop, elevatorstop, ventilationsstop, ekstra tømning af affald, vaskeristop og andre tekniske driftsstop.</t>
  </si>
  <si>
    <t>Booking af fællesrum, gæsteværelser, gildesal m.m. samt oprettelse af opgaver til servicemedarbejdere for håndtering af nøgler, rengøringstjek, leje.</t>
  </si>
  <si>
    <t>Leveringsgodkendelse af indkomne fakturaer på opgaver, som er bestilt af DEAS FS på kundens vegne.</t>
  </si>
  <si>
    <t>Kontortid afholdes på ejendommen.</t>
  </si>
  <si>
    <t>Oplukning og adgang for servicemontører og håndværkere i forbindelse med arbejder på ejendommen.</t>
  </si>
  <si>
    <t>Udfaldskrav jf. beskrivelsen i ”Drift af grønne områder”.</t>
  </si>
  <si>
    <t>Partiel fejning på fællesarealer, fx fortove, pladser, veje, stier, svalegange, parkeringsarealer, udvendige trapper m.m. Udføres altid i forbindelse med ydelserne i pkt. 406.</t>
  </si>
  <si>
    <t>Renholdelse affaldsrum, containergård, skaktrum</t>
  </si>
  <si>
    <t>Inden for arbejdsmiljølovens rammer.
Håndtering af fejlsortering, oprydning og bortkørsel faktureres efter medgået tid.</t>
  </si>
  <si>
    <t>Renholdelse af storskraldsrum.</t>
  </si>
  <si>
    <t>Affaldshåndtering</t>
  </si>
  <si>
    <t>Oprensning af regnvandsbrønde og aquadræn i terræn.</t>
  </si>
  <si>
    <t>Specielle krav til beskæring, eksisterende lokalplaner, vedtægter eller lign., skal være fremskaffet af kunden inden aftalens indgåelse.</t>
  </si>
  <si>
    <t>Nøgler for arbejdsdage</t>
  </si>
  <si>
    <t>Nærmere defineret afgrænsning.</t>
  </si>
  <si>
    <t>Fræsning</t>
  </si>
  <si>
    <t>Maskinel bearbejdning.</t>
  </si>
  <si>
    <t>Deltagelse i møder ud over driftsmøder</t>
  </si>
  <si>
    <t>Definerede mødetyper, som ikke er driftsmøder.
Eksempelvis beboer-, bestyrelses-, nævns- og budgetmøder.</t>
  </si>
  <si>
    <t>Administration af cykeloprydning</t>
  </si>
  <si>
    <t>Cykeloprydning</t>
  </si>
  <si>
    <t>Ukrudtsbekæmpelse</t>
  </si>
  <si>
    <t>Trappevask, vinduespolering …</t>
  </si>
  <si>
    <t>Rengøring</t>
  </si>
  <si>
    <t>Fejl</t>
  </si>
  <si>
    <t>Vælg en anden kombination</t>
  </si>
  <si>
    <t>Kontrol af AVS</t>
  </si>
  <si>
    <t>Kontrol af ABV</t>
  </si>
  <si>
    <t>Kontrol af ABDL</t>
  </si>
  <si>
    <t>Kontrol af AIA</t>
  </si>
  <si>
    <t>Kontrol af ABA (Automatisk Brandalarm Anlæg).</t>
  </si>
  <si>
    <t>Kontrol af ABV (Automatisk Brandventilation).</t>
  </si>
  <si>
    <t>Kontrol af ABDL (Automatisk Branddørslukning).</t>
  </si>
  <si>
    <t>Kontrol af AIA (Automatisk Indbruds Alarm).</t>
  </si>
  <si>
    <t>Kontrol af ABA kontrol</t>
  </si>
  <si>
    <t>Inden for arbejdsmiljølovens rammer.
Inden for normal arbejdstid, efter nærmere defineret afgrænsning.
Arbejde uden for normal arbejdstid faktureres efter medgået tid.</t>
  </si>
  <si>
    <t>Tilgængelighed, ryddelige plæner klar til minimum 3-leds rotorklip.
Bemærk at aftalt frekvens har indflydelse på græshøjden. Areal er defineret.</t>
  </si>
  <si>
    <t>Håndbrænding</t>
  </si>
  <si>
    <t>Ukrudtsbekæmpelse befæstede arealer</t>
  </si>
  <si>
    <t>Nøgle- og kortadministration</t>
  </si>
  <si>
    <t>Algebekæmpelse</t>
  </si>
  <si>
    <t>Tilbageskæring af hække/pur</t>
  </si>
  <si>
    <t>Fældninger, kronereduktion og stubfræsning</t>
  </si>
  <si>
    <t>Opsætning og nedtagning af snehegn (inkl. leje)</t>
  </si>
  <si>
    <t>Omdelinger</t>
  </si>
  <si>
    <t>Betalingsautomater i vaskerier</t>
  </si>
  <si>
    <t>Ja/Nej</t>
  </si>
  <si>
    <t>Gentagelse</t>
  </si>
  <si>
    <t>Arbejdsområde</t>
  </si>
  <si>
    <t>Status</t>
  </si>
  <si>
    <t>DEAS type</t>
  </si>
  <si>
    <t>Kode</t>
  </si>
  <si>
    <t>Opgavetype</t>
  </si>
  <si>
    <t>FS aftale</t>
  </si>
  <si>
    <t>Faste oplysninger</t>
  </si>
  <si>
    <t>Ikon</t>
  </si>
  <si>
    <t>1-31</t>
  </si>
  <si>
    <t>101-107</t>
  </si>
  <si>
    <t>108-114</t>
  </si>
  <si>
    <t>115-121</t>
  </si>
  <si>
    <t>122-128</t>
  </si>
  <si>
    <t>129-135</t>
  </si>
  <si>
    <t>201-207</t>
  </si>
  <si>
    <t>208-214</t>
  </si>
  <si>
    <t>Hver 3. uge (1, 4, 7 ...)</t>
  </si>
  <si>
    <t>Hver 4. uge (1, 5, 9 ...)</t>
  </si>
  <si>
    <t>Sidste arbejdsdag</t>
  </si>
  <si>
    <t>Første arbejdsdag</t>
  </si>
  <si>
    <t>Første mandag i måneden</t>
  </si>
  <si>
    <t>7:00</t>
  </si>
  <si>
    <t>Starttid</t>
  </si>
  <si>
    <t>Indeholdt</t>
  </si>
  <si>
    <t>Enhedspris</t>
  </si>
  <si>
    <t>Antal</t>
  </si>
  <si>
    <t>Mangler planlægning</t>
  </si>
  <si>
    <t>Aflæsning af Ejendommens hoved- og evt. bimålere.
Evt. indberetning i MinEnergi portalen.</t>
  </si>
  <si>
    <t>Boliglejemål, maks. 10%
Niveau for tomgangsstatus skal være beskrevet af kontraktpart. Kan have periodisk indvirkning på pris (tillæg/fradrag beregnes ad hoc).</t>
  </si>
  <si>
    <t>Erhverv - Periodisk tilsyn med tomgangslejemål</t>
  </si>
  <si>
    <t>Cyklerne opmærkes. Efter 2 uger fjernes cykler med mærke og sættes i ejendommens aflåste depot i 12 uger, hvorefter de køres til skrot.</t>
  </si>
  <si>
    <t>Minutter</t>
  </si>
  <si>
    <t>Kvalitetssikring og tilsyn med underentreprenør (UE) ydelse.</t>
  </si>
  <si>
    <t>Ugentligt antal timer</t>
  </si>
  <si>
    <t xml:space="preserve">I alt   </t>
  </si>
  <si>
    <t>Gasbrænder, håndbåren</t>
  </si>
  <si>
    <t>Fladebrænder, manuelt fremført</t>
  </si>
  <si>
    <t>Fladebrænder på traktor</t>
  </si>
  <si>
    <t>Feje/sugemaskine</t>
  </si>
  <si>
    <t>Gartner m. lille rider</t>
  </si>
  <si>
    <t>Gartner m. stor rider</t>
  </si>
  <si>
    <t>Gartner m. lift (altid 2 mand indeholdt)</t>
  </si>
  <si>
    <t>Timepris
pr. 1/1/2017</t>
  </si>
  <si>
    <r>
      <t>m</t>
    </r>
    <r>
      <rPr>
        <vertAlign val="superscript"/>
        <sz val="11"/>
        <color theme="1"/>
        <rFont val="Calibri"/>
        <family val="2"/>
        <scheme val="minor"/>
      </rPr>
      <t>2</t>
    </r>
  </si>
  <si>
    <t>Tidl. Pris evt.</t>
  </si>
  <si>
    <t>Lejemål</t>
  </si>
  <si>
    <t xml:space="preserve">Besvarelse og behandling af indkomne telefonopkald og e-mails fra kunder i Service Centerets åbningstid. Service Centeret har åbent mandag til fredag fra 08.00-16.00. Tlf. 70 30 23 30 / e-mail: fs@deas.dk. Uden for Service Centerets åbningstid viderstilles opkaldet til BELFOR Skadesservice, som i akutte situationer skadesbegrænser på ejendommen. </t>
  </si>
  <si>
    <t xml:space="preserve">Brøndene skal være synlige og frit tilgængelige uden brug af værktøj, ellers vil de ikke blive oprenset. </t>
  </si>
  <si>
    <t>Arbejdstilsynets krav skal være opfyldt for adgang og håndtering.</t>
  </si>
  <si>
    <t>Nærmere defineret afgrænsning. - se SBA.</t>
  </si>
  <si>
    <t>Beskæring af træer i op til 4 meters højde, inkl. bortskaffelse.</t>
  </si>
  <si>
    <t>Planlægning af flyttesyn, 14. dages gennemgang.
Udførelse med relevante måleraflæsninger og returnering af flyttesynsdokumenter og måleraflæsninger til kunden.
Udlevering af nøgler, beboermappe m.m. Gennemgang af indflytningsrapport og bestilling af mangelafhjælpning samt 14-dages gennemgang med lejer.
Ændring af navneskilte, navn på dør, postkasse, dørtelefon m.m. (ekskl. materialer).</t>
  </si>
  <si>
    <t>Registreres i iSyn med forud definerede flyttesynsdage.
Kunden leverer de nødvendige dokumenter med frist.
Navneskilt(e), nøgler, P-kort, vaskekort, kælder-/loftsrum, beboermappe.
Hvidvask.
Måleraflæsninger, relevans jf. lejeloven, og rapportering.
Flytterapport og dokumenter.
Produkt- og leveringsomkostninger faktureres særskilt.</t>
  </si>
  <si>
    <t xml:space="preserve">Registreres i iSyn med forud definerede flyttesynsdage.
I tomgangsperioden isættes flyttecylinder.
</t>
  </si>
  <si>
    <t xml:space="preserve">Saltning af område. Jf. vedlagte bilag med kort </t>
  </si>
  <si>
    <t>Saltning af område. Jf. vedlagte bilag med kort</t>
  </si>
  <si>
    <t>Kontrakt med ydelser: "blå" og "grå".</t>
  </si>
  <si>
    <t>Kontrakt med ydelser: "blå" og "grå" samt tilgang til kontraktoverblik.</t>
  </si>
  <si>
    <t>Opgaven skal være målbar, i modsat fald faktureres efter medgået tid.</t>
  </si>
  <si>
    <t>Kontrakter, snitflader, omfang.Kontrakter, snitflader, omfang.
Registreres i et kontrolskema i MicroBizz og rapporteres.</t>
  </si>
  <si>
    <t>I henhold til vejledning.</t>
  </si>
  <si>
    <t>Kontrol af AVS (Automatisk Sprinkleranlæg).Afprøvning af AVS (Automatisk Sprinkleranlæg) jf. DBI’s vejledning og kontrolskema anført i ”DBI retningslinie 005”. 
Fremgangsmåde (”normal” anlæg):
Afmelding af alarm – brandstation
Slavisk gennemgang af kontrolskema:
- Tjek ventiler (over- &amp; underbar)
- Tjek tryk i tank (bar)
- Tjek opstart af pumpe El/diesel (ved korrekt tryk – bar)
- Tjek alarmklokke
- Tjek alarm til brandvæsen
- Tjek vandstand (tryktank/reservoir) 
Efter endt afprøvning tilkobles alarmen igen via brandstation.</t>
  </si>
  <si>
    <t>I henhold til vejledning og instruktion fra installationsfirma. DBI retningslinie 005 samt brugerkursus i brandforebyggelse og forebyggelse af uønskede alarmer.</t>
  </si>
  <si>
    <t>Jf. oversigtskort.</t>
  </si>
  <si>
    <t>v. 1.3</t>
  </si>
  <si>
    <t>Kundenr.-Ejendom</t>
  </si>
  <si>
    <t>Team Ansvarlig</t>
  </si>
  <si>
    <t>Foretages på eksempelvis fortove, pladser, grønne områder, veje, stier, svalegange, parkeringsarealer, udvendige trapper o.l.</t>
  </si>
  <si>
    <t>RENHOLD 2:
Spredt mindre affald accepteres. Let og større affald samt mindre affald i bunker må ikke skæmme helheden</t>
  </si>
  <si>
    <t xml:space="preserve">RENHOLD 1:
Affald af enhver type må ikke skæmme helheden.
</t>
  </si>
  <si>
    <t>RENHOLD 3:
Mindre affald og spredt let affald accepteres. Større affald og let affald i bunker må ikke skæmme helheden.</t>
  </si>
  <si>
    <t>Opsamling og udvendig renholdelse af arealer for affald (renholdsniveau/udfaldskrav 1, 2, eller 3 - se forudsætninger)</t>
  </si>
  <si>
    <t>312 - Tilsyn med CTS m.fl.</t>
  </si>
  <si>
    <t xml:space="preserve">1: 312 - Tilsyn med CTS Antal = 250. _x000D_
2: 313 - Umiddelbar, visuel kontrol af installationer og anlæg, evt. lækager eller andre synlige defekter. Antal = 52. </t>
  </si>
  <si>
    <t>401 - Gennemgang samt udskiftning af lyskilder m.fl.</t>
  </si>
  <si>
    <t xml:space="preserve">1: 401 - Gennemgang samt udskiftning af lyskilder Antal = 52. _x000D_
2: 402 - Aftørring med tør klud. Antal = 52. </t>
  </si>
  <si>
    <t>506 - Håndlugning m.fl.</t>
  </si>
  <si>
    <t xml:space="preserve">1: 506 - Håndlugning Antal = 9. _x000D_
2: 507 - Manuel kultivering i bede. Antal = 9. _x000D_
3: 508 - Maskinel bearbejdning. Antal = 9. _x000D_
4: 509 -  Antal = 9. _x000D_
5: 510 -  Antal = 9. </t>
  </si>
  <si>
    <t>301 - Kontortid</t>
  </si>
  <si>
    <t>308 - Måleraflæsning</t>
  </si>
  <si>
    <t>403 - Løbende tilsyn af legeplads om behov for istandsættelser</t>
  </si>
  <si>
    <t>404 - Fejning med feje-/sugemaskine på befæstede arealer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</si>
</sst>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 #,##0.00_ ;_ * \-#,##0.00_ ;_ * &quot;-&quot;??_ ;_ @_ "/>
    <numFmt numFmtId="165" formatCode="_ * #,##0_ ;_ * \-#,##0_ ;_ * &quot;-&quot;??_ ;_ @_ "/>
    <numFmt numFmtId="166" formatCode="#,##0.00_ ;\-#,##0.00\ "/>
    <numFmt numFmtId="167" formatCode="[$-F800]dddd\,\ mmmm\ dd\,\ yyyy"/>
    <numFmt numFmtId="168" formatCode="_ * #,##0.0_ ;_ * \-#,##0.0_ ;_ * &quot;-&quot;??_ ;_ @_ "/>
  </numFmts>
  <fonts count="25" x14ac:knownFonts="1">
    <font>
      <sz val="11"/>
      <color theme="1"/>
      <name val="Calibri"/>
      <family val="2"/>
      <scheme val="minor"/>
    </font>
    <font>
      <sz val="10"/>
      <color theme="1"/>
      <name val="Verdana"/>
      <family val="2"/>
    </font>
    <font>
      <b/>
      <sz val="10"/>
      <color theme="1"/>
      <name val="Verdana"/>
      <family val="2"/>
    </font>
    <font>
      <i/>
      <sz val="10"/>
      <color theme="1"/>
      <name val="Verdana"/>
      <family val="2"/>
    </font>
    <font>
      <b/>
      <sz val="10"/>
      <color theme="0"/>
      <name val="Verdana"/>
      <family val="2"/>
    </font>
    <font>
      <i/>
      <sz val="9"/>
      <color theme="1"/>
      <name val="Verdana"/>
      <family val="2"/>
    </font>
    <font>
      <sz val="11"/>
      <color theme="1"/>
      <name val="Verdana"/>
      <family val="2"/>
    </font>
    <font>
      <i/>
      <sz val="11"/>
      <color theme="1"/>
      <name val="Verdana"/>
      <family val="2"/>
    </font>
    <font>
      <b/>
      <sz val="11"/>
      <color theme="1"/>
      <name val="Calibri"/>
      <family val="2"/>
      <scheme val="minor"/>
    </font>
    <font>
      <sz val="11"/>
      <color theme="1"/>
      <name val="Calibri"/>
      <family val="2"/>
      <scheme val="minor"/>
    </font>
    <font>
      <sz val="11"/>
      <color theme="0"/>
      <name val="Calibri"/>
      <family val="2"/>
      <scheme val="minor"/>
    </font>
    <font>
      <sz val="10"/>
      <color theme="1"/>
      <name val="Calibri"/>
      <family val="2"/>
      <scheme val="minor"/>
    </font>
    <font>
      <b/>
      <sz val="10"/>
      <name val="Verdana"/>
      <family val="2"/>
    </font>
    <font>
      <sz val="11"/>
      <color theme="0"/>
      <name val="Verdana"/>
      <family val="2"/>
    </font>
    <font>
      <i/>
      <sz val="10"/>
      <color theme="0"/>
      <name val="Verdana"/>
      <family val="2"/>
    </font>
    <font>
      <sz val="11"/>
      <name val="Calibri"/>
      <family val="2"/>
      <scheme val="minor"/>
    </font>
    <font>
      <i/>
      <sz val="10"/>
      <name val="Verdana"/>
      <family val="2"/>
    </font>
    <font>
      <sz val="10"/>
      <name val="Verdana"/>
      <family val="2"/>
    </font>
    <font>
      <sz val="10"/>
      <name val="Arial"/>
      <family val="2"/>
    </font>
    <font>
      <sz val="10"/>
      <color theme="0"/>
      <name val="Verdana"/>
      <family val="2"/>
    </font>
    <font>
      <b/>
      <sz val="20"/>
      <color rgb="FFFF0000"/>
      <name val="Verdana"/>
      <family val="2"/>
    </font>
    <font>
      <b/>
      <sz val="14"/>
      <color rgb="FFFF0000"/>
      <name val="Verdana"/>
      <family val="2"/>
    </font>
    <font>
      <b/>
      <sz val="12"/>
      <color rgb="FFFF0000"/>
      <name val="Verdana"/>
      <family val="2"/>
    </font>
    <font>
      <b/>
      <sz val="11"/>
      <color rgb="FFFFFFFF"/>
      <name val="Calibri"/>
      <family val="2"/>
      <scheme val="minor"/>
    </font>
    <font>
      <vertAlign val="superscript"/>
      <sz val="11"/>
      <color theme="1"/>
      <name val="Calibri"/>
      <family val="2"/>
      <scheme val="minor"/>
    </font>
  </fonts>
  <fills count="6">
    <fill>
      <patternFill patternType="none"/>
    </fill>
    <fill>
      <patternFill patternType="gray125"/>
    </fill>
    <fill>
      <patternFill patternType="solid">
        <fgColor rgb="FF002C50"/>
        <bgColor indexed="64"/>
      </patternFill>
    </fill>
    <fill>
      <patternFill patternType="solid">
        <fgColor rgb="FFFFFF00"/>
        <bgColor indexed="64"/>
      </patternFill>
    </fill>
    <fill>
      <patternFill patternType="solid">
        <fgColor theme="5"/>
      </patternFill>
    </fill>
    <fill>
      <patternFill patternType="solid">
        <fgColor rgb="FF002B41"/>
        <bgColor indexed="64"/>
      </patternFill>
    </fill>
  </fills>
  <borders count="13">
    <border>
      <left/>
      <right/>
      <top/>
      <bottom/>
      <diagonal/>
    </border>
    <border>
      <left style="medium">
        <color auto="1"/>
      </left>
      <right/>
      <top style="medium">
        <color auto="1"/>
      </top>
      <bottom style="medium">
        <color auto="1"/>
      </bottom>
      <diagonal/>
    </border>
    <border>
      <left style="medium">
        <color auto="1"/>
      </left>
      <right style="medium">
        <color auto="1"/>
      </right>
      <top style="medium">
        <color auto="1"/>
      </top>
      <bottom style="medium">
        <color auto="1"/>
      </bottom>
      <diagonal/>
    </border>
    <border>
      <left/>
      <right/>
      <top/>
      <bottom style="thin">
        <color indexed="64"/>
      </bottom>
      <diagonal/>
    </border>
    <border>
      <left style="thin">
        <color indexed="64"/>
      </left>
      <right/>
      <top/>
      <bottom style="thin">
        <color indexed="64"/>
      </bottom>
      <diagonal/>
    </border>
    <border>
      <left style="medium">
        <color auto="1"/>
      </left>
      <right/>
      <top/>
      <bottom style="thin">
        <color indexed="64"/>
      </bottom>
      <diagonal/>
    </border>
    <border>
      <left/>
      <right/>
      <top style="medium">
        <color auto="1"/>
      </top>
      <bottom style="medium">
        <color auto="1"/>
      </bottom>
      <diagonal/>
    </border>
    <border>
      <left/>
      <right/>
      <top style="thin">
        <color indexed="64"/>
      </top>
      <bottom/>
      <diagonal/>
    </border>
    <border>
      <left/>
      <right style="medium">
        <color auto="1"/>
      </right>
      <top style="medium">
        <color auto="1"/>
      </top>
      <bottom style="medium">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s>
  <cellStyleXfs count="4">
    <xf numFmtId="0" fontId="0" fillId="0" borderId="0"/>
    <xf numFmtId="164" fontId="9" fillId="0" borderId="0" applyFont="0" applyFill="0" applyBorder="0" applyAlignment="0" applyProtection="0"/>
    <xf numFmtId="0" fontId="18" fillId="0" borderId="0"/>
    <xf numFmtId="0" fontId="10" fillId="4" borderId="0" applyNumberFormat="0" applyBorder="0" applyAlignment="0" applyProtection="0"/>
  </cellStyleXfs>
  <cellXfs count="273">
    <xf numFmtId="0" fontId="0" fillId="0" borderId="0" xfId="0"/>
    <xf numFmtId="0" fontId="1" fillId="0" borderId="0" xfId="0" applyFont="1" applyBorder="1" applyAlignment="1">
      <alignment horizontal="left" vertical="top" wrapText="1"/>
    </xf>
    <xf numFmtId="0" fontId="2" fillId="0" borderId="0" xfId="0" applyFont="1" applyBorder="1" applyAlignment="1">
      <alignment horizontal="left" vertical="top" wrapText="1"/>
    </xf>
    <xf numFmtId="0" fontId="2" fillId="0" borderId="2" xfId="0" applyFont="1" applyBorder="1" applyAlignment="1">
      <alignment horizontal="left" vertical="top" wrapText="1"/>
    </xf>
    <xf numFmtId="0" fontId="2" fillId="0" borderId="1" xfId="0" applyFont="1" applyBorder="1" applyAlignment="1">
      <alignment horizontal="left" vertical="top" wrapText="1"/>
    </xf>
    <xf numFmtId="0" fontId="1" fillId="0" borderId="2" xfId="0" applyFont="1" applyBorder="1" applyAlignment="1">
      <alignment horizontal="left" vertical="top" wrapText="1"/>
    </xf>
    <xf numFmtId="0" fontId="3" fillId="0" borderId="2" xfId="0" applyFont="1" applyBorder="1" applyAlignment="1">
      <alignment horizontal="left" vertical="top" wrapText="1"/>
    </xf>
    <xf numFmtId="0" fontId="4" fillId="2" borderId="2" xfId="0" applyFont="1" applyFill="1" applyBorder="1" applyAlignment="1">
      <alignment horizontal="left" vertical="top" wrapText="1"/>
    </xf>
    <xf numFmtId="0" fontId="5" fillId="0" borderId="0" xfId="0" applyFont="1" applyAlignment="1">
      <alignment horizontal="left" vertical="center" wrapText="1"/>
    </xf>
    <xf numFmtId="0" fontId="6" fillId="0" borderId="0" xfId="0" applyFont="1" applyAlignment="1">
      <alignment horizontal="left" vertical="top" wrapText="1"/>
    </xf>
    <xf numFmtId="0" fontId="7" fillId="0" borderId="0" xfId="0" applyFont="1" applyAlignment="1">
      <alignment horizontal="left" vertical="top" wrapText="1"/>
    </xf>
    <xf numFmtId="0" fontId="6" fillId="0" borderId="0" xfId="0" applyNumberFormat="1" applyFont="1" applyAlignment="1">
      <alignment horizontal="left" vertical="top" wrapText="1"/>
    </xf>
    <xf numFmtId="0" fontId="1" fillId="0" borderId="0" xfId="0" applyFont="1" applyAlignment="1">
      <alignment horizontal="center" vertical="top" wrapText="1"/>
    </xf>
    <xf numFmtId="0" fontId="1" fillId="0" borderId="5" xfId="0" applyFont="1" applyBorder="1" applyAlignment="1">
      <alignment horizontal="center" vertical="top" wrapText="1"/>
    </xf>
    <xf numFmtId="0" fontId="1" fillId="0" borderId="3" xfId="0" applyFont="1" applyBorder="1" applyAlignment="1">
      <alignment horizontal="center" vertical="top" wrapText="1"/>
    </xf>
    <xf numFmtId="0" fontId="1" fillId="0" borderId="0" xfId="0" applyFont="1" applyAlignment="1">
      <alignment vertical="top"/>
    </xf>
    <xf numFmtId="0" fontId="0" fillId="0" borderId="0" xfId="0" applyAlignment="1">
      <alignment vertical="top"/>
    </xf>
    <xf numFmtId="0" fontId="2" fillId="0" borderId="0" xfId="0" applyFont="1" applyAlignment="1">
      <alignment vertical="top"/>
    </xf>
    <xf numFmtId="0" fontId="8" fillId="0" borderId="0" xfId="0" applyFont="1" applyAlignment="1">
      <alignment vertical="top"/>
    </xf>
    <xf numFmtId="164" fontId="1" fillId="0" borderId="3" xfId="1" applyFont="1" applyBorder="1" applyAlignment="1">
      <alignment horizontal="right" vertical="top"/>
    </xf>
    <xf numFmtId="164" fontId="1" fillId="0" borderId="4" xfId="0" applyNumberFormat="1" applyFont="1" applyBorder="1" applyAlignment="1">
      <alignment vertical="top"/>
    </xf>
    <xf numFmtId="164" fontId="1" fillId="0" borderId="0" xfId="1" applyFont="1" applyBorder="1" applyAlignment="1">
      <alignment horizontal="right" vertical="top"/>
    </xf>
    <xf numFmtId="0" fontId="6" fillId="0" borderId="0" xfId="0" applyFont="1" applyAlignment="1" applyProtection="1">
      <alignment horizontal="left" vertical="top" wrapText="1"/>
      <protection locked="0"/>
    </xf>
    <xf numFmtId="164" fontId="2" fillId="0" borderId="0" xfId="0" applyNumberFormat="1" applyFont="1" applyAlignment="1">
      <alignment vertical="top"/>
    </xf>
    <xf numFmtId="164" fontId="1" fillId="0" borderId="0" xfId="0" applyNumberFormat="1" applyFont="1" applyBorder="1" applyAlignment="1">
      <alignment vertical="top"/>
    </xf>
    <xf numFmtId="0" fontId="1" fillId="0" borderId="0" xfId="0" applyFont="1" applyAlignment="1">
      <alignment horizontal="center" vertical="top"/>
    </xf>
    <xf numFmtId="0" fontId="1" fillId="0" borderId="2" xfId="0" applyFont="1" applyBorder="1" applyAlignment="1">
      <alignment horizontal="center" vertical="top" wrapText="1"/>
    </xf>
    <xf numFmtId="0" fontId="2" fillId="0" borderId="0" xfId="0" applyFont="1" applyAlignment="1">
      <alignment horizontal="center" vertical="top"/>
    </xf>
    <xf numFmtId="0" fontId="1" fillId="0" borderId="3" xfId="0" applyFont="1" applyBorder="1" applyAlignment="1">
      <alignment horizontal="center" vertical="top"/>
    </xf>
    <xf numFmtId="0" fontId="4" fillId="2" borderId="1" xfId="0" applyFont="1" applyFill="1" applyBorder="1" applyAlignment="1">
      <alignment horizontal="right" vertical="top" wrapText="1"/>
    </xf>
    <xf numFmtId="0" fontId="2" fillId="0" borderId="1" xfId="0" applyFont="1" applyBorder="1" applyAlignment="1">
      <alignment horizontal="right" vertical="top" wrapText="1"/>
    </xf>
    <xf numFmtId="0" fontId="2" fillId="0" borderId="0" xfId="0" applyFont="1" applyBorder="1" applyAlignment="1">
      <alignment horizontal="right" vertical="top" wrapText="1"/>
    </xf>
    <xf numFmtId="0" fontId="6" fillId="0" borderId="0" xfId="0" applyFont="1" applyBorder="1" applyAlignment="1">
      <alignment horizontal="left" vertical="top" wrapText="1"/>
    </xf>
    <xf numFmtId="0" fontId="6" fillId="0" borderId="0" xfId="0" applyNumberFormat="1" applyFont="1" applyBorder="1" applyAlignment="1">
      <alignment horizontal="left" vertical="top" wrapText="1"/>
    </xf>
    <xf numFmtId="0" fontId="6" fillId="0" borderId="0" xfId="0" applyFont="1" applyAlignment="1">
      <alignment horizontal="right" vertical="top" wrapText="1"/>
    </xf>
    <xf numFmtId="0" fontId="1" fillId="0" borderId="0" xfId="0" applyFont="1" applyBorder="1" applyAlignment="1">
      <alignment horizontal="center" vertical="top" wrapText="1"/>
    </xf>
    <xf numFmtId="0" fontId="1" fillId="0" borderId="0" xfId="0" applyFont="1" applyBorder="1" applyAlignment="1">
      <alignment horizontal="center" vertical="top"/>
    </xf>
    <xf numFmtId="0" fontId="1" fillId="0" borderId="0" xfId="0" applyFont="1" applyAlignment="1">
      <alignment horizontal="left" vertical="top"/>
    </xf>
    <xf numFmtId="0" fontId="2" fillId="0" borderId="0" xfId="0" applyFont="1" applyAlignment="1">
      <alignment horizontal="left" vertical="top"/>
    </xf>
    <xf numFmtId="164" fontId="1" fillId="0" borderId="0" xfId="1" applyFont="1" applyBorder="1" applyAlignment="1">
      <alignment horizontal="left" vertical="top"/>
    </xf>
    <xf numFmtId="164" fontId="1" fillId="0" borderId="3" xfId="1" applyFont="1" applyBorder="1" applyAlignment="1">
      <alignment horizontal="left" vertical="top"/>
    </xf>
    <xf numFmtId="164" fontId="2" fillId="0" borderId="7" xfId="0" applyNumberFormat="1" applyFont="1" applyBorder="1" applyAlignment="1">
      <alignment vertical="top"/>
    </xf>
    <xf numFmtId="0" fontId="10" fillId="0" borderId="3" xfId="0" applyFont="1" applyBorder="1" applyAlignment="1">
      <alignment vertical="top"/>
    </xf>
    <xf numFmtId="0" fontId="1" fillId="0" borderId="6" xfId="0" applyFont="1" applyBorder="1" applyAlignment="1">
      <alignment horizontal="left" vertical="top" wrapText="1"/>
    </xf>
    <xf numFmtId="0" fontId="3" fillId="0" borderId="6" xfId="0" applyFont="1" applyBorder="1" applyAlignment="1">
      <alignment horizontal="left" vertical="top" wrapText="1"/>
    </xf>
    <xf numFmtId="0" fontId="3" fillId="0" borderId="2" xfId="0" applyFont="1" applyBorder="1" applyAlignment="1">
      <alignment vertical="top" wrapText="1"/>
    </xf>
    <xf numFmtId="0" fontId="3" fillId="0" borderId="0" xfId="0" applyFont="1" applyBorder="1" applyAlignment="1">
      <alignment horizontal="left" vertical="top" wrapText="1"/>
    </xf>
    <xf numFmtId="0" fontId="1" fillId="0" borderId="1" xfId="0" applyFont="1" applyBorder="1" applyAlignment="1">
      <alignment horizontal="left" vertical="top" wrapText="1"/>
    </xf>
    <xf numFmtId="164" fontId="3" fillId="0" borderId="8" xfId="0" applyNumberFormat="1" applyFont="1" applyBorder="1" applyAlignment="1">
      <alignment vertical="top"/>
    </xf>
    <xf numFmtId="0" fontId="4" fillId="2" borderId="1" xfId="0" applyFont="1" applyFill="1" applyBorder="1" applyAlignment="1">
      <alignment horizontal="left" vertical="top" wrapText="1"/>
    </xf>
    <xf numFmtId="0" fontId="0" fillId="0" borderId="0" xfId="0" applyAlignment="1">
      <alignment vertical="center"/>
    </xf>
    <xf numFmtId="0" fontId="4" fillId="2" borderId="1" xfId="0" applyFont="1" applyFill="1" applyBorder="1" applyAlignment="1">
      <alignment horizontal="left" vertical="center" wrapText="1"/>
    </xf>
    <xf numFmtId="0" fontId="4" fillId="2" borderId="2" xfId="0" applyFont="1" applyFill="1" applyBorder="1" applyAlignment="1">
      <alignment horizontal="center" vertical="top" wrapText="1"/>
    </xf>
    <xf numFmtId="0" fontId="4" fillId="0" borderId="2" xfId="0" applyFont="1" applyBorder="1" applyAlignment="1">
      <alignment horizontal="center" vertical="top" wrapText="1"/>
    </xf>
    <xf numFmtId="0" fontId="13" fillId="0" borderId="0" xfId="0" applyFont="1" applyAlignment="1">
      <alignment horizontal="left" vertical="top" wrapText="1"/>
    </xf>
    <xf numFmtId="164" fontId="14" fillId="0" borderId="6" xfId="0" applyNumberFormat="1" applyFont="1" applyBorder="1" applyAlignment="1">
      <alignment vertical="top"/>
    </xf>
    <xf numFmtId="0" fontId="4" fillId="0" borderId="0" xfId="0" applyNumberFormat="1" applyFont="1" applyFill="1" applyAlignment="1">
      <alignment horizontal="left" vertical="top" wrapText="1"/>
    </xf>
    <xf numFmtId="0" fontId="6" fillId="0" borderId="0" xfId="0" applyFont="1" applyFill="1" applyAlignment="1" applyProtection="1">
      <alignment horizontal="left" vertical="top" wrapText="1"/>
      <protection locked="0"/>
    </xf>
    <xf numFmtId="0" fontId="1" fillId="0" borderId="0" xfId="0" applyFont="1" applyFill="1" applyAlignment="1">
      <alignment vertical="top"/>
    </xf>
    <xf numFmtId="0" fontId="1" fillId="0" borderId="2" xfId="0" quotePrefix="1" applyFont="1" applyBorder="1" applyAlignment="1">
      <alignment horizontal="left" vertical="top" wrapText="1"/>
    </xf>
    <xf numFmtId="0" fontId="3" fillId="0" borderId="2" xfId="0" quotePrefix="1" applyFont="1" applyBorder="1" applyAlignment="1">
      <alignment horizontal="left" vertical="top" wrapText="1"/>
    </xf>
    <xf numFmtId="164" fontId="1" fillId="0" borderId="9" xfId="1" applyFont="1" applyBorder="1" applyAlignment="1">
      <alignment horizontal="left" vertical="top" wrapText="1"/>
    </xf>
    <xf numFmtId="165" fontId="1" fillId="0" borderId="9" xfId="1" applyNumberFormat="1" applyFont="1" applyBorder="1" applyAlignment="1">
      <alignment horizontal="left" vertical="top" wrapText="1"/>
    </xf>
    <xf numFmtId="1" fontId="1" fillId="0" borderId="9" xfId="1" applyNumberFormat="1" applyFont="1" applyBorder="1" applyAlignment="1">
      <alignment horizontal="right" vertical="top" wrapText="1"/>
    </xf>
    <xf numFmtId="14" fontId="1" fillId="0" borderId="9" xfId="1" applyNumberFormat="1" applyFont="1" applyBorder="1" applyAlignment="1">
      <alignment horizontal="right" vertical="top" wrapText="1"/>
    </xf>
    <xf numFmtId="164" fontId="1" fillId="0" borderId="7" xfId="1" applyFont="1" applyBorder="1" applyAlignment="1">
      <alignment horizontal="left" vertical="top" wrapText="1"/>
    </xf>
    <xf numFmtId="0" fontId="1" fillId="0" borderId="7" xfId="1" applyNumberFormat="1" applyFont="1" applyBorder="1" applyAlignment="1">
      <alignment horizontal="left" vertical="top" wrapText="1"/>
    </xf>
    <xf numFmtId="165" fontId="1" fillId="0" borderId="7" xfId="1" applyNumberFormat="1" applyFont="1" applyBorder="1" applyAlignment="1">
      <alignment horizontal="left" vertical="top" wrapText="1"/>
    </xf>
    <xf numFmtId="1" fontId="1" fillId="0" borderId="7" xfId="1" applyNumberFormat="1" applyFont="1" applyBorder="1" applyAlignment="1">
      <alignment horizontal="right" vertical="top" wrapText="1"/>
    </xf>
    <xf numFmtId="1" fontId="1" fillId="0" borderId="0" xfId="1" applyNumberFormat="1" applyFont="1" applyBorder="1" applyAlignment="1">
      <alignment horizontal="right" vertical="top" wrapText="1"/>
    </xf>
    <xf numFmtId="164" fontId="1" fillId="0" borderId="3" xfId="1" applyFont="1" applyBorder="1" applyAlignment="1">
      <alignment horizontal="left" vertical="top" wrapText="1"/>
    </xf>
    <xf numFmtId="0" fontId="1" fillId="0" borderId="3" xfId="1" applyNumberFormat="1" applyFont="1" applyBorder="1" applyAlignment="1">
      <alignment horizontal="left" vertical="top" wrapText="1"/>
    </xf>
    <xf numFmtId="165" fontId="1" fillId="0" borderId="3" xfId="1" applyNumberFormat="1" applyFont="1" applyBorder="1" applyAlignment="1">
      <alignment horizontal="left" vertical="top" wrapText="1"/>
    </xf>
    <xf numFmtId="1" fontId="1" fillId="0" borderId="3" xfId="1" applyNumberFormat="1" applyFont="1" applyBorder="1" applyAlignment="1">
      <alignment horizontal="right" vertical="top" wrapText="1"/>
    </xf>
    <xf numFmtId="164" fontId="1" fillId="0" borderId="0" xfId="1" applyFont="1" applyBorder="1" applyAlignment="1">
      <alignment horizontal="left" vertical="top" wrapText="1"/>
    </xf>
    <xf numFmtId="0" fontId="1" fillId="0" borderId="0" xfId="1" applyNumberFormat="1" applyFont="1" applyBorder="1" applyAlignment="1">
      <alignment horizontal="left" vertical="top" wrapText="1"/>
    </xf>
    <xf numFmtId="165" fontId="1" fillId="0" borderId="0" xfId="1" applyNumberFormat="1" applyFont="1" applyBorder="1" applyAlignment="1">
      <alignment horizontal="left" vertical="top" wrapText="1"/>
    </xf>
    <xf numFmtId="164" fontId="1" fillId="0" borderId="0" xfId="1" applyFont="1" applyBorder="1" applyAlignment="1">
      <alignment horizontal="right" vertical="top" wrapText="1"/>
    </xf>
    <xf numFmtId="164" fontId="1" fillId="0" borderId="11" xfId="1" applyFont="1" applyBorder="1" applyAlignment="1">
      <alignment horizontal="left" vertical="top" wrapText="1"/>
    </xf>
    <xf numFmtId="0" fontId="1" fillId="0" borderId="11" xfId="1" applyNumberFormat="1" applyFont="1" applyBorder="1" applyAlignment="1">
      <alignment horizontal="left" vertical="top" wrapText="1"/>
    </xf>
    <xf numFmtId="165" fontId="1" fillId="0" borderId="11" xfId="1" applyNumberFormat="1" applyFont="1" applyBorder="1" applyAlignment="1">
      <alignment horizontal="left" vertical="top" wrapText="1"/>
    </xf>
    <xf numFmtId="1" fontId="1" fillId="0" borderId="11" xfId="1" applyNumberFormat="1" applyFont="1" applyBorder="1" applyAlignment="1">
      <alignment horizontal="right" vertical="top" wrapText="1"/>
    </xf>
    <xf numFmtId="0" fontId="4" fillId="2" borderId="1" xfId="0" applyFont="1" applyFill="1" applyBorder="1" applyAlignment="1">
      <alignment horizontal="left" vertical="top" wrapText="1"/>
    </xf>
    <xf numFmtId="164" fontId="3" fillId="0" borderId="0" xfId="0" applyNumberFormat="1" applyFont="1" applyAlignment="1">
      <alignment vertical="top"/>
    </xf>
    <xf numFmtId="164" fontId="3" fillId="0" borderId="7" xfId="0" applyNumberFormat="1" applyFont="1" applyBorder="1" applyAlignment="1">
      <alignment vertical="top"/>
    </xf>
    <xf numFmtId="0" fontId="17" fillId="0" borderId="0" xfId="0" applyFont="1" applyAlignment="1">
      <alignment horizontal="center" vertical="top" wrapText="1"/>
    </xf>
    <xf numFmtId="0" fontId="17" fillId="0" borderId="0" xfId="0" applyFont="1" applyAlignment="1">
      <alignment horizontal="center" vertical="top"/>
    </xf>
    <xf numFmtId="164" fontId="17" fillId="0" borderId="0" xfId="1" applyFont="1" applyBorder="1" applyAlignment="1">
      <alignment horizontal="left" vertical="top"/>
    </xf>
    <xf numFmtId="164" fontId="17" fillId="0" borderId="0" xfId="1" applyFont="1" applyBorder="1" applyAlignment="1">
      <alignment horizontal="right" vertical="top"/>
    </xf>
    <xf numFmtId="0" fontId="17" fillId="0" borderId="0" xfId="0" applyFont="1" applyBorder="1" applyAlignment="1">
      <alignment horizontal="center" vertical="top" wrapText="1"/>
    </xf>
    <xf numFmtId="0" fontId="17" fillId="0" borderId="0" xfId="0" applyFont="1" applyBorder="1" applyAlignment="1">
      <alignment horizontal="center" vertical="top"/>
    </xf>
    <xf numFmtId="0" fontId="15" fillId="0" borderId="9" xfId="0" applyFont="1" applyFill="1" applyBorder="1" applyAlignment="1">
      <alignment vertical="top" wrapText="1"/>
    </xf>
    <xf numFmtId="0" fontId="0" fillId="0" borderId="9" xfId="0" applyBorder="1" applyAlignment="1">
      <alignment vertical="top" wrapText="1"/>
    </xf>
    <xf numFmtId="0" fontId="0" fillId="0" borderId="0" xfId="0" applyAlignment="1">
      <alignment vertical="top" wrapText="1"/>
    </xf>
    <xf numFmtId="0" fontId="0" fillId="0" borderId="0" xfId="0" applyBorder="1" applyAlignment="1">
      <alignment vertical="top" wrapText="1"/>
    </xf>
    <xf numFmtId="0" fontId="0" fillId="3" borderId="0" xfId="0" applyFill="1" applyBorder="1" applyAlignment="1">
      <alignment vertical="top" wrapText="1"/>
    </xf>
    <xf numFmtId="0" fontId="0" fillId="3" borderId="0" xfId="0" applyFill="1" applyBorder="1" applyAlignment="1">
      <alignment horizontal="left" vertical="top" wrapText="1"/>
    </xf>
    <xf numFmtId="0" fontId="4" fillId="2" borderId="0" xfId="0" applyFont="1" applyFill="1" applyAlignment="1">
      <alignment horizontal="left" vertical="top" wrapText="1"/>
    </xf>
    <xf numFmtId="0" fontId="12" fillId="0" borderId="0" xfId="0" applyFont="1" applyFill="1" applyAlignment="1">
      <alignment horizontal="left" vertical="top" wrapText="1"/>
    </xf>
    <xf numFmtId="0" fontId="4" fillId="0" borderId="0" xfId="0" applyFont="1" applyFill="1" applyAlignment="1">
      <alignment horizontal="left" vertical="top" wrapText="1"/>
    </xf>
    <xf numFmtId="166" fontId="4" fillId="0" borderId="0" xfId="1" applyNumberFormat="1" applyFont="1" applyFill="1" applyAlignment="1">
      <alignment horizontal="right" vertical="top" wrapText="1"/>
    </xf>
    <xf numFmtId="1" fontId="4" fillId="0" borderId="0" xfId="1" applyNumberFormat="1" applyFont="1" applyFill="1" applyAlignment="1">
      <alignment horizontal="right" vertical="top" wrapText="1"/>
    </xf>
    <xf numFmtId="0" fontId="16" fillId="0" borderId="0" xfId="0" applyFont="1" applyFill="1" applyAlignment="1">
      <alignment horizontal="left" vertical="top" wrapText="1"/>
    </xf>
    <xf numFmtId="1" fontId="16" fillId="0" borderId="0" xfId="0" applyNumberFormat="1" applyFont="1" applyFill="1" applyAlignment="1">
      <alignment horizontal="left" vertical="top" wrapText="1"/>
    </xf>
    <xf numFmtId="0" fontId="12" fillId="0" borderId="0" xfId="0" applyFont="1" applyFill="1" applyAlignment="1">
      <alignment horizontal="right" vertical="top" wrapText="1"/>
    </xf>
    <xf numFmtId="0" fontId="4" fillId="2" borderId="2" xfId="0" applyFont="1" applyFill="1" applyBorder="1" applyAlignment="1">
      <alignment vertical="top" wrapText="1"/>
    </xf>
    <xf numFmtId="0" fontId="12" fillId="3" borderId="0" xfId="0" applyFont="1" applyFill="1" applyBorder="1" applyAlignment="1">
      <alignment horizontal="center" vertical="top" wrapText="1"/>
    </xf>
    <xf numFmtId="0" fontId="1" fillId="0" borderId="0" xfId="0" applyFont="1" applyBorder="1" applyAlignment="1">
      <alignment vertical="top" wrapText="1"/>
    </xf>
    <xf numFmtId="0" fontId="4" fillId="2" borderId="0" xfId="0" applyFont="1" applyFill="1" applyBorder="1" applyAlignment="1">
      <alignment horizontal="left" vertical="top" wrapText="1"/>
    </xf>
    <xf numFmtId="0" fontId="11" fillId="0" borderId="0" xfId="0" applyFont="1" applyAlignment="1">
      <alignment vertical="top" wrapText="1"/>
    </xf>
    <xf numFmtId="0" fontId="8" fillId="0" borderId="0" xfId="0" applyFont="1" applyAlignment="1">
      <alignment vertical="top" wrapText="1"/>
    </xf>
    <xf numFmtId="0" fontId="1" fillId="0" borderId="0" xfId="0" applyNumberFormat="1" applyFont="1" applyBorder="1" applyAlignment="1">
      <alignment vertical="top" wrapText="1"/>
    </xf>
    <xf numFmtId="0" fontId="1" fillId="0" borderId="0" xfId="0" applyFont="1" applyBorder="1" applyAlignment="1">
      <alignment horizontal="right" vertical="top" wrapText="1"/>
    </xf>
    <xf numFmtId="9" fontId="0" fillId="0" borderId="0" xfId="0" applyNumberFormat="1" applyFont="1" applyBorder="1" applyAlignment="1">
      <alignment horizontal="center" vertical="top" wrapText="1"/>
    </xf>
    <xf numFmtId="0" fontId="0" fillId="0" borderId="0" xfId="0" quotePrefix="1" applyAlignment="1">
      <alignment vertical="top" wrapText="1"/>
    </xf>
    <xf numFmtId="17" fontId="0" fillId="0" borderId="0" xfId="0" quotePrefix="1" applyNumberFormat="1" applyAlignment="1">
      <alignment vertical="top" wrapText="1"/>
    </xf>
    <xf numFmtId="0" fontId="0" fillId="0" borderId="0" xfId="0" applyFill="1" applyBorder="1" applyAlignment="1">
      <alignment vertical="top" wrapText="1"/>
    </xf>
    <xf numFmtId="164" fontId="1" fillId="0" borderId="0" xfId="1" applyFont="1" applyFill="1" applyBorder="1" applyAlignment="1">
      <alignment horizontal="right" vertical="top" wrapText="1"/>
    </xf>
    <xf numFmtId="167" fontId="0" fillId="3" borderId="0" xfId="0" applyNumberFormat="1" applyFill="1" applyBorder="1" applyAlignment="1">
      <alignment vertical="top" wrapText="1"/>
    </xf>
    <xf numFmtId="0" fontId="8" fillId="0" borderId="9" xfId="0" applyFont="1" applyBorder="1" applyAlignment="1">
      <alignment horizontal="right" vertical="top" wrapText="1"/>
    </xf>
    <xf numFmtId="0" fontId="8" fillId="0" borderId="9" xfId="0" applyFont="1" applyBorder="1" applyAlignment="1">
      <alignment vertical="top" wrapText="1"/>
    </xf>
    <xf numFmtId="0" fontId="8" fillId="0" borderId="9" xfId="0" applyFont="1" applyFill="1" applyBorder="1" applyAlignment="1">
      <alignment vertical="top" wrapText="1"/>
    </xf>
    <xf numFmtId="0" fontId="1" fillId="0" borderId="9" xfId="0" applyFont="1" applyBorder="1" applyAlignment="1">
      <alignment vertical="top" wrapText="1"/>
    </xf>
    <xf numFmtId="164" fontId="4" fillId="2" borderId="2" xfId="1" applyFont="1" applyFill="1" applyBorder="1" applyAlignment="1">
      <alignment horizontal="center" vertical="top" wrapText="1"/>
    </xf>
    <xf numFmtId="1" fontId="1" fillId="0" borderId="9" xfId="1" applyNumberFormat="1" applyFont="1" applyFill="1" applyBorder="1" applyAlignment="1">
      <alignment horizontal="right" vertical="top" wrapText="1"/>
    </xf>
    <xf numFmtId="0" fontId="0" fillId="0" borderId="9" xfId="0" applyFont="1" applyFill="1" applyBorder="1" applyAlignment="1">
      <alignment vertical="top" wrapText="1"/>
    </xf>
    <xf numFmtId="0" fontId="0" fillId="0" borderId="9" xfId="0" quotePrefix="1" applyFont="1" applyFill="1" applyBorder="1" applyAlignment="1">
      <alignment vertical="top" wrapText="1"/>
    </xf>
    <xf numFmtId="0" fontId="0" fillId="0" borderId="12" xfId="0" quotePrefix="1" applyFont="1" applyFill="1" applyBorder="1" applyAlignment="1">
      <alignment vertical="top" wrapText="1"/>
    </xf>
    <xf numFmtId="0" fontId="0" fillId="0" borderId="12" xfId="0" applyFont="1" applyFill="1" applyBorder="1" applyAlignment="1">
      <alignment vertical="top" wrapText="1"/>
    </xf>
    <xf numFmtId="0" fontId="0" fillId="0" borderId="3" xfId="0" applyBorder="1" applyAlignment="1">
      <alignment vertical="top"/>
    </xf>
    <xf numFmtId="164" fontId="1" fillId="0" borderId="9" xfId="0" applyNumberFormat="1" applyFont="1" applyBorder="1" applyAlignment="1">
      <alignment vertical="top"/>
    </xf>
    <xf numFmtId="164" fontId="14" fillId="2" borderId="2" xfId="1" applyFont="1" applyFill="1" applyBorder="1" applyAlignment="1">
      <alignment horizontal="center" vertical="top" wrapText="1"/>
    </xf>
    <xf numFmtId="0" fontId="20" fillId="0" borderId="2" xfId="0" applyFont="1" applyBorder="1" applyAlignment="1">
      <alignment horizontal="center" vertical="center" wrapText="1"/>
    </xf>
    <xf numFmtId="0" fontId="21" fillId="0" borderId="2" xfId="0" applyFont="1" applyBorder="1" applyAlignment="1">
      <alignment horizontal="center" vertical="center" wrapText="1"/>
    </xf>
    <xf numFmtId="0" fontId="4" fillId="2" borderId="1" xfId="0" applyFont="1" applyFill="1" applyBorder="1" applyAlignment="1">
      <alignment horizontal="left" vertical="top" wrapText="1"/>
    </xf>
    <xf numFmtId="0" fontId="1" fillId="0" borderId="3" xfId="0" applyFont="1" applyBorder="1" applyAlignment="1">
      <alignment horizontal="left" vertical="top" wrapText="1"/>
    </xf>
    <xf numFmtId="0" fontId="4" fillId="2" borderId="2" xfId="0" applyFont="1" applyFill="1" applyBorder="1" applyAlignment="1">
      <alignment horizontal="right" vertical="top" wrapText="1"/>
    </xf>
    <xf numFmtId="1" fontId="1" fillId="0" borderId="7" xfId="1" applyNumberFormat="1" applyFont="1" applyFill="1" applyBorder="1" applyAlignment="1">
      <alignment horizontal="right" vertical="top" wrapText="1"/>
    </xf>
    <xf numFmtId="0" fontId="15" fillId="0" borderId="7" xfId="0" applyFont="1" applyFill="1" applyBorder="1" applyAlignment="1">
      <alignment vertical="top" wrapText="1"/>
    </xf>
    <xf numFmtId="14" fontId="1" fillId="0" borderId="7" xfId="1" applyNumberFormat="1" applyFont="1" applyBorder="1" applyAlignment="1">
      <alignment horizontal="right" vertical="top" wrapText="1"/>
    </xf>
    <xf numFmtId="1" fontId="1" fillId="0" borderId="3" xfId="1" applyNumberFormat="1" applyFont="1" applyFill="1" applyBorder="1" applyAlignment="1">
      <alignment horizontal="right" vertical="top" wrapText="1"/>
    </xf>
    <xf numFmtId="0" fontId="15" fillId="0" borderId="3" xfId="0" applyFont="1" applyFill="1" applyBorder="1" applyAlignment="1">
      <alignment vertical="top" wrapText="1"/>
    </xf>
    <xf numFmtId="14" fontId="1" fillId="0" borderId="3" xfId="1" applyNumberFormat="1" applyFont="1" applyBorder="1" applyAlignment="1">
      <alignment horizontal="right" vertical="top" wrapText="1"/>
    </xf>
    <xf numFmtId="0" fontId="15" fillId="0" borderId="11" xfId="0" applyFont="1" applyFill="1" applyBorder="1" applyAlignment="1">
      <alignment vertical="top" wrapText="1"/>
    </xf>
    <xf numFmtId="14" fontId="1" fillId="0" borderId="11" xfId="1" applyNumberFormat="1" applyFont="1" applyBorder="1" applyAlignment="1">
      <alignment horizontal="right" vertical="top" wrapText="1"/>
    </xf>
    <xf numFmtId="0" fontId="15" fillId="0" borderId="0" xfId="0" applyFont="1" applyFill="1" applyBorder="1" applyAlignment="1">
      <alignment vertical="top" wrapText="1"/>
    </xf>
    <xf numFmtId="14" fontId="1" fillId="0" borderId="0" xfId="1" applyNumberFormat="1" applyFont="1" applyBorder="1" applyAlignment="1">
      <alignment horizontal="right" vertical="top" wrapText="1"/>
    </xf>
    <xf numFmtId="1" fontId="1" fillId="0" borderId="9" xfId="1" applyNumberFormat="1" applyFont="1" applyFill="1" applyBorder="1" applyAlignment="1">
      <alignment horizontal="left" vertical="top" wrapText="1"/>
    </xf>
    <xf numFmtId="1" fontId="1" fillId="0" borderId="7" xfId="1" applyNumberFormat="1" applyFont="1" applyFill="1" applyBorder="1" applyAlignment="1">
      <alignment horizontal="left" vertical="top" wrapText="1"/>
    </xf>
    <xf numFmtId="1" fontId="1" fillId="0" borderId="3" xfId="1" applyNumberFormat="1" applyFont="1" applyFill="1" applyBorder="1" applyAlignment="1">
      <alignment horizontal="left" vertical="top" wrapText="1"/>
    </xf>
    <xf numFmtId="1" fontId="1" fillId="0" borderId="11" xfId="1" applyNumberFormat="1" applyFont="1" applyFill="1" applyBorder="1" applyAlignment="1">
      <alignment horizontal="left" vertical="top" wrapText="1"/>
    </xf>
    <xf numFmtId="1" fontId="1" fillId="0" borderId="0" xfId="1" applyNumberFormat="1" applyFont="1" applyFill="1" applyBorder="1" applyAlignment="1">
      <alignment horizontal="left" vertical="top" wrapText="1"/>
    </xf>
    <xf numFmtId="0" fontId="22" fillId="0" borderId="2" xfId="0" applyFont="1" applyBorder="1" applyAlignment="1">
      <alignment horizontal="center" vertical="top" wrapText="1"/>
    </xf>
    <xf numFmtId="0" fontId="0" fillId="0" borderId="0" xfId="0" applyBorder="1"/>
    <xf numFmtId="0" fontId="1" fillId="0" borderId="6" xfId="0" applyFont="1" applyBorder="1" applyAlignment="1">
      <alignment horizontal="center" vertical="top" wrapText="1"/>
    </xf>
    <xf numFmtId="0" fontId="19" fillId="0" borderId="0" xfId="0" applyFont="1" applyFill="1" applyAlignment="1">
      <alignment horizontal="left" vertical="top" wrapText="1"/>
    </xf>
    <xf numFmtId="0" fontId="1" fillId="0" borderId="9" xfId="1" applyNumberFormat="1" applyFont="1" applyFill="1" applyBorder="1" applyAlignment="1">
      <alignment horizontal="left" vertical="top" wrapText="1"/>
    </xf>
    <xf numFmtId="14" fontId="1" fillId="0" borderId="9" xfId="1" applyNumberFormat="1" applyFont="1" applyBorder="1" applyAlignment="1">
      <alignment horizontal="left" vertical="top" wrapText="1"/>
    </xf>
    <xf numFmtId="14" fontId="1" fillId="0" borderId="7" xfId="1" applyNumberFormat="1" applyFont="1" applyBorder="1" applyAlignment="1">
      <alignment horizontal="left" vertical="top" wrapText="1"/>
    </xf>
    <xf numFmtId="14" fontId="1" fillId="0" borderId="3" xfId="1" applyNumberFormat="1" applyFont="1" applyBorder="1" applyAlignment="1">
      <alignment horizontal="left" vertical="top" wrapText="1"/>
    </xf>
    <xf numFmtId="14" fontId="1" fillId="0" borderId="11" xfId="1" applyNumberFormat="1" applyFont="1" applyBorder="1" applyAlignment="1">
      <alignment horizontal="left" vertical="top" wrapText="1"/>
    </xf>
    <xf numFmtId="14" fontId="1" fillId="0" borderId="0" xfId="1" applyNumberFormat="1" applyFont="1" applyBorder="1" applyAlignment="1">
      <alignment horizontal="left" vertical="top" wrapText="1"/>
    </xf>
    <xf numFmtId="17" fontId="1" fillId="0" borderId="9" xfId="0" quotePrefix="1" applyNumberFormat="1" applyFont="1" applyBorder="1" applyAlignment="1">
      <alignment horizontal="right" vertical="top" wrapText="1"/>
    </xf>
    <xf numFmtId="0" fontId="1" fillId="0" borderId="9" xfId="0" applyFont="1" applyBorder="1" applyAlignment="1">
      <alignment horizontal="right" vertical="top" wrapText="1"/>
    </xf>
    <xf numFmtId="0" fontId="2" fillId="0" borderId="0" xfId="0" applyFont="1" applyBorder="1" applyAlignment="1">
      <alignment vertical="top" wrapText="1"/>
    </xf>
    <xf numFmtId="0" fontId="2" fillId="0" borderId="9" xfId="0" applyFont="1" applyBorder="1" applyAlignment="1">
      <alignment vertical="top" wrapText="1"/>
    </xf>
    <xf numFmtId="0" fontId="8" fillId="0" borderId="0" xfId="0" applyFont="1" applyBorder="1" applyAlignment="1">
      <alignment vertical="top" wrapText="1"/>
    </xf>
    <xf numFmtId="0" fontId="0" fillId="0" borderId="0" xfId="0" applyBorder="1" applyAlignment="1">
      <alignment horizontal="left" vertical="top" wrapText="1"/>
    </xf>
    <xf numFmtId="0" fontId="16" fillId="0" borderId="0" xfId="0" applyFont="1" applyFill="1" applyAlignment="1">
      <alignment horizontal="center" vertical="top" wrapText="1"/>
    </xf>
    <xf numFmtId="0" fontId="12" fillId="0" borderId="0" xfId="0" applyFont="1" applyFill="1" applyAlignment="1">
      <alignment horizontal="center" vertical="top" wrapText="1"/>
    </xf>
    <xf numFmtId="0" fontId="15" fillId="0" borderId="9" xfId="0" applyFont="1" applyFill="1" applyBorder="1" applyAlignment="1">
      <alignment horizontal="center" vertical="top" wrapText="1"/>
    </xf>
    <xf numFmtId="0" fontId="15" fillId="0" borderId="7" xfId="0" applyFont="1" applyFill="1" applyBorder="1" applyAlignment="1">
      <alignment horizontal="center" vertical="top" wrapText="1"/>
    </xf>
    <xf numFmtId="0" fontId="15" fillId="0" borderId="3" xfId="0" applyFont="1" applyFill="1" applyBorder="1" applyAlignment="1">
      <alignment horizontal="center" vertical="top" wrapText="1"/>
    </xf>
    <xf numFmtId="0" fontId="15" fillId="0" borderId="11" xfId="0" applyFont="1" applyFill="1" applyBorder="1" applyAlignment="1">
      <alignment horizontal="center" vertical="top" wrapText="1"/>
    </xf>
    <xf numFmtId="0" fontId="15" fillId="0" borderId="0" xfId="0" applyFont="1" applyFill="1" applyBorder="1" applyAlignment="1">
      <alignment horizontal="center" vertical="top" wrapText="1"/>
    </xf>
    <xf numFmtId="0" fontId="8" fillId="0" borderId="0" xfId="0" applyFont="1" applyBorder="1" applyAlignment="1">
      <alignment horizontal="left" vertical="top" wrapText="1"/>
    </xf>
    <xf numFmtId="0" fontId="2" fillId="0" borderId="9" xfId="0" applyFont="1" applyBorder="1" applyAlignment="1">
      <alignment horizontal="right" vertical="top" wrapText="1"/>
    </xf>
    <xf numFmtId="0" fontId="16" fillId="0" borderId="0" xfId="0" applyFont="1" applyFill="1" applyAlignment="1">
      <alignment horizontal="right" vertical="top" wrapText="1"/>
    </xf>
    <xf numFmtId="0" fontId="19" fillId="0" borderId="0" xfId="0" applyFont="1" applyFill="1" applyAlignment="1">
      <alignment horizontal="right" vertical="top" wrapText="1"/>
    </xf>
    <xf numFmtId="165" fontId="1" fillId="0" borderId="9" xfId="1" applyNumberFormat="1" applyFont="1" applyBorder="1" applyAlignment="1">
      <alignment horizontal="right" vertical="top" wrapText="1"/>
    </xf>
    <xf numFmtId="165" fontId="1" fillId="0" borderId="7" xfId="1" applyNumberFormat="1" applyFont="1" applyBorder="1" applyAlignment="1">
      <alignment horizontal="right" vertical="top" wrapText="1"/>
    </xf>
    <xf numFmtId="165" fontId="1" fillId="0" borderId="3" xfId="1" applyNumberFormat="1" applyFont="1" applyBorder="1" applyAlignment="1">
      <alignment horizontal="right" vertical="top" wrapText="1"/>
    </xf>
    <xf numFmtId="165" fontId="1" fillId="0" borderId="11" xfId="1" applyNumberFormat="1" applyFont="1" applyBorder="1" applyAlignment="1">
      <alignment horizontal="right" vertical="top" wrapText="1"/>
    </xf>
    <xf numFmtId="165" fontId="1" fillId="0" borderId="0" xfId="1" applyNumberFormat="1" applyFont="1" applyBorder="1" applyAlignment="1">
      <alignment horizontal="right" vertical="top" wrapText="1"/>
    </xf>
    <xf numFmtId="164" fontId="1" fillId="0" borderId="11" xfId="1" applyFont="1" applyBorder="1" applyAlignment="1">
      <alignment horizontal="right" vertical="top" wrapText="1"/>
    </xf>
    <xf numFmtId="0" fontId="0" fillId="0" borderId="0" xfId="0" applyAlignment="1">
      <alignment horizontal="right"/>
    </xf>
    <xf numFmtId="0" fontId="16" fillId="0" borderId="0" xfId="0" applyNumberFormat="1" applyFont="1" applyFill="1" applyAlignment="1">
      <alignment horizontal="center" vertical="top" wrapText="1"/>
    </xf>
    <xf numFmtId="0" fontId="4" fillId="0" borderId="0" xfId="1" applyNumberFormat="1" applyFont="1" applyFill="1" applyAlignment="1">
      <alignment horizontal="center" vertical="top" wrapText="1"/>
    </xf>
    <xf numFmtId="0" fontId="1" fillId="0" borderId="9" xfId="1" applyNumberFormat="1" applyFont="1" applyBorder="1" applyAlignment="1">
      <alignment horizontal="center" vertical="top" wrapText="1"/>
    </xf>
    <xf numFmtId="0" fontId="1" fillId="0" borderId="7" xfId="1" applyNumberFormat="1" applyFont="1" applyBorder="1" applyAlignment="1">
      <alignment horizontal="center" vertical="top" wrapText="1"/>
    </xf>
    <xf numFmtId="0" fontId="1" fillId="0" borderId="3" xfId="1" applyNumberFormat="1" applyFont="1" applyBorder="1" applyAlignment="1">
      <alignment horizontal="center" vertical="top" wrapText="1"/>
    </xf>
    <xf numFmtId="0" fontId="1" fillId="0" borderId="11" xfId="1" applyNumberFormat="1" applyFont="1" applyBorder="1" applyAlignment="1">
      <alignment horizontal="center" vertical="top" wrapText="1"/>
    </xf>
    <xf numFmtId="0" fontId="1" fillId="0" borderId="0" xfId="1" applyNumberFormat="1" applyFont="1" applyBorder="1" applyAlignment="1">
      <alignment horizontal="center" vertical="top" wrapText="1"/>
    </xf>
    <xf numFmtId="0" fontId="0" fillId="0" borderId="0" xfId="0" applyNumberFormat="1"/>
    <xf numFmtId="0" fontId="0" fillId="0" borderId="0" xfId="0" applyFont="1"/>
    <xf numFmtId="164" fontId="1" fillId="0" borderId="11" xfId="1" applyFont="1" applyFill="1" applyBorder="1" applyAlignment="1">
      <alignment horizontal="left" vertical="top" wrapText="1"/>
    </xf>
    <xf numFmtId="0" fontId="1" fillId="0" borderId="11" xfId="1" applyNumberFormat="1" applyFont="1" applyFill="1" applyBorder="1" applyAlignment="1">
      <alignment horizontal="left" vertical="top" wrapText="1"/>
    </xf>
    <xf numFmtId="0" fontId="1" fillId="0" borderId="11" xfId="1" applyNumberFormat="1" applyFont="1" applyFill="1" applyBorder="1" applyAlignment="1">
      <alignment horizontal="center" vertical="top" wrapText="1"/>
    </xf>
    <xf numFmtId="14" fontId="1" fillId="0" borderId="11" xfId="1" applyNumberFormat="1" applyFont="1" applyFill="1" applyBorder="1" applyAlignment="1">
      <alignment horizontal="right" vertical="top" wrapText="1"/>
    </xf>
    <xf numFmtId="0" fontId="0" fillId="0" borderId="0" xfId="0" applyFill="1"/>
    <xf numFmtId="164" fontId="1" fillId="0" borderId="7" xfId="1" applyFont="1" applyFill="1" applyBorder="1" applyAlignment="1">
      <alignment horizontal="left" vertical="top" wrapText="1"/>
    </xf>
    <xf numFmtId="0" fontId="1" fillId="0" borderId="7" xfId="1" applyNumberFormat="1" applyFont="1" applyFill="1" applyBorder="1" applyAlignment="1">
      <alignment horizontal="left" vertical="top" wrapText="1"/>
    </xf>
    <xf numFmtId="14" fontId="1" fillId="0" borderId="7" xfId="1" applyNumberFormat="1" applyFont="1" applyFill="1" applyBorder="1" applyAlignment="1">
      <alignment horizontal="left" vertical="top" wrapText="1"/>
    </xf>
    <xf numFmtId="0" fontId="1" fillId="0" borderId="7" xfId="1" applyNumberFormat="1" applyFont="1" applyFill="1" applyBorder="1" applyAlignment="1">
      <alignment horizontal="center" vertical="top" wrapText="1"/>
    </xf>
    <xf numFmtId="165" fontId="1" fillId="0" borderId="7" xfId="1" applyNumberFormat="1" applyFont="1" applyFill="1" applyBorder="1" applyAlignment="1">
      <alignment horizontal="left" vertical="top" wrapText="1"/>
    </xf>
    <xf numFmtId="165" fontId="1" fillId="0" borderId="7" xfId="1" applyNumberFormat="1" applyFont="1" applyFill="1" applyBorder="1" applyAlignment="1">
      <alignment horizontal="right" vertical="top" wrapText="1"/>
    </xf>
    <xf numFmtId="14" fontId="1" fillId="0" borderId="7" xfId="1" applyNumberFormat="1" applyFont="1" applyFill="1" applyBorder="1" applyAlignment="1">
      <alignment horizontal="right" vertical="top" wrapText="1"/>
    </xf>
    <xf numFmtId="164" fontId="1" fillId="0" borderId="3" xfId="1" applyFont="1" applyFill="1" applyBorder="1" applyAlignment="1">
      <alignment horizontal="left" vertical="top" wrapText="1"/>
    </xf>
    <xf numFmtId="0" fontId="1" fillId="0" borderId="3" xfId="1" applyNumberFormat="1" applyFont="1" applyFill="1" applyBorder="1" applyAlignment="1">
      <alignment horizontal="left" vertical="top" wrapText="1"/>
    </xf>
    <xf numFmtId="14" fontId="1" fillId="0" borderId="3" xfId="1" applyNumberFormat="1" applyFont="1" applyFill="1" applyBorder="1" applyAlignment="1">
      <alignment horizontal="left" vertical="top" wrapText="1"/>
    </xf>
    <xf numFmtId="0" fontId="1" fillId="0" borderId="3" xfId="1" applyNumberFormat="1" applyFont="1" applyFill="1" applyBorder="1" applyAlignment="1">
      <alignment horizontal="center" vertical="top" wrapText="1"/>
    </xf>
    <xf numFmtId="165" fontId="1" fillId="0" borderId="3" xfId="1" applyNumberFormat="1" applyFont="1" applyFill="1" applyBorder="1" applyAlignment="1">
      <alignment horizontal="left" vertical="top" wrapText="1"/>
    </xf>
    <xf numFmtId="165" fontId="1" fillId="0" borderId="3" xfId="1" applyNumberFormat="1" applyFont="1" applyFill="1" applyBorder="1" applyAlignment="1">
      <alignment horizontal="right" vertical="top" wrapText="1"/>
    </xf>
    <xf numFmtId="14" fontId="1" fillId="0" borderId="3" xfId="1" applyNumberFormat="1" applyFont="1" applyFill="1" applyBorder="1" applyAlignment="1">
      <alignment horizontal="right" vertical="top" wrapText="1"/>
    </xf>
    <xf numFmtId="164" fontId="1" fillId="0" borderId="9" xfId="1" applyFont="1" applyFill="1" applyBorder="1" applyAlignment="1">
      <alignment horizontal="left" vertical="top" wrapText="1"/>
    </xf>
    <xf numFmtId="14" fontId="1" fillId="0" borderId="9" xfId="1" applyNumberFormat="1" applyFont="1" applyFill="1" applyBorder="1" applyAlignment="1">
      <alignment horizontal="left" vertical="top" wrapText="1"/>
    </xf>
    <xf numFmtId="0" fontId="1" fillId="0" borderId="9" xfId="1" applyNumberFormat="1" applyFont="1" applyFill="1" applyBorder="1" applyAlignment="1">
      <alignment horizontal="center" vertical="top" wrapText="1"/>
    </xf>
    <xf numFmtId="165" fontId="1" fillId="0" borderId="9" xfId="1" applyNumberFormat="1" applyFont="1" applyFill="1" applyBorder="1" applyAlignment="1">
      <alignment horizontal="right" vertical="top" wrapText="1"/>
    </xf>
    <xf numFmtId="14" fontId="1" fillId="0" borderId="9" xfId="1" applyNumberFormat="1" applyFont="1" applyFill="1" applyBorder="1" applyAlignment="1">
      <alignment horizontal="right" vertical="top" wrapText="1"/>
    </xf>
    <xf numFmtId="0" fontId="16" fillId="0" borderId="0" xfId="0" applyNumberFormat="1" applyFont="1" applyFill="1" applyAlignment="1">
      <alignment horizontal="right" vertical="top" wrapText="1"/>
    </xf>
    <xf numFmtId="0" fontId="4" fillId="0" borderId="0" xfId="0" applyNumberFormat="1" applyFont="1" applyFill="1" applyAlignment="1">
      <alignment horizontal="right" vertical="top" wrapText="1"/>
    </xf>
    <xf numFmtId="0" fontId="1" fillId="0" borderId="9" xfId="1" applyNumberFormat="1" applyFont="1" applyBorder="1" applyAlignment="1">
      <alignment horizontal="right" vertical="top" wrapText="1"/>
    </xf>
    <xf numFmtId="0" fontId="1" fillId="0" borderId="7" xfId="1" applyNumberFormat="1" applyFont="1" applyBorder="1" applyAlignment="1">
      <alignment horizontal="right" vertical="top" wrapText="1"/>
    </xf>
    <xf numFmtId="0" fontId="1" fillId="0" borderId="3" xfId="1" applyNumberFormat="1" applyFont="1" applyBorder="1" applyAlignment="1">
      <alignment horizontal="right" vertical="top" wrapText="1"/>
    </xf>
    <xf numFmtId="0" fontId="1" fillId="0" borderId="11" xfId="1" applyNumberFormat="1" applyFont="1" applyBorder="1" applyAlignment="1">
      <alignment horizontal="right" vertical="top" wrapText="1"/>
    </xf>
    <xf numFmtId="0" fontId="1" fillId="0" borderId="9" xfId="1" applyNumberFormat="1" applyFont="1" applyFill="1" applyBorder="1" applyAlignment="1">
      <alignment horizontal="right" vertical="top" wrapText="1"/>
    </xf>
    <xf numFmtId="0" fontId="1" fillId="0" borderId="7" xfId="1" applyNumberFormat="1" applyFont="1" applyFill="1" applyBorder="1" applyAlignment="1">
      <alignment horizontal="right" vertical="top" wrapText="1"/>
    </xf>
    <xf numFmtId="0" fontId="1" fillId="0" borderId="3" xfId="1" applyNumberFormat="1" applyFont="1" applyFill="1" applyBorder="1" applyAlignment="1">
      <alignment horizontal="right" vertical="top" wrapText="1"/>
    </xf>
    <xf numFmtId="0" fontId="1" fillId="0" borderId="11" xfId="1" applyNumberFormat="1" applyFont="1" applyFill="1" applyBorder="1" applyAlignment="1">
      <alignment horizontal="right" vertical="top" wrapText="1"/>
    </xf>
    <xf numFmtId="0" fontId="1" fillId="0" borderId="0" xfId="1" applyNumberFormat="1" applyFont="1" applyBorder="1" applyAlignment="1">
      <alignment horizontal="right" vertical="top" wrapText="1"/>
    </xf>
    <xf numFmtId="0" fontId="0" fillId="0" borderId="0" xfId="0" applyNumberFormat="1" applyAlignment="1">
      <alignment horizontal="right"/>
    </xf>
    <xf numFmtId="1" fontId="17" fillId="0" borderId="9" xfId="1" applyNumberFormat="1" applyFont="1" applyFill="1" applyBorder="1" applyAlignment="1">
      <alignment horizontal="right" vertical="top" wrapText="1"/>
    </xf>
    <xf numFmtId="1" fontId="15" fillId="0" borderId="9" xfId="3" applyNumberFormat="1" applyFont="1" applyFill="1" applyBorder="1" applyAlignment="1">
      <alignment horizontal="right" vertical="top" wrapText="1"/>
    </xf>
    <xf numFmtId="164" fontId="2" fillId="0" borderId="0" xfId="0" applyNumberFormat="1" applyFont="1" applyBorder="1" applyAlignment="1">
      <alignment vertical="top"/>
    </xf>
    <xf numFmtId="1" fontId="12" fillId="0" borderId="0" xfId="1" applyNumberFormat="1" applyFont="1" applyFill="1" applyAlignment="1">
      <alignment horizontal="right" vertical="top" wrapText="1"/>
    </xf>
    <xf numFmtId="1" fontId="17" fillId="0" borderId="10" xfId="1" applyNumberFormat="1" applyFont="1" applyFill="1" applyBorder="1" applyAlignment="1">
      <alignment horizontal="right" vertical="top" wrapText="1"/>
    </xf>
    <xf numFmtId="1" fontId="17" fillId="0" borderId="7" xfId="1" applyNumberFormat="1" applyFont="1" applyFill="1" applyBorder="1" applyAlignment="1">
      <alignment horizontal="right" vertical="top" wrapText="1"/>
    </xf>
    <xf numFmtId="1" fontId="17" fillId="0" borderId="0" xfId="1" applyNumberFormat="1" applyFont="1" applyFill="1" applyBorder="1" applyAlignment="1">
      <alignment horizontal="right" vertical="top" wrapText="1"/>
    </xf>
    <xf numFmtId="1" fontId="17" fillId="0" borderId="7" xfId="1" applyNumberFormat="1" applyFont="1" applyFill="1" applyBorder="1" applyAlignment="1">
      <alignment horizontal="left" vertical="top" wrapText="1"/>
    </xf>
    <xf numFmtId="1" fontId="17" fillId="0" borderId="3" xfId="1" applyNumberFormat="1" applyFont="1" applyFill="1" applyBorder="1" applyAlignment="1">
      <alignment horizontal="right" vertical="top" wrapText="1"/>
    </xf>
    <xf numFmtId="1" fontId="17" fillId="0" borderId="3" xfId="1" applyNumberFormat="1" applyFont="1" applyFill="1" applyBorder="1" applyAlignment="1">
      <alignment horizontal="left" vertical="top" wrapText="1"/>
    </xf>
    <xf numFmtId="1" fontId="17" fillId="0" borderId="11" xfId="1" applyNumberFormat="1" applyFont="1" applyFill="1" applyBorder="1" applyAlignment="1">
      <alignment horizontal="right" vertical="top" wrapText="1"/>
    </xf>
    <xf numFmtId="165" fontId="17" fillId="0" borderId="11" xfId="1" applyNumberFormat="1" applyFont="1" applyBorder="1" applyAlignment="1">
      <alignment horizontal="left" vertical="top" wrapText="1"/>
    </xf>
    <xf numFmtId="0" fontId="17" fillId="0" borderId="11" xfId="1" applyNumberFormat="1" applyFont="1" applyFill="1" applyBorder="1" applyAlignment="1">
      <alignment horizontal="center" vertical="top" wrapText="1"/>
    </xf>
    <xf numFmtId="14" fontId="17" fillId="0" borderId="11" xfId="1" applyNumberFormat="1" applyFont="1" applyBorder="1" applyAlignment="1">
      <alignment horizontal="left" vertical="top" wrapText="1"/>
    </xf>
    <xf numFmtId="0" fontId="15" fillId="0" borderId="0" xfId="0" applyFont="1"/>
    <xf numFmtId="0" fontId="15" fillId="0" borderId="0" xfId="0" applyFont="1" applyFill="1"/>
    <xf numFmtId="0" fontId="17" fillId="0" borderId="0" xfId="1" applyNumberFormat="1" applyFont="1" applyFill="1" applyBorder="1" applyAlignment="1">
      <alignment horizontal="center" vertical="top" wrapText="1"/>
    </xf>
    <xf numFmtId="164" fontId="1" fillId="0" borderId="9" xfId="1" quotePrefix="1" applyFont="1" applyBorder="1" applyAlignment="1">
      <alignment horizontal="left" vertical="top" wrapText="1"/>
    </xf>
    <xf numFmtId="0" fontId="4" fillId="5" borderId="1" xfId="0" applyFont="1" applyFill="1" applyBorder="1" applyAlignment="1">
      <alignment horizontal="left" vertical="center" wrapText="1"/>
    </xf>
    <xf numFmtId="0" fontId="4" fillId="5" borderId="1" xfId="0" applyFont="1" applyFill="1" applyBorder="1" applyAlignment="1">
      <alignment horizontal="center" vertical="center" wrapText="1"/>
    </xf>
    <xf numFmtId="167" fontId="4" fillId="5" borderId="1" xfId="0" applyNumberFormat="1" applyFont="1" applyFill="1" applyBorder="1" applyAlignment="1">
      <alignment horizontal="left" vertical="center" wrapText="1"/>
    </xf>
    <xf numFmtId="0" fontId="0" fillId="0" borderId="0" xfId="0" applyFill="1" applyAlignment="1">
      <alignment vertical="top" wrapText="1"/>
    </xf>
    <xf numFmtId="164" fontId="1" fillId="0" borderId="0" xfId="1" applyNumberFormat="1" applyFont="1" applyBorder="1" applyAlignment="1">
      <alignment horizontal="right" vertical="top"/>
    </xf>
    <xf numFmtId="165" fontId="0" fillId="0" borderId="0" xfId="1" applyNumberFormat="1" applyFont="1"/>
    <xf numFmtId="168" fontId="0" fillId="0" borderId="9" xfId="1" applyNumberFormat="1" applyFont="1" applyBorder="1"/>
    <xf numFmtId="168" fontId="8" fillId="0" borderId="2" xfId="0" applyNumberFormat="1" applyFont="1" applyBorder="1"/>
    <xf numFmtId="0" fontId="4" fillId="5" borderId="0" xfId="0" applyFont="1" applyFill="1" applyBorder="1" applyAlignment="1">
      <alignment vertical="top"/>
    </xf>
    <xf numFmtId="0" fontId="4" fillId="5" borderId="0" xfId="0" applyFont="1" applyFill="1" applyBorder="1" applyAlignment="1">
      <alignment horizontal="center" vertical="top"/>
    </xf>
    <xf numFmtId="0" fontId="8" fillId="0" borderId="0" xfId="0" applyFont="1" applyAlignment="1">
      <alignment horizontal="right"/>
    </xf>
    <xf numFmtId="0" fontId="23" fillId="5" borderId="0" xfId="0" applyFont="1" applyFill="1"/>
    <xf numFmtId="3" fontId="1" fillId="0" borderId="0" xfId="0" applyNumberFormat="1" applyFont="1" applyAlignment="1">
      <alignment vertical="top"/>
    </xf>
    <xf numFmtId="3" fontId="1" fillId="0" borderId="0" xfId="0" applyNumberFormat="1" applyFont="1" applyAlignment="1">
      <alignment horizontal="right" vertical="top"/>
    </xf>
    <xf numFmtId="3" fontId="1" fillId="0" borderId="0" xfId="0" applyNumberFormat="1" applyFont="1" applyAlignment="1">
      <alignment horizontal="center" vertical="top"/>
    </xf>
    <xf numFmtId="165" fontId="0" fillId="3" borderId="0" xfId="1" applyNumberFormat="1" applyFont="1" applyFill="1" applyBorder="1" applyAlignment="1">
      <alignment vertical="top" wrapText="1"/>
    </xf>
    <xf numFmtId="20" fontId="0" fillId="0" borderId="0" xfId="0" applyNumberFormat="1"/>
    <xf numFmtId="14" fontId="0" fillId="0" borderId="0" xfId="0" applyNumberFormat="1"/>
    <xf numFmtId="0" fontId="3" fillId="0" borderId="2" xfId="0" applyFont="1" applyBorder="1" applyAlignment="1" applyProtection="1">
      <alignment horizontal="left" vertical="top" wrapText="1"/>
      <protection locked="0"/>
    </xf>
    <xf numFmtId="0" fontId="4" fillId="2" borderId="1" xfId="0" applyFont="1" applyFill="1" applyBorder="1" applyAlignment="1">
      <alignment horizontal="left" vertical="top" wrapText="1"/>
    </xf>
    <xf numFmtId="0" fontId="4" fillId="2" borderId="8" xfId="0" applyFont="1" applyFill="1" applyBorder="1" applyAlignment="1">
      <alignment horizontal="left" vertical="top" wrapText="1"/>
    </xf>
    <xf numFmtId="0" fontId="1" fillId="0" borderId="9" xfId="0" applyFont="1" applyBorder="1" applyAlignment="1">
      <alignment horizontal="left" vertical="top" wrapText="1"/>
    </xf>
    <xf numFmtId="0" fontId="0" fillId="0" borderId="0" xfId="0" applyAlignment="1">
      <alignment horizontal="center" vertical="top" wrapText="1"/>
    </xf>
    <xf numFmtId="0" fontId="0" fillId="0" borderId="0" xfId="0" applyAlignment="1">
      <alignment wrapText="1"/>
    </xf>
  </cellXfs>
  <cellStyles count="4">
    <cellStyle name="Farve2" xfId="3" builtinId="33"/>
    <cellStyle name="Komma" xfId="1" builtinId="3"/>
    <cellStyle name="Normal" xfId="0" builtinId="0"/>
    <cellStyle name="Normal 2" xfId="2" xr:uid="{00000000-0005-0000-0000-000003000000}"/>
  </cellStyles>
  <dxfs count="42">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s>
  <tableStyles count="0" defaultTableStyle="TableStyleMedium2" defaultPivotStyle="PivotStyleLight16"/>
  <colors>
    <mruColors>
      <color rgb="FF002B41"/>
      <color rgb="FF002C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CheckBox" fmlaLink="$D$6" lockText="1"/>
</file>

<file path=xl/ctrlProps/ctrlProp2.xml><?xml version="1.0" encoding="utf-8"?>
<formControlPr xmlns="http://schemas.microsoft.com/office/spreadsheetml/2009/9/main" objectType="CheckBox" fmlaLink="$D$7" lockText="1"/>
</file>

<file path=xl/ctrlProps/ctrlProp3.xml><?xml version="1.0" encoding="utf-8"?>
<formControlPr xmlns="http://schemas.microsoft.com/office/spreadsheetml/2009/9/main" objectType="CheckBox" fmlaLink="$D$8" lockText="1"/>
</file>

<file path=xl/ctrlProps/ctrlProp4.xml><?xml version="1.0" encoding="utf-8"?>
<formControlPr xmlns="http://schemas.microsoft.com/office/spreadsheetml/2009/9/main" objectType="CheckBox" checked="Checked" fmlaLink="$D$11" lockText="1"/>
</file>

<file path=xl/ctrlProps/ctrlProp5.xml><?xml version="1.0" encoding="utf-8"?>
<formControlPr xmlns="http://schemas.microsoft.com/office/spreadsheetml/2009/9/main" objectType="CheckBox" checked="Checked" fmlaLink="$D$12" lockText="1"/>
</file>

<file path=xl/ctrlProps/ctrlProp6.xml><?xml version="1.0" encoding="utf-8"?>
<formControlPr xmlns="http://schemas.microsoft.com/office/spreadsheetml/2009/9/main" objectType="CheckBox" checked="Checked" fmlaLink="$D$13" lockText="1"/>
</file>

<file path=xl/ctrlProps/ctrlProp7.xml><?xml version="1.0" encoding="utf-8"?>
<formControlPr xmlns="http://schemas.microsoft.com/office/spreadsheetml/2009/9/main" objectType="CheckBox" checked="Checked" fmlaLink="$D$14" lockText="1"/>
</file>

<file path=xl/ctrlProps/ctrlProp8.xml><?xml version="1.0" encoding="utf-8"?>
<formControlPr xmlns="http://schemas.microsoft.com/office/spreadsheetml/2009/9/main" objectType="CheckBox" checked="Checked" fmlaLink="$D$15" lockText="1"/>
</file>

<file path=xl/ctrlProps/ctrlProp9.xml><?xml version="1.0" encoding="utf-8"?>
<formControlPr xmlns="http://schemas.microsoft.com/office/spreadsheetml/2009/9/main" objectType="CheckBox" fmlaLink="$D$16" lockText="1"/>
</file>

<file path=xl/ctrlProps/ctrlProp10.xml><?xml version="1.0" encoding="utf-8"?>
<formControlPr xmlns="http://schemas.microsoft.com/office/spreadsheetml/2009/9/main" objectType="CheckBox" checked="Checked" fmlaLink="$D$17" lockText="1"/>
</file>

<file path=xl/ctrlProps/ctrlProp11.xml><?xml version="1.0" encoding="utf-8"?>
<formControlPr xmlns="http://schemas.microsoft.com/office/spreadsheetml/2009/9/main" objectType="CheckBox" fmlaLink="$D$19" lockText="1"/>
</file>

<file path=xl/ctrlProps/ctrlProp12.xml><?xml version="1.0" encoding="utf-8"?>
<formControlPr xmlns="http://schemas.microsoft.com/office/spreadsheetml/2009/9/main" objectType="CheckBox" checked="Checked" fmlaLink="$D$22" lockText="1"/>
</file>

<file path=xl/ctrlProps/ctrlProp13.xml><?xml version="1.0" encoding="utf-8"?>
<formControlPr xmlns="http://schemas.microsoft.com/office/spreadsheetml/2009/9/main" objectType="CheckBox" fmlaLink="#REF!" lockText="1"/>
</file>

<file path=xl/ctrlProps/ctrlProp14.xml><?xml version="1.0" encoding="utf-8"?>
<formControlPr xmlns="http://schemas.microsoft.com/office/spreadsheetml/2009/9/main" objectType="CheckBox" checked="Checked" fmlaLink="$D$23" lockText="1"/>
</file>

<file path=xl/ctrlProps/ctrlProp15.xml><?xml version="1.0" encoding="utf-8"?>
<formControlPr xmlns="http://schemas.microsoft.com/office/spreadsheetml/2009/9/main" objectType="CheckBox" checked="Checked" fmlaLink="$D$24" lockText="1"/>
</file>

<file path=xl/ctrlProps/ctrlProp16.xml><?xml version="1.0" encoding="utf-8"?>
<formControlPr xmlns="http://schemas.microsoft.com/office/spreadsheetml/2009/9/main" objectType="CheckBox" checked="Checked" fmlaLink="$D$25" lockText="1"/>
</file>

<file path=xl/ctrlProps/ctrlProp17.xml><?xml version="1.0" encoding="utf-8"?>
<formControlPr xmlns="http://schemas.microsoft.com/office/spreadsheetml/2009/9/main" objectType="CheckBox" fmlaLink="$D$26" lockText="1"/>
</file>

<file path=xl/ctrlProps/ctrlProp18.xml><?xml version="1.0" encoding="utf-8"?>
<formControlPr xmlns="http://schemas.microsoft.com/office/spreadsheetml/2009/9/main" objectType="CheckBox" checked="Checked" fmlaLink="$D$27" lockText="1"/>
</file>

<file path=xl/ctrlProps/ctrlProp19.xml><?xml version="1.0" encoding="utf-8"?>
<formControlPr xmlns="http://schemas.microsoft.com/office/spreadsheetml/2009/9/main" objectType="CheckBox" checked="Checked" fmlaLink="$D$29:$D$30" lockText="1"/>
</file>

<file path=xl/ctrlProps/ctrlProp20.xml><?xml version="1.0" encoding="utf-8"?>
<formControlPr xmlns="http://schemas.microsoft.com/office/spreadsheetml/2009/9/main" objectType="CheckBox" checked="Checked" fmlaLink="$D$33" lockText="1"/>
</file>

<file path=xl/ctrlProps/ctrlProp21.xml><?xml version="1.0" encoding="utf-8"?>
<formControlPr xmlns="http://schemas.microsoft.com/office/spreadsheetml/2009/9/main" objectType="CheckBox" checked="Checked" fmlaLink="$D$32" lockText="1"/>
</file>

<file path=xl/ctrlProps/ctrlProp22.xml><?xml version="1.0" encoding="utf-8"?>
<formControlPr xmlns="http://schemas.microsoft.com/office/spreadsheetml/2009/9/main" objectType="CheckBox" checked="Checked" fmlaLink="$D$34" lockText="1"/>
</file>

<file path=xl/ctrlProps/ctrlProp23.xml><?xml version="1.0" encoding="utf-8"?>
<formControlPr xmlns="http://schemas.microsoft.com/office/spreadsheetml/2009/9/main" objectType="CheckBox" fmlaLink="$D$35" lockText="1"/>
</file>

<file path=xl/ctrlProps/ctrlProp24.xml><?xml version="1.0" encoding="utf-8"?>
<formControlPr xmlns="http://schemas.microsoft.com/office/spreadsheetml/2009/9/main" objectType="CheckBox" fmlaLink="$D$36" lockText="1"/>
</file>

<file path=xl/ctrlProps/ctrlProp25.xml><?xml version="1.0" encoding="utf-8"?>
<formControlPr xmlns="http://schemas.microsoft.com/office/spreadsheetml/2009/9/main" objectType="CheckBox" fmlaLink="$D$37" lockText="1"/>
</file>

<file path=xl/ctrlProps/ctrlProp26.xml><?xml version="1.0" encoding="utf-8"?>
<formControlPr xmlns="http://schemas.microsoft.com/office/spreadsheetml/2009/9/main" objectType="CheckBox" fmlaLink="$D$38" lockText="1"/>
</file>

<file path=xl/ctrlProps/ctrlProp27.xml><?xml version="1.0" encoding="utf-8"?>
<formControlPr xmlns="http://schemas.microsoft.com/office/spreadsheetml/2009/9/main" objectType="CheckBox" fmlaLink="$D$39" lockText="1"/>
</file>

<file path=xl/ctrlProps/ctrlProp28.xml><?xml version="1.0" encoding="utf-8"?>
<formControlPr xmlns="http://schemas.microsoft.com/office/spreadsheetml/2009/9/main" objectType="CheckBox" fmlaLink="$D$46" lockText="1"/>
</file>

<file path=xl/ctrlProps/ctrlProp29.xml><?xml version="1.0" encoding="utf-8"?>
<formControlPr xmlns="http://schemas.microsoft.com/office/spreadsheetml/2009/9/main" objectType="CheckBox" checked="Checked" fmlaLink="$D$49" lockText="1"/>
</file>

<file path=xl/ctrlProps/ctrlProp30.xml><?xml version="1.0" encoding="utf-8"?>
<formControlPr xmlns="http://schemas.microsoft.com/office/spreadsheetml/2009/9/main" objectType="CheckBox" checked="Checked" fmlaLink="$D$50" lockText="1"/>
</file>

<file path=xl/ctrlProps/ctrlProp31.xml><?xml version="1.0" encoding="utf-8"?>
<formControlPr xmlns="http://schemas.microsoft.com/office/spreadsheetml/2009/9/main" objectType="CheckBox" checked="Checked" fmlaLink="#REF!" lockText="1"/>
</file>

<file path=xl/ctrlProps/ctrlProp32.xml><?xml version="1.0" encoding="utf-8"?>
<formControlPr xmlns="http://schemas.microsoft.com/office/spreadsheetml/2009/9/main" objectType="CheckBox" checked="Checked" fmlaLink="$D$51" lockText="1"/>
</file>

<file path=xl/ctrlProps/ctrlProp33.xml><?xml version="1.0" encoding="utf-8"?>
<formControlPr xmlns="http://schemas.microsoft.com/office/spreadsheetml/2009/9/main" objectType="CheckBox" fmlaLink="$D$41" lockText="1"/>
</file>

<file path=xl/ctrlProps/ctrlProp34.xml><?xml version="1.0" encoding="utf-8"?>
<formControlPr xmlns="http://schemas.microsoft.com/office/spreadsheetml/2009/9/main" objectType="CheckBox" checked="Checked" fmlaLink="$D$52" lockText="1"/>
</file>

<file path=xl/ctrlProps/ctrlProp35.xml><?xml version="1.0" encoding="utf-8"?>
<formControlPr xmlns="http://schemas.microsoft.com/office/spreadsheetml/2009/9/main" objectType="CheckBox" fmlaLink="$D$56" lockText="1"/>
</file>

<file path=xl/ctrlProps/ctrlProp36.xml><?xml version="1.0" encoding="utf-8"?>
<formControlPr xmlns="http://schemas.microsoft.com/office/spreadsheetml/2009/9/main" objectType="CheckBox" fmlaLink="$D$57" lockText="1"/>
</file>

<file path=xl/ctrlProps/ctrlProp37.xml><?xml version="1.0" encoding="utf-8"?>
<formControlPr xmlns="http://schemas.microsoft.com/office/spreadsheetml/2009/9/main" objectType="CheckBox" fmlaLink="$D$58" lockText="1"/>
</file>

<file path=xl/ctrlProps/ctrlProp38.xml><?xml version="1.0" encoding="utf-8"?>
<formControlPr xmlns="http://schemas.microsoft.com/office/spreadsheetml/2009/9/main" objectType="CheckBox" fmlaLink="$D$61" lockText="1"/>
</file>

<file path=xl/ctrlProps/ctrlProp39.xml><?xml version="1.0" encoding="utf-8"?>
<formControlPr xmlns="http://schemas.microsoft.com/office/spreadsheetml/2009/9/main" objectType="CheckBox" fmlaLink="$D$62" lockText="1"/>
</file>

<file path=xl/ctrlProps/ctrlProp40.xml><?xml version="1.0" encoding="utf-8"?>
<formControlPr xmlns="http://schemas.microsoft.com/office/spreadsheetml/2009/9/main" objectType="CheckBox" fmlaLink="$D$63" lockText="1"/>
</file>

<file path=xl/ctrlProps/ctrlProp41.xml><?xml version="1.0" encoding="utf-8"?>
<formControlPr xmlns="http://schemas.microsoft.com/office/spreadsheetml/2009/9/main" objectType="CheckBox" fmlaLink="$D$64" lockText="1"/>
</file>

<file path=xl/ctrlProps/ctrlProp42.xml><?xml version="1.0" encoding="utf-8"?>
<formControlPr xmlns="http://schemas.microsoft.com/office/spreadsheetml/2009/9/main" objectType="CheckBox" fmlaLink="$D$65" lockText="1"/>
</file>

<file path=xl/ctrlProps/ctrlProp43.xml><?xml version="1.0" encoding="utf-8"?>
<formControlPr xmlns="http://schemas.microsoft.com/office/spreadsheetml/2009/9/main" objectType="CheckBox" fmlaLink="$D$66" lockText="1"/>
</file>

<file path=xl/ctrlProps/ctrlProp44.xml><?xml version="1.0" encoding="utf-8"?>
<formControlPr xmlns="http://schemas.microsoft.com/office/spreadsheetml/2009/9/main" objectType="CheckBox" fmlaLink="$D$67" lockText="1"/>
</file>

<file path=xl/ctrlProps/ctrlProp45.xml><?xml version="1.0" encoding="utf-8"?>
<formControlPr xmlns="http://schemas.microsoft.com/office/spreadsheetml/2009/9/main" objectType="CheckBox" fmlaLink="$D$59" lockText="1"/>
</file>

<file path=xl/ctrlProps/ctrlProp46.xml><?xml version="1.0" encoding="utf-8"?>
<formControlPr xmlns="http://schemas.microsoft.com/office/spreadsheetml/2009/9/main" objectType="CheckBox" fmlaLink="$D$60" lockText="1"/>
</file>

<file path=xl/ctrlProps/ctrlProp47.xml><?xml version="1.0" encoding="utf-8"?>
<formControlPr xmlns="http://schemas.microsoft.com/office/spreadsheetml/2009/9/main" objectType="CheckBox" fmlaLink="$D$71" lockText="1"/>
</file>

<file path=xl/ctrlProps/ctrlProp48.xml><?xml version="1.0" encoding="utf-8"?>
<formControlPr xmlns="http://schemas.microsoft.com/office/spreadsheetml/2009/9/main" objectType="CheckBox" fmlaLink="$D$72" lockText="1"/>
</file>

<file path=xl/ctrlProps/ctrlProp49.xml><?xml version="1.0" encoding="utf-8"?>
<formControlPr xmlns="http://schemas.microsoft.com/office/spreadsheetml/2009/9/main" objectType="CheckBox" fmlaLink="$D$73" lockText="1"/>
</file>

<file path=xl/ctrlProps/ctrlProp50.xml><?xml version="1.0" encoding="utf-8"?>
<formControlPr xmlns="http://schemas.microsoft.com/office/spreadsheetml/2009/9/main" objectType="CheckBox" fmlaLink="$D$77" lockText="1"/>
</file>

<file path=xl/ctrlProps/ctrlProp51.xml><?xml version="1.0" encoding="utf-8"?>
<formControlPr xmlns="http://schemas.microsoft.com/office/spreadsheetml/2009/9/main" objectType="CheckBox" fmlaLink="$D$78" lockText="1"/>
</file>

<file path=xl/ctrlProps/ctrlProp52.xml><?xml version="1.0" encoding="utf-8"?>
<formControlPr xmlns="http://schemas.microsoft.com/office/spreadsheetml/2009/9/main" objectType="CheckBox" fmlaLink="$D$79" lockText="1"/>
</file>

<file path=xl/ctrlProps/ctrlProp53.xml><?xml version="1.0" encoding="utf-8"?>
<formControlPr xmlns="http://schemas.microsoft.com/office/spreadsheetml/2009/9/main" objectType="CheckBox" checked="Checked" fmlaLink="$D$81" lockText="1"/>
</file>

<file path=xl/ctrlProps/ctrlProp54.xml><?xml version="1.0" encoding="utf-8"?>
<formControlPr xmlns="http://schemas.microsoft.com/office/spreadsheetml/2009/9/main" objectType="CheckBox" checked="Checked" fmlaLink="$D$82" lockText="1"/>
</file>

<file path=xl/ctrlProps/ctrlProp55.xml><?xml version="1.0" encoding="utf-8"?>
<formControlPr xmlns="http://schemas.microsoft.com/office/spreadsheetml/2009/9/main" objectType="CheckBox" checked="Checked" fmlaLink="$D$84" lockText="1"/>
</file>

<file path=xl/ctrlProps/ctrlProp56.xml><?xml version="1.0" encoding="utf-8"?>
<formControlPr xmlns="http://schemas.microsoft.com/office/spreadsheetml/2009/9/main" objectType="CheckBox" checked="Checked" fmlaLink="$D$85" lockText="1"/>
</file>

<file path=xl/ctrlProps/ctrlProp57.xml><?xml version="1.0" encoding="utf-8"?>
<formControlPr xmlns="http://schemas.microsoft.com/office/spreadsheetml/2009/9/main" objectType="CheckBox" fmlaLink="$D$86" lockText="1"/>
</file>

<file path=xl/ctrlProps/ctrlProp58.xml><?xml version="1.0" encoding="utf-8"?>
<formControlPr xmlns="http://schemas.microsoft.com/office/spreadsheetml/2009/9/main" objectType="CheckBox" fmlaLink="$D$88" lockText="1"/>
</file>

<file path=xl/ctrlProps/ctrlProp59.xml><?xml version="1.0" encoding="utf-8"?>
<formControlPr xmlns="http://schemas.microsoft.com/office/spreadsheetml/2009/9/main" objectType="CheckBox" fmlaLink="$D$89" lockText="1"/>
</file>

<file path=xl/ctrlProps/ctrlProp60.xml><?xml version="1.0" encoding="utf-8"?>
<formControlPr xmlns="http://schemas.microsoft.com/office/spreadsheetml/2009/9/main" objectType="CheckBox" fmlaLink="$D$91" lockText="1"/>
</file>

<file path=xl/ctrlProps/ctrlProp61.xml><?xml version="1.0" encoding="utf-8"?>
<formControlPr xmlns="http://schemas.microsoft.com/office/spreadsheetml/2009/9/main" objectType="CheckBox" fmlaLink="$D$96" lockText="1"/>
</file>

<file path=xl/ctrlProps/ctrlProp62.xml><?xml version="1.0" encoding="utf-8"?>
<formControlPr xmlns="http://schemas.microsoft.com/office/spreadsheetml/2009/9/main" objectType="CheckBox" fmlaLink="$D$97" lockText="1"/>
</file>

<file path=xl/ctrlProps/ctrlProp63.xml><?xml version="1.0" encoding="utf-8"?>
<formControlPr xmlns="http://schemas.microsoft.com/office/spreadsheetml/2009/9/main" objectType="CheckBox" fmlaLink="$D$98" lockText="1"/>
</file>

<file path=xl/ctrlProps/ctrlProp64.xml><?xml version="1.0" encoding="utf-8"?>
<formControlPr xmlns="http://schemas.microsoft.com/office/spreadsheetml/2009/9/main" objectType="CheckBox" fmlaLink="$D$99" lockText="1"/>
</file>

<file path=xl/ctrlProps/ctrlProp65.xml><?xml version="1.0" encoding="utf-8"?>
<formControlPr xmlns="http://schemas.microsoft.com/office/spreadsheetml/2009/9/main" objectType="CheckBox" fmlaLink="$D$102" lockText="1"/>
</file>

<file path=xl/ctrlProps/ctrlProp66.xml><?xml version="1.0" encoding="utf-8"?>
<formControlPr xmlns="http://schemas.microsoft.com/office/spreadsheetml/2009/9/main" objectType="CheckBox" fmlaLink="$D$103" lockText="1"/>
</file>

<file path=xl/ctrlProps/ctrlProp67.xml><?xml version="1.0" encoding="utf-8"?>
<formControlPr xmlns="http://schemas.microsoft.com/office/spreadsheetml/2009/9/main" objectType="CheckBox" fmlaLink="$D$104" lockText="1"/>
</file>

<file path=xl/ctrlProps/ctrlProp68.xml><?xml version="1.0" encoding="utf-8"?>
<formControlPr xmlns="http://schemas.microsoft.com/office/spreadsheetml/2009/9/main" objectType="CheckBox" checked="Checked" fmlaLink="$D$107" lockText="1"/>
</file>

<file path=xl/ctrlProps/ctrlProp69.xml><?xml version="1.0" encoding="utf-8"?>
<formControlPr xmlns="http://schemas.microsoft.com/office/spreadsheetml/2009/9/main" objectType="CheckBox" checked="Checked" fmlaLink="$D$108" lockText="1"/>
</file>

<file path=xl/ctrlProps/ctrlProp70.xml><?xml version="1.0" encoding="utf-8"?>
<formControlPr xmlns="http://schemas.microsoft.com/office/spreadsheetml/2009/9/main" objectType="CheckBox" checked="Checked" fmlaLink="$D$109" lockText="1"/>
</file>

<file path=xl/ctrlProps/ctrlProp71.xml><?xml version="1.0" encoding="utf-8"?>
<formControlPr xmlns="http://schemas.microsoft.com/office/spreadsheetml/2009/9/main" objectType="CheckBox" checked="Checked" fmlaLink="$D$110" lockText="1"/>
</file>

<file path=xl/ctrlProps/ctrlProp72.xml><?xml version="1.0" encoding="utf-8"?>
<formControlPr xmlns="http://schemas.microsoft.com/office/spreadsheetml/2009/9/main" objectType="CheckBox" fmlaLink="$D$114" lockText="1"/>
</file>

<file path=xl/ctrlProps/ctrlProp73.xml><?xml version="1.0" encoding="utf-8"?>
<formControlPr xmlns="http://schemas.microsoft.com/office/spreadsheetml/2009/9/main" objectType="CheckBox" fmlaLink="$D$115" lockText="1"/>
</file>

<file path=xl/ctrlProps/ctrlProp74.xml><?xml version="1.0" encoding="utf-8"?>
<formControlPr xmlns="http://schemas.microsoft.com/office/spreadsheetml/2009/9/main" objectType="CheckBox" fmlaLink="$D$116" lockText="1"/>
</file>

<file path=xl/ctrlProps/ctrlProp75.xml><?xml version="1.0" encoding="utf-8"?>
<formControlPr xmlns="http://schemas.microsoft.com/office/spreadsheetml/2009/9/main" objectType="CheckBox" fmlaLink="$D$117" lockText="1"/>
</file>

<file path=xl/ctrlProps/ctrlProp76.xml><?xml version="1.0" encoding="utf-8"?>
<formControlPr xmlns="http://schemas.microsoft.com/office/spreadsheetml/2009/9/main" objectType="CheckBox" fmlaLink="$D$118" lockText="1"/>
</file>

<file path=xl/ctrlProps/ctrlProp77.xml><?xml version="1.0" encoding="utf-8"?>
<formControlPr xmlns="http://schemas.microsoft.com/office/spreadsheetml/2009/9/main" objectType="CheckBox" fmlaLink="$D$120" lockText="1"/>
</file>

<file path=xl/ctrlProps/ctrlProp78.xml><?xml version="1.0" encoding="utf-8"?>
<formControlPr xmlns="http://schemas.microsoft.com/office/spreadsheetml/2009/9/main" objectType="CheckBox" fmlaLink="$D$121" lockText="1"/>
</file>

<file path=xl/ctrlProps/ctrlProp79.xml><?xml version="1.0" encoding="utf-8"?>
<formControlPr xmlns="http://schemas.microsoft.com/office/spreadsheetml/2009/9/main" objectType="CheckBox" fmlaLink="$D$122" lockText="1"/>
</file>

<file path=xl/ctrlProps/ctrlProp80.xml><?xml version="1.0" encoding="utf-8"?>
<formControlPr xmlns="http://schemas.microsoft.com/office/spreadsheetml/2009/9/main" objectType="CheckBox" fmlaLink="$D$123" lockText="1"/>
</file>

<file path=xl/ctrlProps/ctrlProp81.xml><?xml version="1.0" encoding="utf-8"?>
<formControlPr xmlns="http://schemas.microsoft.com/office/spreadsheetml/2009/9/main" objectType="CheckBox" fmlaLink="$D$125" lockText="1"/>
</file>

<file path=xl/ctrlProps/ctrlProp82.xml><?xml version="1.0" encoding="utf-8"?>
<formControlPr xmlns="http://schemas.microsoft.com/office/spreadsheetml/2009/9/main" objectType="CheckBox" fmlaLink="$D$126" lockText="1"/>
</file>

<file path=xl/ctrlProps/ctrlProp83.xml><?xml version="1.0" encoding="utf-8"?>
<formControlPr xmlns="http://schemas.microsoft.com/office/spreadsheetml/2009/9/main" objectType="CheckBox" fmlaLink="$D$127" lockText="1"/>
</file>

<file path=xl/ctrlProps/ctrlProp84.xml><?xml version="1.0" encoding="utf-8"?>
<formControlPr xmlns="http://schemas.microsoft.com/office/spreadsheetml/2009/9/main" objectType="CheckBox" fmlaLink="$D$130" lockText="1"/>
</file>

<file path=xl/ctrlProps/ctrlProp85.xml><?xml version="1.0" encoding="utf-8"?>
<formControlPr xmlns="http://schemas.microsoft.com/office/spreadsheetml/2009/9/main" objectType="CheckBox" fmlaLink="$D$131" lockText="1"/>
</file>

<file path=xl/ctrlProps/ctrlProp86.xml><?xml version="1.0" encoding="utf-8"?>
<formControlPr xmlns="http://schemas.microsoft.com/office/spreadsheetml/2009/9/main" objectType="CheckBox" fmlaLink="$D$132" lockText="1"/>
</file>

<file path=xl/ctrlProps/ctrlProp87.xml><?xml version="1.0" encoding="utf-8"?>
<formControlPr xmlns="http://schemas.microsoft.com/office/spreadsheetml/2009/9/main" objectType="CheckBox" fmlaLink="$D$133" lockText="1"/>
</file>

<file path=xl/ctrlProps/ctrlProp88.xml><?xml version="1.0" encoding="utf-8"?>
<formControlPr xmlns="http://schemas.microsoft.com/office/spreadsheetml/2009/9/main" objectType="CheckBox" fmlaLink="$D$134" lockText="1"/>
</file>

<file path=xl/ctrlProps/ctrlProp89.xml><?xml version="1.0" encoding="utf-8"?>
<formControlPr xmlns="http://schemas.microsoft.com/office/spreadsheetml/2009/9/main" objectType="CheckBox" fmlaLink="$D$135" lockText="1"/>
</file>

<file path=xl/ctrlProps/ctrlProp90.xml><?xml version="1.0" encoding="utf-8"?>
<formControlPr xmlns="http://schemas.microsoft.com/office/spreadsheetml/2009/9/main" objectType="CheckBox" fmlaLink="$D$136" lockText="1"/>
</file>

<file path=xl/ctrlProps/ctrlProp91.xml><?xml version="1.0" encoding="utf-8"?>
<formControlPr xmlns="http://schemas.microsoft.com/office/spreadsheetml/2009/9/main" objectType="CheckBox" fmlaLink="$D$137" lockText="1"/>
</file>

<file path=xl/ctrlProps/ctrlProp92.xml><?xml version="1.0" encoding="utf-8"?>
<formControlPr xmlns="http://schemas.microsoft.com/office/spreadsheetml/2009/9/main" objectType="CheckBox" fmlaLink="$D$138" lockText="1"/>
</file>

<file path=xl/ctrlProps/ctrlProp93.xml><?xml version="1.0" encoding="utf-8"?>
<formControlPr xmlns="http://schemas.microsoft.com/office/spreadsheetml/2009/9/main" objectType="CheckBox" fmlaLink="$D$139" lockText="1"/>
</file>

<file path=xl/ctrlProps/ctrlProp94.xml><?xml version="1.0" encoding="utf-8"?>
<formControlPr xmlns="http://schemas.microsoft.com/office/spreadsheetml/2009/9/main" objectType="CheckBox" fmlaLink="$D$140" lockText="1"/>
</file>

<file path=xl/ctrlProps/ctrlProp95.xml><?xml version="1.0" encoding="utf-8"?>
<formControlPr xmlns="http://schemas.microsoft.com/office/spreadsheetml/2009/9/main" objectType="CheckBox" fmlaLink="$D$141" lockText="1"/>
</file>

<file path=xl/ctrlProps/ctrlProp96.xml><?xml version="1.0" encoding="utf-8"?>
<formControlPr xmlns="http://schemas.microsoft.com/office/spreadsheetml/2009/9/main" objectType="CheckBox" fmlaLink="$D$146" lockText="1"/>
</file>

<file path=xl/ctrlProps/ctrlProp97.xml><?xml version="1.0" encoding="utf-8"?>
<formControlPr xmlns="http://schemas.microsoft.com/office/spreadsheetml/2009/9/main" objectType="CheckBox" fmlaLink="$D$147" lockText="1"/>
</file>

<file path=xl/ctrlProps/ctrlProp98.xml><?xml version="1.0" encoding="utf-8"?>
<formControlPr xmlns="http://schemas.microsoft.com/office/spreadsheetml/2009/9/main" objectType="CheckBox" fmlaLink="$D$148" lockText="1"/>
</file>

<file path=xl/ctrlProps/ctrlProp99.xml><?xml version="1.0" encoding="utf-8"?>
<formControlPr xmlns="http://schemas.microsoft.com/office/spreadsheetml/2009/9/main" objectType="CheckBox" fmlaLink="$D$149" lockText="1"/>
</file>

<file path=xl/ctrlProps/ctrlProp100.xml><?xml version="1.0" encoding="utf-8"?>
<formControlPr xmlns="http://schemas.microsoft.com/office/spreadsheetml/2009/9/main" objectType="CheckBox" fmlaLink="$D$18" lockText="1"/>
</file>

<file path=xl/ctrlProps/ctrlProp101.xml><?xml version="1.0" encoding="utf-8"?>
<formControlPr xmlns="http://schemas.microsoft.com/office/spreadsheetml/2009/9/main" objectType="CheckBox" fmlaLink="$D$40" lockText="1"/>
</file>

<file path=xl/ctrlProps/ctrlProp102.xml><?xml version="1.0" encoding="utf-8"?>
<formControlPr xmlns="http://schemas.microsoft.com/office/spreadsheetml/2009/9/main" objectType="CheckBox" fmlaLink="$D$42" lockText="1"/>
</file>

<file path=xl/ctrlProps/ctrlProp103.xml><?xml version="1.0" encoding="utf-8"?>
<formControlPr xmlns="http://schemas.microsoft.com/office/spreadsheetml/2009/9/main" objectType="CheckBox" fmlaLink="$D$43" lockText="1"/>
</file>

<file path=xl/ctrlProps/ctrlProp104.xml><?xml version="1.0" encoding="utf-8"?>
<formControlPr xmlns="http://schemas.microsoft.com/office/spreadsheetml/2009/9/main" objectType="CheckBox" fmlaLink="$D$70" lockText="1"/>
</file>

<file path=xl/ctrlProps/ctrlProp105.xml><?xml version="1.0" encoding="utf-8"?>
<formControlPr xmlns="http://schemas.microsoft.com/office/spreadsheetml/2009/9/main" objectType="CheckBox" fmlaLink="$D$53" lockText="1"/>
</file>

<file path=xl/ctrlProps/ctrlProp106.xml><?xml version="1.0" encoding="utf-8"?>
<formControlPr xmlns="http://schemas.microsoft.com/office/spreadsheetml/2009/9/main" objectType="CheckBox" fmlaLink="$D$54" lockText="1"/>
</file>

<file path=xl/ctrlProps/ctrlProp107.xml><?xml version="1.0" encoding="utf-8"?>
<formControlPr xmlns="http://schemas.microsoft.com/office/spreadsheetml/2009/9/main" objectType="CheckBox" fmlaLink="$D$55" lockText="1"/>
</file>

<file path=xl/ctrlProps/ctrlProp108.xml><?xml version="1.0" encoding="utf-8"?>
<formControlPr xmlns="http://schemas.microsoft.com/office/spreadsheetml/2009/9/main" objectType="CheckBox" fmlaLink="$D$76" lockText="1"/>
</file>

<file path=xl/ctrlProps/ctrlProp109.xml><?xml version="1.0" encoding="utf-8"?>
<formControlPr xmlns="http://schemas.microsoft.com/office/spreadsheetml/2009/9/main" objectType="CheckBox" checked="Checked" fmlaLink="$D$83" lockText="1"/>
</file>

<file path=xl/ctrlProps/ctrlProp110.xml><?xml version="1.0" encoding="utf-8"?>
<formControlPr xmlns="http://schemas.microsoft.com/office/spreadsheetml/2009/9/main" objectType="CheckBox" fmlaLink="$D$92" lockText="1"/>
</file>

<file path=xl/ctrlProps/ctrlProp111.xml><?xml version="1.0" encoding="utf-8"?>
<formControlPr xmlns="http://schemas.microsoft.com/office/spreadsheetml/2009/9/main" objectType="CheckBox" fmlaLink="$D$93" lockText="1"/>
</file>

<file path=xl/ctrlProps/ctrlProp112.xml><?xml version="1.0" encoding="utf-8"?>
<formControlPr xmlns="http://schemas.microsoft.com/office/spreadsheetml/2009/9/main" objectType="CheckBox" fmlaLink="$D$95" lockText="1"/>
</file>

<file path=xl/ctrlProps/ctrlProp113.xml><?xml version="1.0" encoding="utf-8"?>
<formControlPr xmlns="http://schemas.microsoft.com/office/spreadsheetml/2009/9/main" objectType="CheckBox" fmlaLink="$D$142" lockText="1"/>
</file>

<file path=xl/ctrlProps/ctrlProp114.xml><?xml version="1.0" encoding="utf-8"?>
<formControlPr xmlns="http://schemas.microsoft.com/office/spreadsheetml/2009/9/main" objectType="CheckBox" fmlaLink="$D$143" lockText="1"/>
</file>

<file path=xl/ctrlProps/ctrlProp115.xml><?xml version="1.0" encoding="utf-8"?>
<formControlPr xmlns="http://schemas.microsoft.com/office/spreadsheetml/2009/9/main" objectType="CheckBox" fmlaLink="$D$144" lockText="1"/>
</file>

<file path=xl/ctrlProps/ctrlProp116.xml><?xml version="1.0" encoding="utf-8"?>
<formControlPr xmlns="http://schemas.microsoft.com/office/spreadsheetml/2009/9/main" objectType="CheckBox" fmlaLink="$D$145" lockText="1"/>
</file>

<file path=xl/ctrlProps/ctrlProp117.xml><?xml version="1.0" encoding="utf-8"?>
<formControlPr xmlns="http://schemas.microsoft.com/office/spreadsheetml/2009/9/main" objectType="CheckBox" fmlaLink="$D$89" lockText="1"/>
</file>

<file path=xl/ctrlProps/ctrlProp118.xml><?xml version="1.0" encoding="utf-8"?>
<formControlPr xmlns="http://schemas.microsoft.com/office/spreadsheetml/2009/9/main" objectType="CheckBox" fmlaLink="$D$90" lockText="1"/>
</file>

<file path=xl/ctrlProps/ctrlProp119.xml><?xml version="1.0" encoding="utf-8"?>
<formControlPr xmlns="http://schemas.microsoft.com/office/spreadsheetml/2009/9/main" objectType="CheckBox" fmlaLink="$D$134" lockText="1"/>
</file>

<file path=xl/ctrlProps/ctrlProp120.xml><?xml version="1.0" encoding="utf-8"?>
<formControlPr xmlns="http://schemas.microsoft.com/office/spreadsheetml/2009/9/main" objectType="CheckBox" fmlaLink="$D$135" lockText="1"/>
</file>

<file path=xl/ctrlProps/ctrlProp121.xml><?xml version="1.0" encoding="utf-8"?>
<formControlPr xmlns="http://schemas.microsoft.com/office/spreadsheetml/2009/9/main" objectType="CheckBox" fmlaLink="$D$136" lockText="1"/>
</file>

<file path=xl/ctrlProps/ctrlProp122.xml><?xml version="1.0" encoding="utf-8"?>
<formControlPr xmlns="http://schemas.microsoft.com/office/spreadsheetml/2009/9/main" objectType="CheckBox" fmlaLink="$D$137" lockText="1"/>
</file>

<file path=xl/ctrlProps/ctrlProp123.xml><?xml version="1.0" encoding="utf-8"?>
<formControlPr xmlns="http://schemas.microsoft.com/office/spreadsheetml/2009/9/main" objectType="CheckBox" fmlaLink="$D$138" lockText="1"/>
</file>

<file path=xl/ctrlProps/ctrlProp124.xml><?xml version="1.0" encoding="utf-8"?>
<formControlPr xmlns="http://schemas.microsoft.com/office/spreadsheetml/2009/9/main" objectType="CheckBox" fmlaLink="$D$139" lockText="1"/>
</file>

<file path=xl/ctrlProps/ctrlProp125.xml><?xml version="1.0" encoding="utf-8"?>
<formControlPr xmlns="http://schemas.microsoft.com/office/spreadsheetml/2009/9/main" objectType="CheckBox" fmlaLink="$D$140" lockText="1"/>
</file>

<file path=xl/ctrlProps/ctrlProp126.xml><?xml version="1.0" encoding="utf-8"?>
<formControlPr xmlns="http://schemas.microsoft.com/office/spreadsheetml/2009/9/main" objectType="CheckBox" fmlaLink="$D$141" lockText="1"/>
</file>

<file path=xl/ctrlProps/ctrlProp127.xml><?xml version="1.0" encoding="utf-8"?>
<formControlPr xmlns="http://schemas.microsoft.com/office/spreadsheetml/2009/9/main" objectType="CheckBox" fmlaLink="$D$142" lockText="1"/>
</file>

<file path=xl/ctrlProps/ctrlProp128.xml><?xml version="1.0" encoding="utf-8"?>
<formControlPr xmlns="http://schemas.microsoft.com/office/spreadsheetml/2009/9/main" objectType="CheckBox" fmlaLink="$D$143" lockText="1"/>
</file>

<file path=xl/ctrlProps/ctrlProp129.xml><?xml version="1.0" encoding="utf-8"?>
<formControlPr xmlns="http://schemas.microsoft.com/office/spreadsheetml/2009/9/main" objectType="CheckBox" fmlaLink="$D$144" lockText="1"/>
</file>

<file path=xl/ctrlProps/ctrlProp130.xml><?xml version="1.0" encoding="utf-8"?>
<formControlPr xmlns="http://schemas.microsoft.com/office/spreadsheetml/2009/9/main" objectType="CheckBox" fmlaLink="$D$145" lockText="1"/>
</file>

<file path=xl/ctrlProps/ctrlProp131.xml><?xml version="1.0" encoding="utf-8"?>
<formControlPr xmlns="http://schemas.microsoft.com/office/spreadsheetml/2009/9/main" objectType="CheckBox" fmlaLink="$D$146" lockText="1"/>
</file>

<file path=xl/ctrlProps/ctrlProp132.xml><?xml version="1.0" encoding="utf-8"?>
<formControlPr xmlns="http://schemas.microsoft.com/office/spreadsheetml/2009/9/main" objectType="CheckBox" fmlaLink="$D$147" lockText="1"/>
</file>

<file path=xl/ctrlProps/ctrlProp133.xml><?xml version="1.0" encoding="utf-8"?>
<formControlPr xmlns="http://schemas.microsoft.com/office/spreadsheetml/2009/9/main" objectType="CheckBox" fmlaLink="$D$148" lockText="1"/>
</file>

<file path=xl/ctrlProps/ctrlProp134.xml><?xml version="1.0" encoding="utf-8"?>
<formControlPr xmlns="http://schemas.microsoft.com/office/spreadsheetml/2009/9/main" objectType="CheckBox" fmlaLink="$D$149" lockText="1"/>
</file>

<file path=xl/ctrlProps/ctrlProp135.xml><?xml version="1.0" encoding="utf-8"?>
<formControlPr xmlns="http://schemas.microsoft.com/office/spreadsheetml/2009/9/main" objectType="CheckBox" fmlaLink="$D$44" lockText="1"/>
</file>

<file path=xl/ctrlProps/ctrlProp136.xml><?xml version="1.0" encoding="utf-8"?>
<formControlPr xmlns="http://schemas.microsoft.com/office/spreadsheetml/2009/9/main" objectType="CheckBox" fmlaLink="$D$45" lockText="1"/>
</file>

<file path=xl/drawings/drawing1.xml><?xml version="1.0" encoding="utf-8"?>
<xdr:wsDr xmlns:xdr="http://schemas.openxmlformats.org/drawingml/2006/spreadsheetDrawing" xmlns:a="http://schemas.openxmlformats.org/drawingml/2006/main">
  <xdr:oneCellAnchor>
    <xdr:from>
      <xdr:col>4</xdr:col>
      <xdr:colOff>95250</xdr:colOff>
      <xdr:row>0</xdr:row>
      <xdr:rowOff>38101</xdr:rowOff>
    </xdr:from>
    <xdr:ext cx="1000125" cy="495300"/>
    <xdr:sp macro="[0]!Vis_SLA" textlink="">
      <xdr:nvSpPr>
        <xdr:cNvPr id="2" name="Multidokument 1">
          <a:extLst>
            <a:ext uri="{FF2B5EF4-FFF2-40B4-BE49-F238E27FC236}">
              <a16:creationId xmlns:a16="http://schemas.microsoft.com/office/drawing/2014/main" id="{00000000-0008-0000-0000-000002000000}"/>
            </a:ext>
          </a:extLst>
        </xdr:cNvPr>
        <xdr:cNvSpPr/>
      </xdr:nvSpPr>
      <xdr:spPr>
        <a:xfrm>
          <a:off x="6686550" y="38101"/>
          <a:ext cx="1000125" cy="495300"/>
        </a:xfrm>
        <a:prstGeom prst="flowChartMultidocument">
          <a:avLst/>
        </a:prstGeom>
        <a:solidFill>
          <a:srgbClr val="002B4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oAutofit/>
        </a:bodyPr>
        <a:lstStyle/>
        <a:p>
          <a:pPr algn="ctr"/>
          <a:r>
            <a:rPr lang="da-DK" sz="900" b="1"/>
            <a:t>Vis</a:t>
          </a:r>
          <a:r>
            <a:rPr lang="da-DK" sz="900" b="1" baseline="0"/>
            <a:t> </a:t>
          </a:r>
          <a:r>
            <a:rPr lang="da-DK" sz="900" b="1"/>
            <a:t>SLA</a:t>
          </a:r>
          <a:r>
            <a:rPr lang="da-DK" sz="900" b="1" baseline="0"/>
            <a:t> og</a:t>
          </a:r>
        </a:p>
        <a:p>
          <a:pPr algn="ctr"/>
          <a:r>
            <a:rPr lang="da-DK" sz="900" b="1" baseline="0"/>
            <a:t> Ydelser</a:t>
          </a:r>
          <a:endParaRPr lang="da-DK" sz="900" b="1"/>
        </a:p>
      </xdr:txBody>
    </xdr:sp>
    <xdr:clientData/>
  </xdr:oneCellAnchor>
  <mc:AlternateContent xmlns:mc="http://schemas.openxmlformats.org/markup-compatibility/2006">
    <mc:Choice xmlns:a14="http://schemas.microsoft.com/office/drawing/2010/main" Requires="a14">
      <xdr:twoCellAnchor editAs="oneCell">
        <xdr:from>
          <xdr:col>3</xdr:col>
          <xdr:colOff>152400</xdr:colOff>
          <xdr:row>5</xdr:row>
          <xdr:rowOff>0</xdr:rowOff>
        </xdr:from>
        <xdr:to>
          <xdr:col>3</xdr:col>
          <xdr:colOff>514350</xdr:colOff>
          <xdr:row>6</xdr:row>
          <xdr:rowOff>866</xdr:rowOff>
        </xdr:to>
        <xdr:sp macro="" textlink="">
          <xdr:nvSpPr>
            <xdr:cNvPr id="1401" name="Check Box 377" descr="Ydelse 101&#10;" hidden="1">
              <a:extLst>
                <a:ext uri="{63B3BB69-23CF-44E3-9099-C40C66FF867C}">
                  <a14:compatExt spid="_x0000_s1401"/>
                </a:ext>
                <a:ext uri="{FF2B5EF4-FFF2-40B4-BE49-F238E27FC236}">
                  <a16:creationId xmlns:a16="http://schemas.microsoft.com/office/drawing/2014/main" id="{00000000-0008-0000-0000-00007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xdr:row>
          <xdr:rowOff>0</xdr:rowOff>
        </xdr:from>
        <xdr:to>
          <xdr:col>3</xdr:col>
          <xdr:colOff>514350</xdr:colOff>
          <xdr:row>7</xdr:row>
          <xdr:rowOff>866</xdr:rowOff>
        </xdr:to>
        <xdr:sp macro="" textlink="">
          <xdr:nvSpPr>
            <xdr:cNvPr id="1471" name="Check Box 447" descr="Ydelse 101&#10;" hidden="1">
              <a:extLst>
                <a:ext uri="{63B3BB69-23CF-44E3-9099-C40C66FF867C}">
                  <a14:compatExt spid="_x0000_s1471"/>
                </a:ext>
                <a:ext uri="{FF2B5EF4-FFF2-40B4-BE49-F238E27FC236}">
                  <a16:creationId xmlns:a16="http://schemas.microsoft.com/office/drawing/2014/main" id="{00000000-0008-0000-0000-0000B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7</xdr:row>
          <xdr:rowOff>0</xdr:rowOff>
        </xdr:from>
        <xdr:to>
          <xdr:col>3</xdr:col>
          <xdr:colOff>514350</xdr:colOff>
          <xdr:row>8</xdr:row>
          <xdr:rowOff>866</xdr:rowOff>
        </xdr:to>
        <xdr:sp macro="" textlink="">
          <xdr:nvSpPr>
            <xdr:cNvPr id="1472" name="Check Box 448" descr="Ydelse 101&#10;" hidden="1">
              <a:extLst>
                <a:ext uri="{63B3BB69-23CF-44E3-9099-C40C66FF867C}">
                  <a14:compatExt spid="_x0000_s1472"/>
                </a:ext>
                <a:ext uri="{FF2B5EF4-FFF2-40B4-BE49-F238E27FC236}">
                  <a16:creationId xmlns:a16="http://schemas.microsoft.com/office/drawing/2014/main" id="{00000000-0008-0000-0000-0000C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10</xdr:row>
          <xdr:rowOff>0</xdr:rowOff>
        </xdr:from>
        <xdr:to>
          <xdr:col>3</xdr:col>
          <xdr:colOff>514350</xdr:colOff>
          <xdr:row>11</xdr:row>
          <xdr:rowOff>866</xdr:rowOff>
        </xdr:to>
        <xdr:sp macro="" textlink="">
          <xdr:nvSpPr>
            <xdr:cNvPr id="1473" name="Check Box 449" descr="Ydelse 101&#10;" hidden="1">
              <a:extLst>
                <a:ext uri="{63B3BB69-23CF-44E3-9099-C40C66FF867C}">
                  <a14:compatExt spid="_x0000_s1473"/>
                </a:ext>
                <a:ext uri="{FF2B5EF4-FFF2-40B4-BE49-F238E27FC236}">
                  <a16:creationId xmlns:a16="http://schemas.microsoft.com/office/drawing/2014/main" id="{00000000-0008-0000-0000-0000C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11</xdr:row>
          <xdr:rowOff>0</xdr:rowOff>
        </xdr:from>
        <xdr:to>
          <xdr:col>3</xdr:col>
          <xdr:colOff>514350</xdr:colOff>
          <xdr:row>12</xdr:row>
          <xdr:rowOff>866</xdr:rowOff>
        </xdr:to>
        <xdr:sp macro="" textlink="">
          <xdr:nvSpPr>
            <xdr:cNvPr id="1474" name="Check Box 450" descr="Ydelse 101&#10;" hidden="1">
              <a:extLst>
                <a:ext uri="{63B3BB69-23CF-44E3-9099-C40C66FF867C}">
                  <a14:compatExt spid="_x0000_s1474"/>
                </a:ext>
                <a:ext uri="{FF2B5EF4-FFF2-40B4-BE49-F238E27FC236}">
                  <a16:creationId xmlns:a16="http://schemas.microsoft.com/office/drawing/2014/main" id="{00000000-0008-0000-0000-0000C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12</xdr:row>
          <xdr:rowOff>0</xdr:rowOff>
        </xdr:from>
        <xdr:to>
          <xdr:col>3</xdr:col>
          <xdr:colOff>514350</xdr:colOff>
          <xdr:row>13</xdr:row>
          <xdr:rowOff>865</xdr:rowOff>
        </xdr:to>
        <xdr:sp macro="" textlink="">
          <xdr:nvSpPr>
            <xdr:cNvPr id="1475" name="Check Box 451" descr="Ydelse 101&#10;" hidden="1">
              <a:extLst>
                <a:ext uri="{63B3BB69-23CF-44E3-9099-C40C66FF867C}">
                  <a14:compatExt spid="_x0000_s1475"/>
                </a:ext>
                <a:ext uri="{FF2B5EF4-FFF2-40B4-BE49-F238E27FC236}">
                  <a16:creationId xmlns:a16="http://schemas.microsoft.com/office/drawing/2014/main" id="{00000000-0008-0000-0000-0000C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13</xdr:row>
          <xdr:rowOff>0</xdr:rowOff>
        </xdr:from>
        <xdr:to>
          <xdr:col>3</xdr:col>
          <xdr:colOff>514350</xdr:colOff>
          <xdr:row>14</xdr:row>
          <xdr:rowOff>866</xdr:rowOff>
        </xdr:to>
        <xdr:sp macro="" textlink="">
          <xdr:nvSpPr>
            <xdr:cNvPr id="1476" name="Check Box 452" descr="Ydelse 101&#10;" hidden="1">
              <a:extLst>
                <a:ext uri="{63B3BB69-23CF-44E3-9099-C40C66FF867C}">
                  <a14:compatExt spid="_x0000_s1476"/>
                </a:ext>
                <a:ext uri="{FF2B5EF4-FFF2-40B4-BE49-F238E27FC236}">
                  <a16:creationId xmlns:a16="http://schemas.microsoft.com/office/drawing/2014/main" id="{00000000-0008-0000-0000-0000C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14</xdr:row>
          <xdr:rowOff>0</xdr:rowOff>
        </xdr:from>
        <xdr:to>
          <xdr:col>3</xdr:col>
          <xdr:colOff>514350</xdr:colOff>
          <xdr:row>15</xdr:row>
          <xdr:rowOff>866</xdr:rowOff>
        </xdr:to>
        <xdr:sp macro="" textlink="">
          <xdr:nvSpPr>
            <xdr:cNvPr id="1477" name="Check Box 453" descr="Ydelse 101&#10;"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15</xdr:row>
          <xdr:rowOff>0</xdr:rowOff>
        </xdr:from>
        <xdr:to>
          <xdr:col>3</xdr:col>
          <xdr:colOff>514350</xdr:colOff>
          <xdr:row>16</xdr:row>
          <xdr:rowOff>866</xdr:rowOff>
        </xdr:to>
        <xdr:sp macro="" textlink="">
          <xdr:nvSpPr>
            <xdr:cNvPr id="1478" name="Check Box 454" descr="Ydelse 101&#10;"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16</xdr:row>
          <xdr:rowOff>0</xdr:rowOff>
        </xdr:from>
        <xdr:to>
          <xdr:col>3</xdr:col>
          <xdr:colOff>514350</xdr:colOff>
          <xdr:row>17</xdr:row>
          <xdr:rowOff>866</xdr:rowOff>
        </xdr:to>
        <xdr:sp macro="" textlink="">
          <xdr:nvSpPr>
            <xdr:cNvPr id="1479" name="Check Box 455" descr="Ydelse 101&#10;"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18</xdr:row>
          <xdr:rowOff>0</xdr:rowOff>
        </xdr:from>
        <xdr:to>
          <xdr:col>3</xdr:col>
          <xdr:colOff>514350</xdr:colOff>
          <xdr:row>19</xdr:row>
          <xdr:rowOff>866</xdr:rowOff>
        </xdr:to>
        <xdr:sp macro="" textlink="">
          <xdr:nvSpPr>
            <xdr:cNvPr id="1480" name="Check Box 456" descr="Ydelse 101&#10;"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21</xdr:row>
          <xdr:rowOff>0</xdr:rowOff>
        </xdr:from>
        <xdr:to>
          <xdr:col>3</xdr:col>
          <xdr:colOff>514350</xdr:colOff>
          <xdr:row>22</xdr:row>
          <xdr:rowOff>866</xdr:rowOff>
        </xdr:to>
        <xdr:sp macro="" textlink="">
          <xdr:nvSpPr>
            <xdr:cNvPr id="1482" name="Check Box 458" descr="Ydelse 101&#10;"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22</xdr:row>
          <xdr:rowOff>0</xdr:rowOff>
        </xdr:from>
        <xdr:to>
          <xdr:col>3</xdr:col>
          <xdr:colOff>514350</xdr:colOff>
          <xdr:row>23</xdr:row>
          <xdr:rowOff>866</xdr:rowOff>
        </xdr:to>
        <xdr:sp macro="" textlink="">
          <xdr:nvSpPr>
            <xdr:cNvPr id="1483" name="Check Box 459" descr="Ydelse 101&#10;"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22</xdr:row>
          <xdr:rowOff>0</xdr:rowOff>
        </xdr:from>
        <xdr:to>
          <xdr:col>3</xdr:col>
          <xdr:colOff>514350</xdr:colOff>
          <xdr:row>23</xdr:row>
          <xdr:rowOff>866</xdr:rowOff>
        </xdr:to>
        <xdr:sp macro="" textlink="">
          <xdr:nvSpPr>
            <xdr:cNvPr id="1484" name="Check Box 460" descr="Ydelse 101&#10;"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23</xdr:row>
          <xdr:rowOff>0</xdr:rowOff>
        </xdr:from>
        <xdr:to>
          <xdr:col>3</xdr:col>
          <xdr:colOff>514350</xdr:colOff>
          <xdr:row>24</xdr:row>
          <xdr:rowOff>865</xdr:rowOff>
        </xdr:to>
        <xdr:sp macro="" textlink="">
          <xdr:nvSpPr>
            <xdr:cNvPr id="1485" name="Check Box 461" descr="Ydelse 101&#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24</xdr:row>
          <xdr:rowOff>0</xdr:rowOff>
        </xdr:from>
        <xdr:to>
          <xdr:col>3</xdr:col>
          <xdr:colOff>514350</xdr:colOff>
          <xdr:row>25</xdr:row>
          <xdr:rowOff>866</xdr:rowOff>
        </xdr:to>
        <xdr:sp macro="" textlink="">
          <xdr:nvSpPr>
            <xdr:cNvPr id="1486" name="Check Box 462" descr="Ydelse 101&#10;"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25</xdr:row>
          <xdr:rowOff>0</xdr:rowOff>
        </xdr:from>
        <xdr:to>
          <xdr:col>3</xdr:col>
          <xdr:colOff>514350</xdr:colOff>
          <xdr:row>26</xdr:row>
          <xdr:rowOff>866</xdr:rowOff>
        </xdr:to>
        <xdr:sp macro="" textlink="">
          <xdr:nvSpPr>
            <xdr:cNvPr id="1487" name="Check Box 463" descr="Ydelse 101&#10;"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26</xdr:row>
          <xdr:rowOff>0</xdr:rowOff>
        </xdr:from>
        <xdr:to>
          <xdr:col>3</xdr:col>
          <xdr:colOff>514350</xdr:colOff>
          <xdr:row>27</xdr:row>
          <xdr:rowOff>866</xdr:rowOff>
        </xdr:to>
        <xdr:sp macro="" textlink="">
          <xdr:nvSpPr>
            <xdr:cNvPr id="1488" name="Check Box 464"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27</xdr:row>
          <xdr:rowOff>0</xdr:rowOff>
        </xdr:from>
        <xdr:to>
          <xdr:col>3</xdr:col>
          <xdr:colOff>514350</xdr:colOff>
          <xdr:row>28</xdr:row>
          <xdr:rowOff>866</xdr:rowOff>
        </xdr:to>
        <xdr:sp macro="" textlink="">
          <xdr:nvSpPr>
            <xdr:cNvPr id="1489" name="Check Box 465" descr="Ydelse 101&#10;"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32</xdr:row>
          <xdr:rowOff>0</xdr:rowOff>
        </xdr:from>
        <xdr:to>
          <xdr:col>3</xdr:col>
          <xdr:colOff>514350</xdr:colOff>
          <xdr:row>33</xdr:row>
          <xdr:rowOff>19916</xdr:rowOff>
        </xdr:to>
        <xdr:sp macro="" textlink="">
          <xdr:nvSpPr>
            <xdr:cNvPr id="1491" name="Check Box 467" descr="Ydelse 101&#10;"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31</xdr:row>
          <xdr:rowOff>0</xdr:rowOff>
        </xdr:from>
        <xdr:to>
          <xdr:col>3</xdr:col>
          <xdr:colOff>514350</xdr:colOff>
          <xdr:row>32</xdr:row>
          <xdr:rowOff>866</xdr:rowOff>
        </xdr:to>
        <xdr:sp macro="" textlink="">
          <xdr:nvSpPr>
            <xdr:cNvPr id="1492" name="Check Box 468" descr="Ydelse 101&#10;"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33</xdr:row>
          <xdr:rowOff>0</xdr:rowOff>
        </xdr:from>
        <xdr:to>
          <xdr:col>3</xdr:col>
          <xdr:colOff>514350</xdr:colOff>
          <xdr:row>34</xdr:row>
          <xdr:rowOff>19916</xdr:rowOff>
        </xdr:to>
        <xdr:sp macro="" textlink="">
          <xdr:nvSpPr>
            <xdr:cNvPr id="1493" name="Check Box 469" descr="Ydelse 101&#10;" hidden="1">
              <a:extLst>
                <a:ext uri="{63B3BB69-23CF-44E3-9099-C40C66FF867C}">
                  <a14:compatExt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34</xdr:row>
          <xdr:rowOff>0</xdr:rowOff>
        </xdr:from>
        <xdr:to>
          <xdr:col>3</xdr:col>
          <xdr:colOff>514350</xdr:colOff>
          <xdr:row>35</xdr:row>
          <xdr:rowOff>19915</xdr:rowOff>
        </xdr:to>
        <xdr:sp macro="" textlink="">
          <xdr:nvSpPr>
            <xdr:cNvPr id="1494" name="Check Box 470" descr="Ydelse 101&#10;"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35</xdr:row>
          <xdr:rowOff>0</xdr:rowOff>
        </xdr:from>
        <xdr:to>
          <xdr:col>3</xdr:col>
          <xdr:colOff>514350</xdr:colOff>
          <xdr:row>36</xdr:row>
          <xdr:rowOff>19916</xdr:rowOff>
        </xdr:to>
        <xdr:sp macro="" textlink="">
          <xdr:nvSpPr>
            <xdr:cNvPr id="1495" name="Check Box 471" descr="Ydelse 101&#1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36</xdr:row>
          <xdr:rowOff>0</xdr:rowOff>
        </xdr:from>
        <xdr:to>
          <xdr:col>3</xdr:col>
          <xdr:colOff>514350</xdr:colOff>
          <xdr:row>37</xdr:row>
          <xdr:rowOff>19916</xdr:rowOff>
        </xdr:to>
        <xdr:sp macro="" textlink="">
          <xdr:nvSpPr>
            <xdr:cNvPr id="1496" name="Check Box 472"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37</xdr:row>
          <xdr:rowOff>0</xdr:rowOff>
        </xdr:from>
        <xdr:to>
          <xdr:col>3</xdr:col>
          <xdr:colOff>514350</xdr:colOff>
          <xdr:row>38</xdr:row>
          <xdr:rowOff>866</xdr:rowOff>
        </xdr:to>
        <xdr:sp macro="" textlink="">
          <xdr:nvSpPr>
            <xdr:cNvPr id="1497" name="Check Box 473"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38</xdr:row>
          <xdr:rowOff>0</xdr:rowOff>
        </xdr:from>
        <xdr:to>
          <xdr:col>3</xdr:col>
          <xdr:colOff>514350</xdr:colOff>
          <xdr:row>39</xdr:row>
          <xdr:rowOff>866</xdr:rowOff>
        </xdr:to>
        <xdr:sp macro="" textlink="">
          <xdr:nvSpPr>
            <xdr:cNvPr id="1498" name="Check Box 474" descr="&#10;"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45</xdr:row>
          <xdr:rowOff>0</xdr:rowOff>
        </xdr:from>
        <xdr:to>
          <xdr:col>3</xdr:col>
          <xdr:colOff>514350</xdr:colOff>
          <xdr:row>46</xdr:row>
          <xdr:rowOff>19915</xdr:rowOff>
        </xdr:to>
        <xdr:sp macro="" textlink="">
          <xdr:nvSpPr>
            <xdr:cNvPr id="1501" name="Check Box 477"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48</xdr:row>
          <xdr:rowOff>0</xdr:rowOff>
        </xdr:from>
        <xdr:to>
          <xdr:col>3</xdr:col>
          <xdr:colOff>514350</xdr:colOff>
          <xdr:row>49</xdr:row>
          <xdr:rowOff>19916</xdr:rowOff>
        </xdr:to>
        <xdr:sp macro="" textlink="">
          <xdr:nvSpPr>
            <xdr:cNvPr id="1502" name="Check Box 478"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49</xdr:row>
          <xdr:rowOff>0</xdr:rowOff>
        </xdr:from>
        <xdr:to>
          <xdr:col>3</xdr:col>
          <xdr:colOff>514350</xdr:colOff>
          <xdr:row>50</xdr:row>
          <xdr:rowOff>19916</xdr:rowOff>
        </xdr:to>
        <xdr:sp macro="" textlink="">
          <xdr:nvSpPr>
            <xdr:cNvPr id="1503" name="Check Box 479"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50</xdr:row>
          <xdr:rowOff>0</xdr:rowOff>
        </xdr:from>
        <xdr:to>
          <xdr:col>3</xdr:col>
          <xdr:colOff>514350</xdr:colOff>
          <xdr:row>51</xdr:row>
          <xdr:rowOff>866</xdr:rowOff>
        </xdr:to>
        <xdr:sp macro="" textlink="">
          <xdr:nvSpPr>
            <xdr:cNvPr id="1504" name="Check Box 480"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50</xdr:row>
          <xdr:rowOff>0</xdr:rowOff>
        </xdr:from>
        <xdr:to>
          <xdr:col>3</xdr:col>
          <xdr:colOff>514350</xdr:colOff>
          <xdr:row>51</xdr:row>
          <xdr:rowOff>866</xdr:rowOff>
        </xdr:to>
        <xdr:sp macro="" textlink="">
          <xdr:nvSpPr>
            <xdr:cNvPr id="1505" name="Check Box 481"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40</xdr:row>
          <xdr:rowOff>0</xdr:rowOff>
        </xdr:from>
        <xdr:to>
          <xdr:col>3</xdr:col>
          <xdr:colOff>514350</xdr:colOff>
          <xdr:row>41</xdr:row>
          <xdr:rowOff>19916</xdr:rowOff>
        </xdr:to>
        <xdr:sp macro="" textlink="">
          <xdr:nvSpPr>
            <xdr:cNvPr id="1506" name="Check Box 482"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51</xdr:row>
          <xdr:rowOff>0</xdr:rowOff>
        </xdr:from>
        <xdr:to>
          <xdr:col>3</xdr:col>
          <xdr:colOff>514350</xdr:colOff>
          <xdr:row>52</xdr:row>
          <xdr:rowOff>866</xdr:rowOff>
        </xdr:to>
        <xdr:sp macro="" textlink="">
          <xdr:nvSpPr>
            <xdr:cNvPr id="1509" name="Check Box 485"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55</xdr:row>
          <xdr:rowOff>0</xdr:rowOff>
        </xdr:from>
        <xdr:to>
          <xdr:col>3</xdr:col>
          <xdr:colOff>514350</xdr:colOff>
          <xdr:row>56</xdr:row>
          <xdr:rowOff>19916</xdr:rowOff>
        </xdr:to>
        <xdr:sp macro="" textlink="">
          <xdr:nvSpPr>
            <xdr:cNvPr id="1511" name="Check Box 487"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56</xdr:row>
          <xdr:rowOff>0</xdr:rowOff>
        </xdr:from>
        <xdr:to>
          <xdr:col>3</xdr:col>
          <xdr:colOff>514350</xdr:colOff>
          <xdr:row>57</xdr:row>
          <xdr:rowOff>19916</xdr:rowOff>
        </xdr:to>
        <xdr:sp macro="" textlink="">
          <xdr:nvSpPr>
            <xdr:cNvPr id="1513" name="Check Box 489"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57</xdr:row>
          <xdr:rowOff>0</xdr:rowOff>
        </xdr:from>
        <xdr:to>
          <xdr:col>3</xdr:col>
          <xdr:colOff>514350</xdr:colOff>
          <xdr:row>58</xdr:row>
          <xdr:rowOff>19916</xdr:rowOff>
        </xdr:to>
        <xdr:sp macro="" textlink="">
          <xdr:nvSpPr>
            <xdr:cNvPr id="1514" name="Check Box 490"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60</xdr:row>
          <xdr:rowOff>9525</xdr:rowOff>
        </xdr:from>
        <xdr:to>
          <xdr:col>3</xdr:col>
          <xdr:colOff>514350</xdr:colOff>
          <xdr:row>61</xdr:row>
          <xdr:rowOff>29441</xdr:rowOff>
        </xdr:to>
        <xdr:sp macro="" textlink="">
          <xdr:nvSpPr>
            <xdr:cNvPr id="1517" name="Check Box 493"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61</xdr:row>
          <xdr:rowOff>0</xdr:rowOff>
        </xdr:from>
        <xdr:to>
          <xdr:col>3</xdr:col>
          <xdr:colOff>514350</xdr:colOff>
          <xdr:row>62</xdr:row>
          <xdr:rowOff>19915</xdr:rowOff>
        </xdr:to>
        <xdr:sp macro="" textlink="">
          <xdr:nvSpPr>
            <xdr:cNvPr id="1518" name="Check Box 494"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62</xdr:row>
          <xdr:rowOff>0</xdr:rowOff>
        </xdr:from>
        <xdr:to>
          <xdr:col>3</xdr:col>
          <xdr:colOff>514350</xdr:colOff>
          <xdr:row>63</xdr:row>
          <xdr:rowOff>19916</xdr:rowOff>
        </xdr:to>
        <xdr:sp macro="" textlink="">
          <xdr:nvSpPr>
            <xdr:cNvPr id="1519" name="Check Box 495"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63</xdr:row>
          <xdr:rowOff>0</xdr:rowOff>
        </xdr:from>
        <xdr:to>
          <xdr:col>3</xdr:col>
          <xdr:colOff>514350</xdr:colOff>
          <xdr:row>64</xdr:row>
          <xdr:rowOff>19916</xdr:rowOff>
        </xdr:to>
        <xdr:sp macro="" textlink="">
          <xdr:nvSpPr>
            <xdr:cNvPr id="1520" name="Check Box 496"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64</xdr:row>
          <xdr:rowOff>0</xdr:rowOff>
        </xdr:from>
        <xdr:to>
          <xdr:col>3</xdr:col>
          <xdr:colOff>514350</xdr:colOff>
          <xdr:row>65</xdr:row>
          <xdr:rowOff>19916</xdr:rowOff>
        </xdr:to>
        <xdr:sp macro="" textlink="">
          <xdr:nvSpPr>
            <xdr:cNvPr id="1521" name="Check Box 497"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65</xdr:row>
          <xdr:rowOff>0</xdr:rowOff>
        </xdr:from>
        <xdr:to>
          <xdr:col>3</xdr:col>
          <xdr:colOff>514350</xdr:colOff>
          <xdr:row>66</xdr:row>
          <xdr:rowOff>19916</xdr:rowOff>
        </xdr:to>
        <xdr:sp macro="" textlink="">
          <xdr:nvSpPr>
            <xdr:cNvPr id="1522" name="Check Box 498"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66</xdr:row>
          <xdr:rowOff>0</xdr:rowOff>
        </xdr:from>
        <xdr:to>
          <xdr:col>3</xdr:col>
          <xdr:colOff>514350</xdr:colOff>
          <xdr:row>67</xdr:row>
          <xdr:rowOff>866</xdr:rowOff>
        </xdr:to>
        <xdr:sp macro="" textlink="">
          <xdr:nvSpPr>
            <xdr:cNvPr id="1523" name="Check Box 499"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58</xdr:row>
          <xdr:rowOff>0</xdr:rowOff>
        </xdr:from>
        <xdr:to>
          <xdr:col>3</xdr:col>
          <xdr:colOff>514350</xdr:colOff>
          <xdr:row>59</xdr:row>
          <xdr:rowOff>19916</xdr:rowOff>
        </xdr:to>
        <xdr:sp macro="" textlink="">
          <xdr:nvSpPr>
            <xdr:cNvPr id="1525" name="Check Box 501"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59</xdr:row>
          <xdr:rowOff>0</xdr:rowOff>
        </xdr:from>
        <xdr:to>
          <xdr:col>3</xdr:col>
          <xdr:colOff>514350</xdr:colOff>
          <xdr:row>60</xdr:row>
          <xdr:rowOff>19916</xdr:rowOff>
        </xdr:to>
        <xdr:sp macro="" textlink="">
          <xdr:nvSpPr>
            <xdr:cNvPr id="1526" name="Check Box 502"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69</xdr:row>
          <xdr:rowOff>133350</xdr:rowOff>
        </xdr:from>
        <xdr:to>
          <xdr:col>3</xdr:col>
          <xdr:colOff>514350</xdr:colOff>
          <xdr:row>71</xdr:row>
          <xdr:rowOff>96982</xdr:rowOff>
        </xdr:to>
        <xdr:sp macro="" textlink="">
          <xdr:nvSpPr>
            <xdr:cNvPr id="1527" name="Check Box 503"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71</xdr:row>
          <xdr:rowOff>0</xdr:rowOff>
        </xdr:from>
        <xdr:to>
          <xdr:col>3</xdr:col>
          <xdr:colOff>514350</xdr:colOff>
          <xdr:row>72</xdr:row>
          <xdr:rowOff>19916</xdr:rowOff>
        </xdr:to>
        <xdr:sp macro="" textlink="">
          <xdr:nvSpPr>
            <xdr:cNvPr id="1528" name="Check Box 504"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72</xdr:row>
          <xdr:rowOff>0</xdr:rowOff>
        </xdr:from>
        <xdr:to>
          <xdr:col>3</xdr:col>
          <xdr:colOff>514350</xdr:colOff>
          <xdr:row>73</xdr:row>
          <xdr:rowOff>19916</xdr:rowOff>
        </xdr:to>
        <xdr:sp macro="" textlink="">
          <xdr:nvSpPr>
            <xdr:cNvPr id="1529" name="Check Box 505"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76</xdr:row>
          <xdr:rowOff>0</xdr:rowOff>
        </xdr:from>
        <xdr:to>
          <xdr:col>3</xdr:col>
          <xdr:colOff>514350</xdr:colOff>
          <xdr:row>77</xdr:row>
          <xdr:rowOff>866</xdr:rowOff>
        </xdr:to>
        <xdr:sp macro="" textlink="">
          <xdr:nvSpPr>
            <xdr:cNvPr id="1530" name="Check Box 506"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77</xdr:row>
          <xdr:rowOff>0</xdr:rowOff>
        </xdr:from>
        <xdr:to>
          <xdr:col>3</xdr:col>
          <xdr:colOff>514350</xdr:colOff>
          <xdr:row>78</xdr:row>
          <xdr:rowOff>866</xdr:rowOff>
        </xdr:to>
        <xdr:sp macro="" textlink="">
          <xdr:nvSpPr>
            <xdr:cNvPr id="1531" name="Check Box 507"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78</xdr:row>
          <xdr:rowOff>0</xdr:rowOff>
        </xdr:from>
        <xdr:to>
          <xdr:col>3</xdr:col>
          <xdr:colOff>514350</xdr:colOff>
          <xdr:row>79</xdr:row>
          <xdr:rowOff>865</xdr:rowOff>
        </xdr:to>
        <xdr:sp macro="" textlink="">
          <xdr:nvSpPr>
            <xdr:cNvPr id="1532" name="Check Box 508"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80</xdr:row>
          <xdr:rowOff>0</xdr:rowOff>
        </xdr:from>
        <xdr:to>
          <xdr:col>3</xdr:col>
          <xdr:colOff>514350</xdr:colOff>
          <xdr:row>81</xdr:row>
          <xdr:rowOff>19916</xdr:rowOff>
        </xdr:to>
        <xdr:sp macro="" textlink="">
          <xdr:nvSpPr>
            <xdr:cNvPr id="1534" name="Check Box 510"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81</xdr:row>
          <xdr:rowOff>0</xdr:rowOff>
        </xdr:from>
        <xdr:to>
          <xdr:col>3</xdr:col>
          <xdr:colOff>514350</xdr:colOff>
          <xdr:row>82</xdr:row>
          <xdr:rowOff>19916</xdr:rowOff>
        </xdr:to>
        <xdr:sp macro="" textlink="">
          <xdr:nvSpPr>
            <xdr:cNvPr id="1535" name="Check Box 511"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83</xdr:row>
          <xdr:rowOff>0</xdr:rowOff>
        </xdr:from>
        <xdr:to>
          <xdr:col>3</xdr:col>
          <xdr:colOff>514350</xdr:colOff>
          <xdr:row>84</xdr:row>
          <xdr:rowOff>19916</xdr:rowOff>
        </xdr:to>
        <xdr:sp macro="" textlink="">
          <xdr:nvSpPr>
            <xdr:cNvPr id="1536" name="Check Box 512"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84</xdr:row>
          <xdr:rowOff>0</xdr:rowOff>
        </xdr:from>
        <xdr:to>
          <xdr:col>3</xdr:col>
          <xdr:colOff>514350</xdr:colOff>
          <xdr:row>85</xdr:row>
          <xdr:rowOff>19915</xdr:rowOff>
        </xdr:to>
        <xdr:sp macro="" textlink="">
          <xdr:nvSpPr>
            <xdr:cNvPr id="1537" name="Check Box 513"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85</xdr:row>
          <xdr:rowOff>0</xdr:rowOff>
        </xdr:from>
        <xdr:to>
          <xdr:col>3</xdr:col>
          <xdr:colOff>514350</xdr:colOff>
          <xdr:row>86</xdr:row>
          <xdr:rowOff>19916</xdr:rowOff>
        </xdr:to>
        <xdr:sp macro="" textlink="">
          <xdr:nvSpPr>
            <xdr:cNvPr id="1538" name="Check Box 514"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87</xdr:row>
          <xdr:rowOff>0</xdr:rowOff>
        </xdr:from>
        <xdr:to>
          <xdr:col>3</xdr:col>
          <xdr:colOff>514350</xdr:colOff>
          <xdr:row>88</xdr:row>
          <xdr:rowOff>19916</xdr:rowOff>
        </xdr:to>
        <xdr:sp macro="" textlink="">
          <xdr:nvSpPr>
            <xdr:cNvPr id="1540" name="Check Box 516"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88</xdr:row>
          <xdr:rowOff>0</xdr:rowOff>
        </xdr:from>
        <xdr:to>
          <xdr:col>3</xdr:col>
          <xdr:colOff>514350</xdr:colOff>
          <xdr:row>89</xdr:row>
          <xdr:rowOff>19916</xdr:rowOff>
        </xdr:to>
        <xdr:sp macro="" textlink="">
          <xdr:nvSpPr>
            <xdr:cNvPr id="1541" name="Check Box 517"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90</xdr:row>
          <xdr:rowOff>0</xdr:rowOff>
        </xdr:from>
        <xdr:to>
          <xdr:col>3</xdr:col>
          <xdr:colOff>514350</xdr:colOff>
          <xdr:row>91</xdr:row>
          <xdr:rowOff>19916</xdr:rowOff>
        </xdr:to>
        <xdr:sp macro="" textlink="">
          <xdr:nvSpPr>
            <xdr:cNvPr id="1542" name="Check Box 518"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95</xdr:row>
          <xdr:rowOff>0</xdr:rowOff>
        </xdr:from>
        <xdr:to>
          <xdr:col>3</xdr:col>
          <xdr:colOff>514350</xdr:colOff>
          <xdr:row>96</xdr:row>
          <xdr:rowOff>19916</xdr:rowOff>
        </xdr:to>
        <xdr:sp macro="" textlink="">
          <xdr:nvSpPr>
            <xdr:cNvPr id="1543" name="Check Box 519"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96</xdr:row>
          <xdr:rowOff>0</xdr:rowOff>
        </xdr:from>
        <xdr:to>
          <xdr:col>3</xdr:col>
          <xdr:colOff>514350</xdr:colOff>
          <xdr:row>97</xdr:row>
          <xdr:rowOff>19916</xdr:rowOff>
        </xdr:to>
        <xdr:sp macro="" textlink="">
          <xdr:nvSpPr>
            <xdr:cNvPr id="1544" name="Check Box 520"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97</xdr:row>
          <xdr:rowOff>0</xdr:rowOff>
        </xdr:from>
        <xdr:to>
          <xdr:col>3</xdr:col>
          <xdr:colOff>514350</xdr:colOff>
          <xdr:row>98</xdr:row>
          <xdr:rowOff>19916</xdr:rowOff>
        </xdr:to>
        <xdr:sp macro="" textlink="">
          <xdr:nvSpPr>
            <xdr:cNvPr id="1545" name="Check Box 521"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98</xdr:row>
          <xdr:rowOff>0</xdr:rowOff>
        </xdr:from>
        <xdr:to>
          <xdr:col>3</xdr:col>
          <xdr:colOff>514350</xdr:colOff>
          <xdr:row>99</xdr:row>
          <xdr:rowOff>19916</xdr:rowOff>
        </xdr:to>
        <xdr:sp macro="" textlink="">
          <xdr:nvSpPr>
            <xdr:cNvPr id="1546" name="Check Box 522"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101</xdr:row>
          <xdr:rowOff>0</xdr:rowOff>
        </xdr:from>
        <xdr:to>
          <xdr:col>3</xdr:col>
          <xdr:colOff>514350</xdr:colOff>
          <xdr:row>102</xdr:row>
          <xdr:rowOff>866</xdr:rowOff>
        </xdr:to>
        <xdr:sp macro="" textlink="">
          <xdr:nvSpPr>
            <xdr:cNvPr id="1547" name="Check Box 523" hidden="1">
              <a:extLst>
                <a:ext uri="{63B3BB69-23CF-44E3-9099-C40C66FF867C}">
                  <a14:compatExt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102</xdr:row>
          <xdr:rowOff>0</xdr:rowOff>
        </xdr:from>
        <xdr:to>
          <xdr:col>3</xdr:col>
          <xdr:colOff>514350</xdr:colOff>
          <xdr:row>103</xdr:row>
          <xdr:rowOff>866</xdr:rowOff>
        </xdr:to>
        <xdr:sp macro="" textlink="">
          <xdr:nvSpPr>
            <xdr:cNvPr id="1548" name="Check Box 524"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103</xdr:row>
          <xdr:rowOff>0</xdr:rowOff>
        </xdr:from>
        <xdr:to>
          <xdr:col>3</xdr:col>
          <xdr:colOff>514350</xdr:colOff>
          <xdr:row>104</xdr:row>
          <xdr:rowOff>866</xdr:rowOff>
        </xdr:to>
        <xdr:sp macro="" textlink="">
          <xdr:nvSpPr>
            <xdr:cNvPr id="1549" name="Check Box 525"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106</xdr:row>
          <xdr:rowOff>0</xdr:rowOff>
        </xdr:from>
        <xdr:to>
          <xdr:col>3</xdr:col>
          <xdr:colOff>514350</xdr:colOff>
          <xdr:row>107</xdr:row>
          <xdr:rowOff>866</xdr:rowOff>
        </xdr:to>
        <xdr:sp macro="" textlink="">
          <xdr:nvSpPr>
            <xdr:cNvPr id="1550" name="Check Box 526"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107</xdr:row>
          <xdr:rowOff>0</xdr:rowOff>
        </xdr:from>
        <xdr:to>
          <xdr:col>3</xdr:col>
          <xdr:colOff>514350</xdr:colOff>
          <xdr:row>108</xdr:row>
          <xdr:rowOff>866</xdr:rowOff>
        </xdr:to>
        <xdr:sp macro="" textlink="">
          <xdr:nvSpPr>
            <xdr:cNvPr id="1551" name="Check Box 527"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108</xdr:row>
          <xdr:rowOff>0</xdr:rowOff>
        </xdr:from>
        <xdr:to>
          <xdr:col>3</xdr:col>
          <xdr:colOff>514350</xdr:colOff>
          <xdr:row>109</xdr:row>
          <xdr:rowOff>866</xdr:rowOff>
        </xdr:to>
        <xdr:sp macro="" textlink="">
          <xdr:nvSpPr>
            <xdr:cNvPr id="1552" name="Check Box 528"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109</xdr:row>
          <xdr:rowOff>0</xdr:rowOff>
        </xdr:from>
        <xdr:to>
          <xdr:col>3</xdr:col>
          <xdr:colOff>514350</xdr:colOff>
          <xdr:row>110</xdr:row>
          <xdr:rowOff>866</xdr:rowOff>
        </xdr:to>
        <xdr:sp macro="" textlink="">
          <xdr:nvSpPr>
            <xdr:cNvPr id="1553" name="Check Box 529"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113</xdr:row>
          <xdr:rowOff>0</xdr:rowOff>
        </xdr:from>
        <xdr:to>
          <xdr:col>3</xdr:col>
          <xdr:colOff>514350</xdr:colOff>
          <xdr:row>114</xdr:row>
          <xdr:rowOff>866</xdr:rowOff>
        </xdr:to>
        <xdr:sp macro="" textlink="">
          <xdr:nvSpPr>
            <xdr:cNvPr id="1554" name="Check Box 530"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114</xdr:row>
          <xdr:rowOff>0</xdr:rowOff>
        </xdr:from>
        <xdr:to>
          <xdr:col>3</xdr:col>
          <xdr:colOff>514350</xdr:colOff>
          <xdr:row>115</xdr:row>
          <xdr:rowOff>866</xdr:rowOff>
        </xdr:to>
        <xdr:sp macro="" textlink="">
          <xdr:nvSpPr>
            <xdr:cNvPr id="1555" name="Check Box 531"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115</xdr:row>
          <xdr:rowOff>0</xdr:rowOff>
        </xdr:from>
        <xdr:to>
          <xdr:col>3</xdr:col>
          <xdr:colOff>514350</xdr:colOff>
          <xdr:row>116</xdr:row>
          <xdr:rowOff>866</xdr:rowOff>
        </xdr:to>
        <xdr:sp macro="" textlink="">
          <xdr:nvSpPr>
            <xdr:cNvPr id="1556" name="Check Box 532"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116</xdr:row>
          <xdr:rowOff>0</xdr:rowOff>
        </xdr:from>
        <xdr:to>
          <xdr:col>3</xdr:col>
          <xdr:colOff>514350</xdr:colOff>
          <xdr:row>117</xdr:row>
          <xdr:rowOff>866</xdr:rowOff>
        </xdr:to>
        <xdr:sp macro="" textlink="">
          <xdr:nvSpPr>
            <xdr:cNvPr id="1557" name="Check Box 533"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117</xdr:row>
          <xdr:rowOff>0</xdr:rowOff>
        </xdr:from>
        <xdr:to>
          <xdr:col>3</xdr:col>
          <xdr:colOff>514350</xdr:colOff>
          <xdr:row>118</xdr:row>
          <xdr:rowOff>866</xdr:rowOff>
        </xdr:to>
        <xdr:sp macro="" textlink="">
          <xdr:nvSpPr>
            <xdr:cNvPr id="1558" name="Check Box 534"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119</xdr:row>
          <xdr:rowOff>0</xdr:rowOff>
        </xdr:from>
        <xdr:to>
          <xdr:col>3</xdr:col>
          <xdr:colOff>514350</xdr:colOff>
          <xdr:row>120</xdr:row>
          <xdr:rowOff>866</xdr:rowOff>
        </xdr:to>
        <xdr:sp macro="" textlink="">
          <xdr:nvSpPr>
            <xdr:cNvPr id="1559" name="Check Box 535"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120</xdr:row>
          <xdr:rowOff>0</xdr:rowOff>
        </xdr:from>
        <xdr:to>
          <xdr:col>3</xdr:col>
          <xdr:colOff>514350</xdr:colOff>
          <xdr:row>121</xdr:row>
          <xdr:rowOff>866</xdr:rowOff>
        </xdr:to>
        <xdr:sp macro="" textlink="">
          <xdr:nvSpPr>
            <xdr:cNvPr id="1560" name="Check Box 536"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121</xdr:row>
          <xdr:rowOff>0</xdr:rowOff>
        </xdr:from>
        <xdr:to>
          <xdr:col>3</xdr:col>
          <xdr:colOff>514350</xdr:colOff>
          <xdr:row>122</xdr:row>
          <xdr:rowOff>865</xdr:rowOff>
        </xdr:to>
        <xdr:sp macro="" textlink="">
          <xdr:nvSpPr>
            <xdr:cNvPr id="1561" name="Check Box 537"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122</xdr:row>
          <xdr:rowOff>0</xdr:rowOff>
        </xdr:from>
        <xdr:to>
          <xdr:col>3</xdr:col>
          <xdr:colOff>514350</xdr:colOff>
          <xdr:row>123</xdr:row>
          <xdr:rowOff>866</xdr:rowOff>
        </xdr:to>
        <xdr:sp macro="" textlink="">
          <xdr:nvSpPr>
            <xdr:cNvPr id="1562" name="Check Box 538"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124</xdr:row>
          <xdr:rowOff>0</xdr:rowOff>
        </xdr:from>
        <xdr:to>
          <xdr:col>3</xdr:col>
          <xdr:colOff>514350</xdr:colOff>
          <xdr:row>125</xdr:row>
          <xdr:rowOff>866</xdr:rowOff>
        </xdr:to>
        <xdr:sp macro="" textlink="">
          <xdr:nvSpPr>
            <xdr:cNvPr id="1563" name="Check Box 539"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125</xdr:row>
          <xdr:rowOff>0</xdr:rowOff>
        </xdr:from>
        <xdr:to>
          <xdr:col>3</xdr:col>
          <xdr:colOff>514350</xdr:colOff>
          <xdr:row>126</xdr:row>
          <xdr:rowOff>866</xdr:rowOff>
        </xdr:to>
        <xdr:sp macro="" textlink="">
          <xdr:nvSpPr>
            <xdr:cNvPr id="1564" name="Check Box 540"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126</xdr:row>
          <xdr:rowOff>0</xdr:rowOff>
        </xdr:from>
        <xdr:to>
          <xdr:col>3</xdr:col>
          <xdr:colOff>514350</xdr:colOff>
          <xdr:row>127</xdr:row>
          <xdr:rowOff>866</xdr:rowOff>
        </xdr:to>
        <xdr:sp macro="" textlink="">
          <xdr:nvSpPr>
            <xdr:cNvPr id="1565" name="Check Box 541"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129</xdr:row>
          <xdr:rowOff>0</xdr:rowOff>
        </xdr:from>
        <xdr:to>
          <xdr:col>3</xdr:col>
          <xdr:colOff>514350</xdr:colOff>
          <xdr:row>130</xdr:row>
          <xdr:rowOff>866</xdr:rowOff>
        </xdr:to>
        <xdr:sp macro="" textlink="">
          <xdr:nvSpPr>
            <xdr:cNvPr id="1583" name="Check Box 559"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130</xdr:row>
          <xdr:rowOff>0</xdr:rowOff>
        </xdr:from>
        <xdr:to>
          <xdr:col>3</xdr:col>
          <xdr:colOff>514350</xdr:colOff>
          <xdr:row>131</xdr:row>
          <xdr:rowOff>866</xdr:rowOff>
        </xdr:to>
        <xdr:sp macro="" textlink="">
          <xdr:nvSpPr>
            <xdr:cNvPr id="1584" name="Check Box 560"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131</xdr:row>
          <xdr:rowOff>0</xdr:rowOff>
        </xdr:from>
        <xdr:to>
          <xdr:col>3</xdr:col>
          <xdr:colOff>514350</xdr:colOff>
          <xdr:row>132</xdr:row>
          <xdr:rowOff>866</xdr:rowOff>
        </xdr:to>
        <xdr:sp macro="" textlink="">
          <xdr:nvSpPr>
            <xdr:cNvPr id="1585" name="Check Box 561"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132</xdr:row>
          <xdr:rowOff>0</xdr:rowOff>
        </xdr:from>
        <xdr:to>
          <xdr:col>3</xdr:col>
          <xdr:colOff>514350</xdr:colOff>
          <xdr:row>133</xdr:row>
          <xdr:rowOff>866</xdr:rowOff>
        </xdr:to>
        <xdr:sp macro="" textlink="">
          <xdr:nvSpPr>
            <xdr:cNvPr id="1586" name="Check Box 562"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133</xdr:row>
          <xdr:rowOff>0</xdr:rowOff>
        </xdr:from>
        <xdr:to>
          <xdr:col>3</xdr:col>
          <xdr:colOff>514350</xdr:colOff>
          <xdr:row>134</xdr:row>
          <xdr:rowOff>866</xdr:rowOff>
        </xdr:to>
        <xdr:sp macro="" textlink="">
          <xdr:nvSpPr>
            <xdr:cNvPr id="1587" name="Check Box 563"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134</xdr:row>
          <xdr:rowOff>0</xdr:rowOff>
        </xdr:from>
        <xdr:to>
          <xdr:col>3</xdr:col>
          <xdr:colOff>514350</xdr:colOff>
          <xdr:row>135</xdr:row>
          <xdr:rowOff>866</xdr:rowOff>
        </xdr:to>
        <xdr:sp macro="" textlink="">
          <xdr:nvSpPr>
            <xdr:cNvPr id="1588" name="Check Box 564"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135</xdr:row>
          <xdr:rowOff>0</xdr:rowOff>
        </xdr:from>
        <xdr:to>
          <xdr:col>3</xdr:col>
          <xdr:colOff>514350</xdr:colOff>
          <xdr:row>136</xdr:row>
          <xdr:rowOff>866</xdr:rowOff>
        </xdr:to>
        <xdr:sp macro="" textlink="">
          <xdr:nvSpPr>
            <xdr:cNvPr id="1589" name="Check Box 565"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136</xdr:row>
          <xdr:rowOff>0</xdr:rowOff>
        </xdr:from>
        <xdr:to>
          <xdr:col>3</xdr:col>
          <xdr:colOff>514350</xdr:colOff>
          <xdr:row>137</xdr:row>
          <xdr:rowOff>866</xdr:rowOff>
        </xdr:to>
        <xdr:sp macro="" textlink="">
          <xdr:nvSpPr>
            <xdr:cNvPr id="1590" name="Check Box 566"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137</xdr:row>
          <xdr:rowOff>0</xdr:rowOff>
        </xdr:from>
        <xdr:to>
          <xdr:col>3</xdr:col>
          <xdr:colOff>514350</xdr:colOff>
          <xdr:row>138</xdr:row>
          <xdr:rowOff>866</xdr:rowOff>
        </xdr:to>
        <xdr:sp macro="" textlink="">
          <xdr:nvSpPr>
            <xdr:cNvPr id="1591" name="Check Box 567"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138</xdr:row>
          <xdr:rowOff>0</xdr:rowOff>
        </xdr:from>
        <xdr:to>
          <xdr:col>3</xdr:col>
          <xdr:colOff>514350</xdr:colOff>
          <xdr:row>139</xdr:row>
          <xdr:rowOff>865</xdr:rowOff>
        </xdr:to>
        <xdr:sp macro="" textlink="">
          <xdr:nvSpPr>
            <xdr:cNvPr id="1592" name="Check Box 568"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139</xdr:row>
          <xdr:rowOff>0</xdr:rowOff>
        </xdr:from>
        <xdr:to>
          <xdr:col>3</xdr:col>
          <xdr:colOff>514350</xdr:colOff>
          <xdr:row>140</xdr:row>
          <xdr:rowOff>866</xdr:rowOff>
        </xdr:to>
        <xdr:sp macro="" textlink="">
          <xdr:nvSpPr>
            <xdr:cNvPr id="1593" name="Check Box 569"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140</xdr:row>
          <xdr:rowOff>0</xdr:rowOff>
        </xdr:from>
        <xdr:to>
          <xdr:col>3</xdr:col>
          <xdr:colOff>514350</xdr:colOff>
          <xdr:row>141</xdr:row>
          <xdr:rowOff>866</xdr:rowOff>
        </xdr:to>
        <xdr:sp macro="" textlink="">
          <xdr:nvSpPr>
            <xdr:cNvPr id="1594" name="Check Box 570"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145</xdr:row>
          <xdr:rowOff>0</xdr:rowOff>
        </xdr:from>
        <xdr:to>
          <xdr:col>3</xdr:col>
          <xdr:colOff>514350</xdr:colOff>
          <xdr:row>146</xdr:row>
          <xdr:rowOff>866</xdr:rowOff>
        </xdr:to>
        <xdr:sp macro="" textlink="">
          <xdr:nvSpPr>
            <xdr:cNvPr id="1595" name="Check Box 571"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146</xdr:row>
          <xdr:rowOff>0</xdr:rowOff>
        </xdr:from>
        <xdr:to>
          <xdr:col>3</xdr:col>
          <xdr:colOff>514350</xdr:colOff>
          <xdr:row>147</xdr:row>
          <xdr:rowOff>866</xdr:rowOff>
        </xdr:to>
        <xdr:sp macro="" textlink="">
          <xdr:nvSpPr>
            <xdr:cNvPr id="1596" name="Check Box 572"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147</xdr:row>
          <xdr:rowOff>0</xdr:rowOff>
        </xdr:from>
        <xdr:to>
          <xdr:col>3</xdr:col>
          <xdr:colOff>514350</xdr:colOff>
          <xdr:row>148</xdr:row>
          <xdr:rowOff>866</xdr:rowOff>
        </xdr:to>
        <xdr:sp macro="" textlink="">
          <xdr:nvSpPr>
            <xdr:cNvPr id="1597" name="Check Box 573"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148</xdr:row>
          <xdr:rowOff>0</xdr:rowOff>
        </xdr:from>
        <xdr:to>
          <xdr:col>3</xdr:col>
          <xdr:colOff>514350</xdr:colOff>
          <xdr:row>149</xdr:row>
          <xdr:rowOff>866</xdr:rowOff>
        </xdr:to>
        <xdr:sp macro="" textlink="">
          <xdr:nvSpPr>
            <xdr:cNvPr id="1598" name="Check Box 574"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17</xdr:row>
          <xdr:rowOff>0</xdr:rowOff>
        </xdr:from>
        <xdr:to>
          <xdr:col>3</xdr:col>
          <xdr:colOff>514350</xdr:colOff>
          <xdr:row>18</xdr:row>
          <xdr:rowOff>866</xdr:rowOff>
        </xdr:to>
        <xdr:sp macro="" textlink="">
          <xdr:nvSpPr>
            <xdr:cNvPr id="1601" name="Check Box 577" descr="Ydelse 101&#10;"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39</xdr:row>
          <xdr:rowOff>0</xdr:rowOff>
        </xdr:from>
        <xdr:to>
          <xdr:col>3</xdr:col>
          <xdr:colOff>514350</xdr:colOff>
          <xdr:row>40</xdr:row>
          <xdr:rowOff>19916</xdr:rowOff>
        </xdr:to>
        <xdr:sp macro="" textlink="">
          <xdr:nvSpPr>
            <xdr:cNvPr id="1603" name="Check Box 579" descr="&#10;"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41</xdr:row>
          <xdr:rowOff>0</xdr:rowOff>
        </xdr:from>
        <xdr:to>
          <xdr:col>3</xdr:col>
          <xdr:colOff>514350</xdr:colOff>
          <xdr:row>42</xdr:row>
          <xdr:rowOff>19916</xdr:rowOff>
        </xdr:to>
        <xdr:sp macro="" textlink="">
          <xdr:nvSpPr>
            <xdr:cNvPr id="1604" name="Check Box 580" descr="&#10;"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42</xdr:row>
          <xdr:rowOff>0</xdr:rowOff>
        </xdr:from>
        <xdr:to>
          <xdr:col>3</xdr:col>
          <xdr:colOff>514350</xdr:colOff>
          <xdr:row>43</xdr:row>
          <xdr:rowOff>19916</xdr:rowOff>
        </xdr:to>
        <xdr:sp macro="" textlink="">
          <xdr:nvSpPr>
            <xdr:cNvPr id="1605" name="Check Box 581" descr="&#1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69</xdr:row>
          <xdr:rowOff>0</xdr:rowOff>
        </xdr:from>
        <xdr:to>
          <xdr:col>3</xdr:col>
          <xdr:colOff>514350</xdr:colOff>
          <xdr:row>70</xdr:row>
          <xdr:rowOff>19916</xdr:rowOff>
        </xdr:to>
        <xdr:sp macro="" textlink="">
          <xdr:nvSpPr>
            <xdr:cNvPr id="1606" name="Check Box 582"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52</xdr:row>
          <xdr:rowOff>0</xdr:rowOff>
        </xdr:from>
        <xdr:to>
          <xdr:col>3</xdr:col>
          <xdr:colOff>514350</xdr:colOff>
          <xdr:row>53</xdr:row>
          <xdr:rowOff>866</xdr:rowOff>
        </xdr:to>
        <xdr:sp macro="" textlink="">
          <xdr:nvSpPr>
            <xdr:cNvPr id="1607" name="Check Box 583"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53</xdr:row>
          <xdr:rowOff>0</xdr:rowOff>
        </xdr:from>
        <xdr:to>
          <xdr:col>3</xdr:col>
          <xdr:colOff>514350</xdr:colOff>
          <xdr:row>54</xdr:row>
          <xdr:rowOff>11257</xdr:rowOff>
        </xdr:to>
        <xdr:sp macro="" textlink="">
          <xdr:nvSpPr>
            <xdr:cNvPr id="1608" name="Check Box 584"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54</xdr:row>
          <xdr:rowOff>0</xdr:rowOff>
        </xdr:from>
        <xdr:to>
          <xdr:col>3</xdr:col>
          <xdr:colOff>514350</xdr:colOff>
          <xdr:row>54</xdr:row>
          <xdr:rowOff>333375</xdr:rowOff>
        </xdr:to>
        <xdr:sp macro="" textlink="">
          <xdr:nvSpPr>
            <xdr:cNvPr id="1609" name="Check Box 585"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75</xdr:row>
          <xdr:rowOff>0</xdr:rowOff>
        </xdr:from>
        <xdr:to>
          <xdr:col>3</xdr:col>
          <xdr:colOff>514350</xdr:colOff>
          <xdr:row>76</xdr:row>
          <xdr:rowOff>866</xdr:rowOff>
        </xdr:to>
        <xdr:sp macro="" textlink="">
          <xdr:nvSpPr>
            <xdr:cNvPr id="1610" name="Check Box 586"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82</xdr:row>
          <xdr:rowOff>0</xdr:rowOff>
        </xdr:from>
        <xdr:to>
          <xdr:col>3</xdr:col>
          <xdr:colOff>514350</xdr:colOff>
          <xdr:row>83</xdr:row>
          <xdr:rowOff>19916</xdr:rowOff>
        </xdr:to>
        <xdr:sp macro="" textlink="">
          <xdr:nvSpPr>
            <xdr:cNvPr id="1611" name="Check Box 587"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91</xdr:row>
          <xdr:rowOff>0</xdr:rowOff>
        </xdr:from>
        <xdr:to>
          <xdr:col>3</xdr:col>
          <xdr:colOff>514350</xdr:colOff>
          <xdr:row>92</xdr:row>
          <xdr:rowOff>19916</xdr:rowOff>
        </xdr:to>
        <xdr:sp macro="" textlink="">
          <xdr:nvSpPr>
            <xdr:cNvPr id="1612" name="Check Box 588"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92</xdr:row>
          <xdr:rowOff>0</xdr:rowOff>
        </xdr:from>
        <xdr:to>
          <xdr:col>3</xdr:col>
          <xdr:colOff>514350</xdr:colOff>
          <xdr:row>93</xdr:row>
          <xdr:rowOff>19916</xdr:rowOff>
        </xdr:to>
        <xdr:sp macro="" textlink="">
          <xdr:nvSpPr>
            <xdr:cNvPr id="1613" name="Check Box 589"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94</xdr:row>
          <xdr:rowOff>0</xdr:rowOff>
        </xdr:from>
        <xdr:to>
          <xdr:col>3</xdr:col>
          <xdr:colOff>514350</xdr:colOff>
          <xdr:row>95</xdr:row>
          <xdr:rowOff>865</xdr:rowOff>
        </xdr:to>
        <xdr:sp macro="" textlink="">
          <xdr:nvSpPr>
            <xdr:cNvPr id="1614" name="Check Box 590"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141</xdr:row>
          <xdr:rowOff>0</xdr:rowOff>
        </xdr:from>
        <xdr:to>
          <xdr:col>3</xdr:col>
          <xdr:colOff>514350</xdr:colOff>
          <xdr:row>142</xdr:row>
          <xdr:rowOff>866</xdr:rowOff>
        </xdr:to>
        <xdr:sp macro="" textlink="">
          <xdr:nvSpPr>
            <xdr:cNvPr id="1616" name="Check Box 592"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142</xdr:row>
          <xdr:rowOff>0</xdr:rowOff>
        </xdr:from>
        <xdr:to>
          <xdr:col>3</xdr:col>
          <xdr:colOff>514350</xdr:colOff>
          <xdr:row>143</xdr:row>
          <xdr:rowOff>866</xdr:rowOff>
        </xdr:to>
        <xdr:sp macro="" textlink="">
          <xdr:nvSpPr>
            <xdr:cNvPr id="1617" name="Check Box 593"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143</xdr:row>
          <xdr:rowOff>0</xdr:rowOff>
        </xdr:from>
        <xdr:to>
          <xdr:col>3</xdr:col>
          <xdr:colOff>514350</xdr:colOff>
          <xdr:row>144</xdr:row>
          <xdr:rowOff>866</xdr:rowOff>
        </xdr:to>
        <xdr:sp macro="" textlink="">
          <xdr:nvSpPr>
            <xdr:cNvPr id="1618" name="Check Box 594"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144</xdr:row>
          <xdr:rowOff>0</xdr:rowOff>
        </xdr:from>
        <xdr:to>
          <xdr:col>3</xdr:col>
          <xdr:colOff>514350</xdr:colOff>
          <xdr:row>145</xdr:row>
          <xdr:rowOff>866</xdr:rowOff>
        </xdr:to>
        <xdr:sp macro="" textlink="">
          <xdr:nvSpPr>
            <xdr:cNvPr id="1619" name="Check Box 595"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89</xdr:row>
          <xdr:rowOff>0</xdr:rowOff>
        </xdr:from>
        <xdr:to>
          <xdr:col>3</xdr:col>
          <xdr:colOff>514350</xdr:colOff>
          <xdr:row>90</xdr:row>
          <xdr:rowOff>19916</xdr:rowOff>
        </xdr:to>
        <xdr:sp macro="" textlink="">
          <xdr:nvSpPr>
            <xdr:cNvPr id="1620" name="Check Box 596"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89</xdr:row>
          <xdr:rowOff>0</xdr:rowOff>
        </xdr:from>
        <xdr:to>
          <xdr:col>3</xdr:col>
          <xdr:colOff>514350</xdr:colOff>
          <xdr:row>90</xdr:row>
          <xdr:rowOff>19916</xdr:rowOff>
        </xdr:to>
        <xdr:sp macro="" textlink="">
          <xdr:nvSpPr>
            <xdr:cNvPr id="1621" name="Check Box 597"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133</xdr:row>
          <xdr:rowOff>0</xdr:rowOff>
        </xdr:from>
        <xdr:to>
          <xdr:col>3</xdr:col>
          <xdr:colOff>514350</xdr:colOff>
          <xdr:row>134</xdr:row>
          <xdr:rowOff>866</xdr:rowOff>
        </xdr:to>
        <xdr:sp macro="" textlink="">
          <xdr:nvSpPr>
            <xdr:cNvPr id="1622" name="Check Box 598"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134</xdr:row>
          <xdr:rowOff>0</xdr:rowOff>
        </xdr:from>
        <xdr:to>
          <xdr:col>3</xdr:col>
          <xdr:colOff>514350</xdr:colOff>
          <xdr:row>135</xdr:row>
          <xdr:rowOff>866</xdr:rowOff>
        </xdr:to>
        <xdr:sp macro="" textlink="">
          <xdr:nvSpPr>
            <xdr:cNvPr id="1623" name="Check Box 599"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135</xdr:row>
          <xdr:rowOff>0</xdr:rowOff>
        </xdr:from>
        <xdr:to>
          <xdr:col>3</xdr:col>
          <xdr:colOff>514350</xdr:colOff>
          <xdr:row>136</xdr:row>
          <xdr:rowOff>866</xdr:rowOff>
        </xdr:to>
        <xdr:sp macro="" textlink="">
          <xdr:nvSpPr>
            <xdr:cNvPr id="1624" name="Check Box 600"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136</xdr:row>
          <xdr:rowOff>0</xdr:rowOff>
        </xdr:from>
        <xdr:to>
          <xdr:col>3</xdr:col>
          <xdr:colOff>514350</xdr:colOff>
          <xdr:row>137</xdr:row>
          <xdr:rowOff>866</xdr:rowOff>
        </xdr:to>
        <xdr:sp macro="" textlink="">
          <xdr:nvSpPr>
            <xdr:cNvPr id="1625" name="Check Box 601"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137</xdr:row>
          <xdr:rowOff>0</xdr:rowOff>
        </xdr:from>
        <xdr:to>
          <xdr:col>3</xdr:col>
          <xdr:colOff>514350</xdr:colOff>
          <xdr:row>138</xdr:row>
          <xdr:rowOff>866</xdr:rowOff>
        </xdr:to>
        <xdr:sp macro="" textlink="">
          <xdr:nvSpPr>
            <xdr:cNvPr id="1626" name="Check Box 602"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138</xdr:row>
          <xdr:rowOff>0</xdr:rowOff>
        </xdr:from>
        <xdr:to>
          <xdr:col>3</xdr:col>
          <xdr:colOff>514350</xdr:colOff>
          <xdr:row>139</xdr:row>
          <xdr:rowOff>865</xdr:rowOff>
        </xdr:to>
        <xdr:sp macro="" textlink="">
          <xdr:nvSpPr>
            <xdr:cNvPr id="1627" name="Check Box 603"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139</xdr:row>
          <xdr:rowOff>0</xdr:rowOff>
        </xdr:from>
        <xdr:to>
          <xdr:col>3</xdr:col>
          <xdr:colOff>514350</xdr:colOff>
          <xdr:row>140</xdr:row>
          <xdr:rowOff>866</xdr:rowOff>
        </xdr:to>
        <xdr:sp macro="" textlink="">
          <xdr:nvSpPr>
            <xdr:cNvPr id="1628" name="Check Box 604"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140</xdr:row>
          <xdr:rowOff>0</xdr:rowOff>
        </xdr:from>
        <xdr:to>
          <xdr:col>3</xdr:col>
          <xdr:colOff>514350</xdr:colOff>
          <xdr:row>141</xdr:row>
          <xdr:rowOff>866</xdr:rowOff>
        </xdr:to>
        <xdr:sp macro="" textlink="">
          <xdr:nvSpPr>
            <xdr:cNvPr id="1629" name="Check Box 605"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141</xdr:row>
          <xdr:rowOff>0</xdr:rowOff>
        </xdr:from>
        <xdr:to>
          <xdr:col>3</xdr:col>
          <xdr:colOff>514350</xdr:colOff>
          <xdr:row>142</xdr:row>
          <xdr:rowOff>866</xdr:rowOff>
        </xdr:to>
        <xdr:sp macro="" textlink="">
          <xdr:nvSpPr>
            <xdr:cNvPr id="1630" name="Check Box 606"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142</xdr:row>
          <xdr:rowOff>0</xdr:rowOff>
        </xdr:from>
        <xdr:to>
          <xdr:col>3</xdr:col>
          <xdr:colOff>514350</xdr:colOff>
          <xdr:row>143</xdr:row>
          <xdr:rowOff>866</xdr:rowOff>
        </xdr:to>
        <xdr:sp macro="" textlink="">
          <xdr:nvSpPr>
            <xdr:cNvPr id="1631" name="Check Box 607"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143</xdr:row>
          <xdr:rowOff>0</xdr:rowOff>
        </xdr:from>
        <xdr:to>
          <xdr:col>3</xdr:col>
          <xdr:colOff>514350</xdr:colOff>
          <xdr:row>144</xdr:row>
          <xdr:rowOff>866</xdr:rowOff>
        </xdr:to>
        <xdr:sp macro="" textlink="">
          <xdr:nvSpPr>
            <xdr:cNvPr id="1632" name="Check Box 608"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144</xdr:row>
          <xdr:rowOff>0</xdr:rowOff>
        </xdr:from>
        <xdr:to>
          <xdr:col>3</xdr:col>
          <xdr:colOff>514350</xdr:colOff>
          <xdr:row>145</xdr:row>
          <xdr:rowOff>866</xdr:rowOff>
        </xdr:to>
        <xdr:sp macro="" textlink="">
          <xdr:nvSpPr>
            <xdr:cNvPr id="1633" name="Check Box 609"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145</xdr:row>
          <xdr:rowOff>0</xdr:rowOff>
        </xdr:from>
        <xdr:to>
          <xdr:col>3</xdr:col>
          <xdr:colOff>514350</xdr:colOff>
          <xdr:row>146</xdr:row>
          <xdr:rowOff>866</xdr:rowOff>
        </xdr:to>
        <xdr:sp macro="" textlink="">
          <xdr:nvSpPr>
            <xdr:cNvPr id="1634" name="Check Box 610"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146</xdr:row>
          <xdr:rowOff>0</xdr:rowOff>
        </xdr:from>
        <xdr:to>
          <xdr:col>3</xdr:col>
          <xdr:colOff>514350</xdr:colOff>
          <xdr:row>147</xdr:row>
          <xdr:rowOff>866</xdr:rowOff>
        </xdr:to>
        <xdr:sp macro="" textlink="">
          <xdr:nvSpPr>
            <xdr:cNvPr id="1635" name="Check Box 611"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147</xdr:row>
          <xdr:rowOff>0</xdr:rowOff>
        </xdr:from>
        <xdr:to>
          <xdr:col>3</xdr:col>
          <xdr:colOff>514350</xdr:colOff>
          <xdr:row>148</xdr:row>
          <xdr:rowOff>866</xdr:rowOff>
        </xdr:to>
        <xdr:sp macro="" textlink="">
          <xdr:nvSpPr>
            <xdr:cNvPr id="1636" name="Check Box 612"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148</xdr:row>
          <xdr:rowOff>0</xdr:rowOff>
        </xdr:from>
        <xdr:to>
          <xdr:col>3</xdr:col>
          <xdr:colOff>514350</xdr:colOff>
          <xdr:row>149</xdr:row>
          <xdr:rowOff>866</xdr:rowOff>
        </xdr:to>
        <xdr:sp macro="" textlink="">
          <xdr:nvSpPr>
            <xdr:cNvPr id="1637" name="Check Box 613"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43</xdr:row>
          <xdr:rowOff>0</xdr:rowOff>
        </xdr:from>
        <xdr:to>
          <xdr:col>3</xdr:col>
          <xdr:colOff>514350</xdr:colOff>
          <xdr:row>44</xdr:row>
          <xdr:rowOff>19916</xdr:rowOff>
        </xdr:to>
        <xdr:sp macro="" textlink="">
          <xdr:nvSpPr>
            <xdr:cNvPr id="1639" name="Check Box 615" descr="&#10;"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44</xdr:row>
          <xdr:rowOff>0</xdr:rowOff>
        </xdr:from>
        <xdr:to>
          <xdr:col>3</xdr:col>
          <xdr:colOff>514350</xdr:colOff>
          <xdr:row>45</xdr:row>
          <xdr:rowOff>19916</xdr:rowOff>
        </xdr:to>
        <xdr:sp macro="" textlink="">
          <xdr:nvSpPr>
            <xdr:cNvPr id="1640" name="Check Box 616" descr="&#10;"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38" Type="http://schemas.openxmlformats.org/officeDocument/2006/relationships/ctrlProp" Target="../ctrlProps/ctrlProp135.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28" Type="http://schemas.openxmlformats.org/officeDocument/2006/relationships/ctrlProp" Target="../ctrlProps/ctrlProp125.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trlProp" Target="../ctrlProps/ctrlProp115.xml"/><Relationship Id="rId134" Type="http://schemas.openxmlformats.org/officeDocument/2006/relationships/ctrlProp" Target="../ctrlProps/ctrlProp131.xml"/><Relationship Id="rId139" Type="http://schemas.openxmlformats.org/officeDocument/2006/relationships/ctrlProp" Target="../ctrlProps/ctrlProp136.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116" Type="http://schemas.openxmlformats.org/officeDocument/2006/relationships/ctrlProp" Target="../ctrlProps/ctrlProp113.xml"/><Relationship Id="rId124" Type="http://schemas.openxmlformats.org/officeDocument/2006/relationships/ctrlProp" Target="../ctrlProps/ctrlProp121.xml"/><Relationship Id="rId129" Type="http://schemas.openxmlformats.org/officeDocument/2006/relationships/ctrlProp" Target="../ctrlProps/ctrlProp126.xml"/><Relationship Id="rId137" Type="http://schemas.openxmlformats.org/officeDocument/2006/relationships/ctrlProp" Target="../ctrlProps/ctrlProp13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32" Type="http://schemas.openxmlformats.org/officeDocument/2006/relationships/ctrlProp" Target="../ctrlProps/ctrlProp129.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14" Type="http://schemas.openxmlformats.org/officeDocument/2006/relationships/ctrlProp" Target="../ctrlProps/ctrlProp111.xml"/><Relationship Id="rId119" Type="http://schemas.openxmlformats.org/officeDocument/2006/relationships/ctrlProp" Target="../ctrlProps/ctrlProp116.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30" Type="http://schemas.openxmlformats.org/officeDocument/2006/relationships/ctrlProp" Target="../ctrlProps/ctrlProp127.xml"/><Relationship Id="rId135" Type="http://schemas.openxmlformats.org/officeDocument/2006/relationships/ctrlProp" Target="../ctrlProps/ctrlProp132.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pageSetUpPr fitToPage="1"/>
  </sheetPr>
  <dimension ref="A1:L174"/>
  <sheetViews>
    <sheetView tabSelected="1" zoomScale="110" zoomScaleNormal="110" workbookViewId="0">
      <pane ySplit="3" topLeftCell="A4" activePane="bottomLeft" state="frozen"/>
      <selection activeCell="L4" sqref="L4"/>
      <selection pane="bottomLeft" activeCell="H32" sqref="H32"/>
    </sheetView>
  </sheetViews>
  <sheetFormatPr defaultColWidth="10.7109375" defaultRowHeight="15" outlineLevelRow="2" x14ac:dyDescent="0.25"/>
  <cols>
    <col min="1" max="1" width="15.7109375" style="16" bestFit="1" customWidth="1"/>
    <col min="2" max="2" width="19.7109375" style="16" customWidth="1"/>
    <col min="3" max="3" width="64.7109375" style="16" customWidth="1"/>
    <col min="4" max="4" width="8" style="54" bestFit="1" customWidth="1"/>
    <col min="5" max="5" width="17.85546875" style="12" bestFit="1" customWidth="1"/>
    <col min="6" max="6" width="16.28515625" style="12" bestFit="1" customWidth="1"/>
    <col min="7" max="7" width="12.28515625" style="25" bestFit="1" customWidth="1"/>
    <col min="8" max="8" width="22.5703125" style="37" bestFit="1" customWidth="1"/>
    <col min="9" max="9" width="15" style="15" bestFit="1" customWidth="1"/>
    <col min="10" max="10" width="16.28515625" style="15" bestFit="1" customWidth="1"/>
    <col min="11" max="11" width="2.85546875" style="16" customWidth="1"/>
    <col min="12" max="12" width="22.5703125" style="15" bestFit="1" customWidth="1"/>
    <col min="13" max="16384" width="10.7109375" style="16"/>
  </cols>
  <sheetData>
    <row r="1" spans="1:12" ht="15.75" thickBot="1" x14ac:dyDescent="0.3">
      <c r="A1" s="249" t="str">
        <f>Støtteark!$A$1</f>
        <v>SLA</v>
      </c>
      <c r="B1" s="249" t="str">
        <f>Støtteark!$B$1</f>
        <v>v. 1.3</v>
      </c>
      <c r="C1" s="249"/>
      <c r="D1" s="250" t="str">
        <f>Støtteark!$C$1</f>
        <v>Init</v>
      </c>
      <c r="E1" s="12" t="s">
        <v>93</v>
      </c>
      <c r="F1" s="250" t="str">
        <f>Støtteark!$C$4</f>
        <v>Kundenr.</v>
      </c>
      <c r="G1" s="250" t="str">
        <f>Støtteark!$C$5</f>
        <v>Ejendom</v>
      </c>
      <c r="H1" s="249" t="str">
        <f>Støtteark!$C$6</f>
        <v>Navn</v>
      </c>
      <c r="I1" s="249" t="str">
        <f>Støtteark!$C$7</f>
        <v>Adresse</v>
      </c>
      <c r="J1" s="249" t="str">
        <f>Støtteark!$C$8&amp;" "&amp;Støtteark!$C$9</f>
        <v>Postnr. By</v>
      </c>
      <c r="K1" s="249"/>
      <c r="L1" s="251">
        <f ca="1">Støtteark!C2</f>
        <v>44022</v>
      </c>
    </row>
    <row r="2" spans="1:12" ht="30" customHeight="1" thickBot="1" x14ac:dyDescent="0.3">
      <c r="A2" s="42"/>
      <c r="B2" s="9"/>
      <c r="C2" s="9"/>
      <c r="G2" s="27"/>
      <c r="H2" s="38"/>
      <c r="I2" s="17"/>
      <c r="J2" s="17"/>
      <c r="K2" s="18"/>
      <c r="L2" s="17"/>
    </row>
    <row r="3" spans="1:12" s="50" customFormat="1" ht="15.75" thickBot="1" x14ac:dyDescent="0.3">
      <c r="A3" s="249" t="str">
        <f>Ydelser!A3</f>
        <v>Nr.</v>
      </c>
      <c r="B3" s="249" t="str">
        <f>Ydelser!B3</f>
        <v>Gruppe</v>
      </c>
      <c r="C3" s="249" t="str">
        <f>Ydelser!C3</f>
        <v>Ydelse</v>
      </c>
      <c r="D3" s="250" t="s">
        <v>271</v>
      </c>
      <c r="E3" s="250" t="s">
        <v>355</v>
      </c>
      <c r="F3" s="250" t="s">
        <v>237</v>
      </c>
      <c r="G3" s="250" t="s">
        <v>89</v>
      </c>
      <c r="H3" s="249" t="s">
        <v>136</v>
      </c>
      <c r="I3" s="249" t="s">
        <v>90</v>
      </c>
      <c r="J3" s="249" t="s">
        <v>91</v>
      </c>
      <c r="K3" s="249"/>
      <c r="L3" s="249" t="s">
        <v>92</v>
      </c>
    </row>
    <row r="4" spans="1:12" ht="15.75" thickBot="1" x14ac:dyDescent="0.3">
      <c r="A4" s="9" t="s">
        <v>93</v>
      </c>
      <c r="B4" s="9"/>
      <c r="C4" s="9"/>
    </row>
    <row r="5" spans="1:12" ht="26.25" outlineLevel="1" thickBot="1" x14ac:dyDescent="0.3">
      <c r="A5" s="29">
        <f>Ydelser!A5</f>
        <v>100</v>
      </c>
      <c r="B5" s="7" t="str">
        <f>Ydelser!B5</f>
        <v>Tilsyn, drift og kvalitetssikring</v>
      </c>
      <c r="C5" s="51"/>
      <c r="D5" s="51"/>
      <c r="E5" s="51"/>
      <c r="F5" s="51"/>
      <c r="G5" s="51"/>
      <c r="H5" s="51"/>
      <c r="I5" s="51"/>
      <c r="J5" s="51"/>
      <c r="K5" s="51"/>
      <c r="L5" s="51"/>
    </row>
    <row r="6" spans="1:12" ht="15.75" outlineLevel="2" thickBot="1" x14ac:dyDescent="0.3">
      <c r="A6" s="30">
        <f>Ydelser!A6</f>
        <v>101</v>
      </c>
      <c r="B6" s="5"/>
      <c r="C6" s="4" t="str">
        <f>Ydelser!C6</f>
        <v>Håndtering af forsikrings- og skadesager</v>
      </c>
      <c r="D6" s="53" t="b">
        <v>0</v>
      </c>
      <c r="E6" s="12" t="s">
        <v>283</v>
      </c>
      <c r="F6" s="12">
        <v>0</v>
      </c>
      <c r="G6" s="25">
        <v>1</v>
      </c>
      <c r="H6" s="37" t="s">
        <v>84</v>
      </c>
      <c r="I6" s="21" t="str">
        <f>IF(D6,F6*G6*VLOOKUP(H6,Støtteark!$E$4:$F$20,2,FALSE),"")</f>
        <v/>
      </c>
    </row>
    <row r="7" spans="1:12" ht="15.75" outlineLevel="2" thickBot="1" x14ac:dyDescent="0.3">
      <c r="A7" s="30">
        <f>Ydelser!A7</f>
        <v>102</v>
      </c>
      <c r="B7" s="5"/>
      <c r="C7" s="4" t="str">
        <f>Ydelser!C7</f>
        <v>Håndtering af mindre byggesager</v>
      </c>
      <c r="D7" s="53" t="b">
        <v>0</v>
      </c>
      <c r="E7" s="12" t="s">
        <v>283</v>
      </c>
      <c r="F7" s="12">
        <v>0</v>
      </c>
      <c r="G7" s="25">
        <v>1</v>
      </c>
      <c r="H7" s="37" t="s">
        <v>84</v>
      </c>
      <c r="I7" s="21" t="str">
        <f>IF(D7,F7*G7*VLOOKUP(H7,Støtteark!$E$4:$F$20,2,FALSE),"")</f>
        <v/>
      </c>
    </row>
    <row r="8" spans="1:12" ht="15.75" outlineLevel="2" thickBot="1" x14ac:dyDescent="0.3">
      <c r="A8" s="30">
        <f>Ydelser!A8</f>
        <v>103</v>
      </c>
      <c r="B8" s="5"/>
      <c r="C8" s="4" t="str">
        <f>Ydelser!C8</f>
        <v>Deltagelse i møder ud over driftsmøder</v>
      </c>
      <c r="D8" s="53" t="b">
        <v>0</v>
      </c>
      <c r="E8" s="13" t="s">
        <v>283</v>
      </c>
      <c r="F8" s="14">
        <v>0</v>
      </c>
      <c r="G8" s="28">
        <v>1</v>
      </c>
      <c r="H8" s="135" t="s">
        <v>84</v>
      </c>
      <c r="I8" s="19" t="str">
        <f>IF(D8,F8*G8*VLOOKUP(H8,Støtteark!$E$4:$F$20,2,FALSE),"")</f>
        <v/>
      </c>
    </row>
    <row r="9" spans="1:12" ht="15.75" outlineLevel="1" thickBot="1" x14ac:dyDescent="0.3">
      <c r="A9" s="31"/>
      <c r="B9" s="1"/>
      <c r="C9" s="2"/>
      <c r="G9" s="12"/>
      <c r="H9" s="12"/>
      <c r="J9" s="20">
        <f>SUM(I5:I8)</f>
        <v>0</v>
      </c>
    </row>
    <row r="10" spans="1:12" ht="15.75" outlineLevel="1" thickBot="1" x14ac:dyDescent="0.3">
      <c r="A10" s="29">
        <f>Ydelser!A10</f>
        <v>200</v>
      </c>
      <c r="B10" s="7" t="str">
        <f>Ydelser!B10</f>
        <v>Service Center</v>
      </c>
      <c r="C10" s="51"/>
      <c r="D10" s="51"/>
      <c r="E10" s="51"/>
      <c r="F10" s="51"/>
      <c r="G10" s="51"/>
      <c r="H10" s="51"/>
      <c r="I10" s="51"/>
      <c r="J10" s="51"/>
      <c r="K10" s="51"/>
      <c r="L10" s="51"/>
    </row>
    <row r="11" spans="1:12" ht="15.75" outlineLevel="2" thickBot="1" x14ac:dyDescent="0.3">
      <c r="A11" s="30">
        <f>Ydelser!A11</f>
        <v>201</v>
      </c>
      <c r="B11" s="5"/>
      <c r="C11" s="3" t="str">
        <f>Ydelser!C11</f>
        <v>Telefon og mail</v>
      </c>
      <c r="D11" s="53" t="b">
        <v>1</v>
      </c>
      <c r="E11" s="12" t="s">
        <v>376</v>
      </c>
      <c r="F11" s="12">
        <v>26</v>
      </c>
      <c r="G11" s="25">
        <v>0.5</v>
      </c>
      <c r="H11" s="37" t="s">
        <v>196</v>
      </c>
      <c r="I11" s="21">
        <f>IF(D11,F11*G11*VLOOKUP(H11,Støtteark!$E$4:$F$20,2,FALSE),"")</f>
        <v>9100</v>
      </c>
    </row>
    <row r="12" spans="1:12" ht="15.75" outlineLevel="2" thickBot="1" x14ac:dyDescent="0.3">
      <c r="A12" s="30">
        <f>Ydelser!A12</f>
        <v>202</v>
      </c>
      <c r="B12" s="5"/>
      <c r="C12" s="3" t="str">
        <f>Ydelser!C12</f>
        <v>Bestilling af håndværker</v>
      </c>
      <c r="D12" s="53" t="b">
        <v>1</v>
      </c>
      <c r="E12" s="12" t="s">
        <v>376</v>
      </c>
      <c r="F12" s="12">
        <v>6</v>
      </c>
      <c r="G12" s="25">
        <v>0.5</v>
      </c>
      <c r="H12" s="37" t="s">
        <v>196</v>
      </c>
      <c r="I12" s="21">
        <f>IF(D12,F12*G12*VLOOKUP(H12,Støtteark!$E$4:$F$20,2,FALSE),"")</f>
        <v>2100</v>
      </c>
    </row>
    <row r="13" spans="1:12" ht="15.75" outlineLevel="2" thickBot="1" x14ac:dyDescent="0.3">
      <c r="A13" s="30">
        <f>Ydelser!A13</f>
        <v>203</v>
      </c>
      <c r="B13" s="5"/>
      <c r="C13" s="3" t="str">
        <f>Ydelser!C13</f>
        <v>Varebestilling</v>
      </c>
      <c r="D13" s="53" t="b">
        <v>1</v>
      </c>
      <c r="E13" s="12" t="s">
        <v>376</v>
      </c>
      <c r="F13" s="12">
        <v>4</v>
      </c>
      <c r="G13" s="25">
        <v>0.5</v>
      </c>
      <c r="H13" s="37" t="s">
        <v>196</v>
      </c>
      <c r="I13" s="21">
        <f>IF(D13,F13*G13*VLOOKUP(H13,Støtteark!$E$4:$F$20,2,FALSE),"")</f>
        <v>1400</v>
      </c>
    </row>
    <row r="14" spans="1:12" ht="15.75" outlineLevel="2" thickBot="1" x14ac:dyDescent="0.3">
      <c r="A14" s="30">
        <f>Ydelser!A14</f>
        <v>204</v>
      </c>
      <c r="B14" s="5"/>
      <c r="C14" s="3" t="str">
        <f>Ydelser!C14</f>
        <v>Anmeldelse og bestilling</v>
      </c>
      <c r="D14" s="53" t="b">
        <v>1</v>
      </c>
      <c r="E14" s="12" t="s">
        <v>376</v>
      </c>
      <c r="F14" s="12">
        <v>2</v>
      </c>
      <c r="G14" s="25">
        <v>0.5</v>
      </c>
      <c r="H14" s="37" t="s">
        <v>196</v>
      </c>
      <c r="I14" s="21">
        <f>IF(D14,F14*G14*VLOOKUP(H14,Støtteark!$E$4:$F$20,2,FALSE),"")</f>
        <v>700</v>
      </c>
    </row>
    <row r="15" spans="1:12" ht="15.75" outlineLevel="2" thickBot="1" x14ac:dyDescent="0.3">
      <c r="A15" s="30">
        <f>Ydelser!A15</f>
        <v>205</v>
      </c>
      <c r="B15" s="5"/>
      <c r="C15" s="3" t="str">
        <f>Ydelser!C15</f>
        <v>Forsikringsanmeldelse</v>
      </c>
      <c r="D15" s="53" t="b">
        <v>1</v>
      </c>
      <c r="E15" s="12" t="s">
        <v>376</v>
      </c>
      <c r="F15" s="12">
        <v>2</v>
      </c>
      <c r="G15" s="25">
        <v>2</v>
      </c>
      <c r="H15" s="37" t="s">
        <v>196</v>
      </c>
      <c r="I15" s="21">
        <f>IF(D15,F15*G15*VLOOKUP(H15,Støtteark!$E$4:$F$20,2,FALSE),"")</f>
        <v>2800</v>
      </c>
    </row>
    <row r="16" spans="1:12" ht="15.75" outlineLevel="2" thickBot="1" x14ac:dyDescent="0.3">
      <c r="A16" s="30">
        <f>Ydelser!A16</f>
        <v>206</v>
      </c>
      <c r="B16" s="5"/>
      <c r="C16" s="3" t="str">
        <f>Ydelser!C16</f>
        <v>Booking af fælleslokaler</v>
      </c>
      <c r="D16" s="53" t="b">
        <v>0</v>
      </c>
      <c r="E16" s="12" t="s">
        <v>376</v>
      </c>
      <c r="F16" s="12">
        <v>52</v>
      </c>
      <c r="G16" s="25">
        <v>0.25</v>
      </c>
      <c r="H16" s="37" t="s">
        <v>196</v>
      </c>
      <c r="I16" s="21" t="str">
        <f>IF(D16,F16*G16*VLOOKUP(H16,Støtteark!$E$4:$F$20,2,FALSE),"")</f>
        <v/>
      </c>
    </row>
    <row r="17" spans="1:12" ht="15.75" outlineLevel="2" thickBot="1" x14ac:dyDescent="0.3">
      <c r="A17" s="30">
        <f>Ydelser!A17</f>
        <v>207</v>
      </c>
      <c r="B17" s="5"/>
      <c r="C17" s="3" t="str">
        <f>Ydelser!C17</f>
        <v>Administration af cykeloprydning</v>
      </c>
      <c r="D17" s="53" t="b">
        <v>1</v>
      </c>
      <c r="E17" s="12" t="s">
        <v>376</v>
      </c>
      <c r="F17" s="12">
        <v>52</v>
      </c>
      <c r="G17" s="25">
        <v>1</v>
      </c>
      <c r="H17" s="37" t="s">
        <v>196</v>
      </c>
      <c r="I17" s="21">
        <f>IF(D17,F17*G17*VLOOKUP(H17,Støtteark!$E$4:$F$20,2,FALSE),"")</f>
        <v>36400</v>
      </c>
    </row>
    <row r="18" spans="1:12" ht="15.75" outlineLevel="2" thickBot="1" x14ac:dyDescent="0.3">
      <c r="A18" s="30">
        <f>Ydelser!A18</f>
        <v>208</v>
      </c>
      <c r="B18" s="5"/>
      <c r="C18" s="3" t="str">
        <f>Ydelser!C18</f>
        <v>Nøgle- og kortadministration</v>
      </c>
      <c r="D18" s="53" t="b">
        <v>0</v>
      </c>
      <c r="E18" s="12" t="s">
        <v>376</v>
      </c>
      <c r="F18" s="12">
        <v>12</v>
      </c>
      <c r="G18" s="25">
        <v>0.5</v>
      </c>
      <c r="H18" s="37" t="s">
        <v>196</v>
      </c>
      <c r="I18" s="21" t="str">
        <f>IF(D18,F18*G18*VLOOKUP(H18,Støtteark!$E$4:$F$20,2,FALSE),"")</f>
        <v/>
      </c>
    </row>
    <row r="19" spans="1:12" ht="15.75" outlineLevel="2" thickBot="1" x14ac:dyDescent="0.3">
      <c r="A19" s="30">
        <f>Ydelser!A19</f>
        <v>209</v>
      </c>
      <c r="B19" s="5"/>
      <c r="C19" s="3" t="str">
        <f>Ydelser!C19</f>
        <v>Leveringsgodkendelse</v>
      </c>
      <c r="D19" s="53" t="b">
        <v>0</v>
      </c>
      <c r="E19" s="13" t="s">
        <v>376</v>
      </c>
      <c r="F19" s="14">
        <v>6</v>
      </c>
      <c r="G19" s="28">
        <v>0.5</v>
      </c>
      <c r="H19" s="135" t="s">
        <v>196</v>
      </c>
      <c r="I19" s="19" t="str">
        <f>IF(D19,F19*G19*VLOOKUP(H19,Støtteark!$E$4:$F$20,2,FALSE),"")</f>
        <v/>
      </c>
    </row>
    <row r="20" spans="1:12" ht="15.75" outlineLevel="1" thickBot="1" x14ac:dyDescent="0.3">
      <c r="A20" s="31"/>
      <c r="B20" s="1"/>
      <c r="C20" s="2"/>
      <c r="J20" s="20">
        <f>SUM(I10:I19)</f>
        <v>52500</v>
      </c>
    </row>
    <row r="21" spans="1:12" ht="15.75" outlineLevel="1" thickBot="1" x14ac:dyDescent="0.3">
      <c r="A21" s="29">
        <f>Ydelser!A21</f>
        <v>300</v>
      </c>
      <c r="B21" s="7" t="str">
        <f>Ydelser!B21</f>
        <v>Blå ydelser</v>
      </c>
      <c r="C21" s="51"/>
      <c r="D21" s="51"/>
      <c r="E21" s="51"/>
      <c r="F21" s="51"/>
      <c r="G21" s="51"/>
      <c r="H21" s="51"/>
      <c r="I21" s="51"/>
      <c r="J21" s="51"/>
      <c r="K21" s="51"/>
      <c r="L21" s="51"/>
    </row>
    <row r="22" spans="1:12" ht="15.75" outlineLevel="2" thickBot="1" x14ac:dyDescent="0.3">
      <c r="A22" s="30">
        <f>Ydelser!A22</f>
        <v>301</v>
      </c>
      <c r="B22" s="5"/>
      <c r="C22" s="3" t="str">
        <f>Ydelser!C22</f>
        <v>Kontortid</v>
      </c>
      <c r="D22" s="53" t="b">
        <v>1</v>
      </c>
      <c r="E22" s="12" t="s">
        <v>301</v>
      </c>
      <c r="F22" s="12">
        <v>52</v>
      </c>
      <c r="G22" s="25">
        <v>1</v>
      </c>
      <c r="H22" s="37" t="s">
        <v>298</v>
      </c>
      <c r="I22" s="21">
        <f>IF(D22,F22*G22*VLOOKUP(H22,Støtteark!$E$4:$F$20,2,FALSE),"")</f>
        <v>20020</v>
      </c>
    </row>
    <row r="23" spans="1:12" ht="15.75" outlineLevel="2" thickBot="1" x14ac:dyDescent="0.3">
      <c r="A23" s="30">
        <f>Ydelser!A23</f>
        <v>302</v>
      </c>
      <c r="B23" s="5"/>
      <c r="C23" s="3" t="str">
        <f>Ydelser!C23</f>
        <v>Beboerservice - Afklaring</v>
      </c>
      <c r="D23" s="53" t="b">
        <v>1</v>
      </c>
      <c r="E23" s="12" t="s">
        <v>376</v>
      </c>
      <c r="F23" s="12">
        <v>52</v>
      </c>
      <c r="G23" s="86">
        <v>0.5</v>
      </c>
      <c r="H23" s="37" t="s">
        <v>298</v>
      </c>
      <c r="I23" s="88">
        <f>IF(D23,F23*G23*VLOOKUP(H23,Støtteark!$E$4:$F$20,2,FALSE),"")</f>
        <v>10010</v>
      </c>
    </row>
    <row r="24" spans="1:12" ht="15.75" outlineLevel="2" thickBot="1" x14ac:dyDescent="0.3">
      <c r="A24" s="30">
        <f>Ydelser!A24</f>
        <v>303</v>
      </c>
      <c r="B24" s="5"/>
      <c r="C24" s="3" t="str">
        <f>Ydelser!C24</f>
        <v>Oplukning og adgang</v>
      </c>
      <c r="D24" s="53" t="b">
        <v>1</v>
      </c>
      <c r="E24" s="12" t="s">
        <v>376</v>
      </c>
      <c r="F24" s="12">
        <v>52</v>
      </c>
      <c r="G24" s="86">
        <v>1</v>
      </c>
      <c r="H24" s="37" t="s">
        <v>298</v>
      </c>
      <c r="I24" s="88">
        <f>IF(D24,F24*G24*VLOOKUP(H24,Støtteark!$E$4:$F$20,2,FALSE),"")</f>
        <v>20020</v>
      </c>
    </row>
    <row r="25" spans="1:12" ht="15.75" outlineLevel="2" thickBot="1" x14ac:dyDescent="0.3">
      <c r="A25" s="30">
        <f>Ydelser!A25</f>
        <v>304</v>
      </c>
      <c r="B25" s="5"/>
      <c r="C25" s="3" t="str">
        <f>Ydelser!C25</f>
        <v>Services for lejere eller ejendom</v>
      </c>
      <c r="D25" s="53" t="b">
        <v>1</v>
      </c>
      <c r="E25" s="12" t="s">
        <v>376</v>
      </c>
      <c r="F25" s="12">
        <v>52</v>
      </c>
      <c r="G25" s="86">
        <v>1</v>
      </c>
      <c r="H25" s="37" t="s">
        <v>298</v>
      </c>
      <c r="I25" s="88">
        <f>IF(D25,F25*G25*VLOOKUP(H25,Støtteark!$E$4:$F$20,2,FALSE),"")</f>
        <v>20020</v>
      </c>
    </row>
    <row r="26" spans="1:12" ht="15.75" outlineLevel="2" thickBot="1" x14ac:dyDescent="0.3">
      <c r="A26" s="30">
        <f>Ydelser!A26</f>
        <v>305</v>
      </c>
      <c r="B26" s="5"/>
      <c r="C26" s="3" t="str">
        <f>Ydelser!C26</f>
        <v>Deltagelse i møder</v>
      </c>
      <c r="D26" s="53" t="b">
        <v>0</v>
      </c>
      <c r="E26" s="12" t="s">
        <v>376</v>
      </c>
      <c r="F26" s="12">
        <v>52</v>
      </c>
      <c r="G26" s="86">
        <v>1</v>
      </c>
      <c r="H26" s="37" t="s">
        <v>298</v>
      </c>
      <c r="I26" s="88" t="str">
        <f>IF(D26,F26*G26*VLOOKUP(H26,Støtteark!$E$4:$F$20,2,FALSE),"")</f>
        <v/>
      </c>
    </row>
    <row r="27" spans="1:12" ht="15.75" outlineLevel="2" thickBot="1" x14ac:dyDescent="0.3">
      <c r="A27" s="30">
        <f>Ydelser!A27</f>
        <v>306</v>
      </c>
      <c r="B27" s="5"/>
      <c r="C27" s="3" t="str">
        <f>Ydelser!C27</f>
        <v>Tilsyn med tomgangslejemål</v>
      </c>
      <c r="D27" s="53" t="b">
        <v>1</v>
      </c>
      <c r="E27" s="12" t="s">
        <v>376</v>
      </c>
      <c r="F27" s="12">
        <v>52</v>
      </c>
      <c r="G27" s="86">
        <v>0.5</v>
      </c>
      <c r="H27" s="37" t="s">
        <v>298</v>
      </c>
      <c r="I27" s="88">
        <f>IF(D27,F27*G27*VLOOKUP(H27,Støtteark!$E$4:$F$20,2,FALSE),"")</f>
        <v>10010</v>
      </c>
    </row>
    <row r="28" spans="1:12" ht="15.75" outlineLevel="2" thickBot="1" x14ac:dyDescent="0.3">
      <c r="A28" s="30">
        <f>Ydelser!A28</f>
        <v>307</v>
      </c>
      <c r="B28" s="3" t="str">
        <f>Ydelser!B28</f>
        <v>Aflæsninger</v>
      </c>
      <c r="C28" s="8"/>
      <c r="E28" s="89"/>
      <c r="F28" s="89"/>
      <c r="G28" s="90"/>
      <c r="H28" s="87"/>
      <c r="I28" s="88"/>
    </row>
    <row r="29" spans="1:12" ht="15.75" outlineLevel="2" thickBot="1" x14ac:dyDescent="0.3">
      <c r="A29" s="30">
        <f>Ydelser!A29</f>
        <v>308</v>
      </c>
      <c r="B29" s="5"/>
      <c r="C29" s="3" t="str">
        <f>Ydelser!C29</f>
        <v>Måleraflæsning</v>
      </c>
      <c r="D29" s="53" t="b">
        <v>1</v>
      </c>
      <c r="E29" s="12" t="s">
        <v>300</v>
      </c>
      <c r="F29" s="12">
        <v>12</v>
      </c>
      <c r="G29" s="86">
        <v>0.5</v>
      </c>
      <c r="H29" s="37" t="s">
        <v>298</v>
      </c>
      <c r="I29" s="88">
        <f>IF(D29,F29*G29*VLOOKUP(H29,Støtteark!$E$4:$F$20,2,FALSE),"")</f>
        <v>2310</v>
      </c>
    </row>
    <row r="30" spans="1:12" ht="15.75" outlineLevel="2" thickBot="1" x14ac:dyDescent="0.3">
      <c r="A30" s="30">
        <f>Ydelser!A30</f>
        <v>309</v>
      </c>
      <c r="B30" s="5"/>
      <c r="C30" s="3" t="str">
        <f>Ydelser!C30</f>
        <v>Årsaflæsning</v>
      </c>
      <c r="D30" s="53"/>
      <c r="E30" s="12" t="s">
        <v>376</v>
      </c>
      <c r="F30" s="12">
        <v>1</v>
      </c>
      <c r="G30" s="86">
        <v>0.5</v>
      </c>
      <c r="H30" s="37" t="s">
        <v>298</v>
      </c>
      <c r="I30" s="88">
        <f>IF(D29,F30*G30*VLOOKUP(H30,Støtteark!$E$4:$F$20,2,FALSE),"")</f>
        <v>192.5</v>
      </c>
    </row>
    <row r="31" spans="1:12" ht="15.75" outlineLevel="2" thickBot="1" x14ac:dyDescent="0.3">
      <c r="A31" s="30">
        <f>Ydelser!A31</f>
        <v>310</v>
      </c>
      <c r="B31" s="3" t="str">
        <f>Ydelser!B31</f>
        <v>Kontrol og tilsyn</v>
      </c>
      <c r="C31" s="8"/>
      <c r="E31" s="89"/>
      <c r="F31" s="89"/>
      <c r="G31" s="90"/>
      <c r="H31" s="87"/>
      <c r="I31" s="88"/>
    </row>
    <row r="32" spans="1:12" ht="15.75" outlineLevel="2" thickBot="1" x14ac:dyDescent="0.3">
      <c r="A32" s="30">
        <f>Ydelser!A32</f>
        <v>311</v>
      </c>
      <c r="B32" s="5"/>
      <c r="C32" s="3" t="str">
        <f>Ydelser!C32</f>
        <v>CTS - vagtordning</v>
      </c>
      <c r="D32" s="53" t="b">
        <v>1</v>
      </c>
      <c r="E32" s="12" t="s">
        <v>376</v>
      </c>
      <c r="F32" s="12">
        <v>12</v>
      </c>
      <c r="G32" s="25">
        <v>1</v>
      </c>
      <c r="H32" s="39" t="s">
        <v>200</v>
      </c>
      <c r="I32" s="253">
        <f>IF(D32,VLOOKUP(H32,Støtteark!$H$4:$J$7,3,FALSE),"")</f>
        <v>30000</v>
      </c>
    </row>
    <row r="33" spans="1:12" ht="15.75" outlineLevel="2" thickBot="1" x14ac:dyDescent="0.3">
      <c r="A33" s="30">
        <f>Ydelser!A33</f>
        <v>312</v>
      </c>
      <c r="B33" s="152">
        <v>1</v>
      </c>
      <c r="C33" s="3" t="str">
        <f>Ydelser!C33</f>
        <v>Tilsyn med CTS</v>
      </c>
      <c r="D33" s="53" t="b">
        <v>1</v>
      </c>
      <c r="E33" s="12" t="s">
        <v>376</v>
      </c>
      <c r="F33" s="12">
        <v>250</v>
      </c>
      <c r="G33" s="86">
        <v>1</v>
      </c>
      <c r="H33" s="87" t="s">
        <v>200</v>
      </c>
      <c r="I33" s="253">
        <f>IF(D33,VLOOKUP(H33,Støtteark!$H$4:$J$7,2,FALSE),"")</f>
        <v>21600</v>
      </c>
    </row>
    <row r="34" spans="1:12" ht="15.75" outlineLevel="2" thickBot="1" x14ac:dyDescent="0.3">
      <c r="A34" s="30">
        <f>Ydelser!A34</f>
        <v>313</v>
      </c>
      <c r="B34" s="152">
        <v>1</v>
      </c>
      <c r="C34" s="3" t="str">
        <f>Ydelser!C34</f>
        <v>Tilsyn med ventiler, pumper og varmeanlæg</v>
      </c>
      <c r="D34" s="53" t="b">
        <v>1</v>
      </c>
      <c r="E34" s="85" t="s">
        <v>301</v>
      </c>
      <c r="F34" s="12">
        <v>52</v>
      </c>
      <c r="G34" s="25">
        <v>0.25</v>
      </c>
      <c r="H34" s="37" t="s">
        <v>298</v>
      </c>
      <c r="I34" s="21">
        <f>IF(D34,F34*G34*VLOOKUP(H34,Støtteark!$E$4:$F$20,2,FALSE),"")</f>
        <v>5005</v>
      </c>
    </row>
    <row r="35" spans="1:12" ht="15.75" outlineLevel="2" thickBot="1" x14ac:dyDescent="0.3">
      <c r="A35" s="30">
        <f>Ydelser!A35</f>
        <v>314</v>
      </c>
      <c r="B35" s="152">
        <v>1</v>
      </c>
      <c r="C35" s="3" t="str">
        <f>Ydelser!C35</f>
        <v>Tilsyn med pumpebrønde</v>
      </c>
      <c r="D35" s="53" t="b">
        <v>0</v>
      </c>
      <c r="E35" s="85" t="s">
        <v>300</v>
      </c>
      <c r="F35" s="12">
        <v>12</v>
      </c>
      <c r="G35" s="25">
        <v>0.5</v>
      </c>
      <c r="H35" s="37" t="s">
        <v>298</v>
      </c>
      <c r="I35" s="21" t="str">
        <f>IF(D35,F35*G35*VLOOKUP(H35,Støtteark!$E$4:$F$20,2,FALSE),"")</f>
        <v/>
      </c>
    </row>
    <row r="36" spans="1:12" ht="15.75" outlineLevel="2" thickBot="1" x14ac:dyDescent="0.3">
      <c r="A36" s="30">
        <f>Ydelser!A36</f>
        <v>315</v>
      </c>
      <c r="B36" s="152">
        <v>1</v>
      </c>
      <c r="C36" s="3" t="str">
        <f>Ydelser!C36</f>
        <v>Tilsyn med ventilationsanlæg</v>
      </c>
      <c r="D36" s="53" t="b">
        <v>0</v>
      </c>
      <c r="E36" s="85" t="s">
        <v>300</v>
      </c>
      <c r="F36" s="12">
        <v>12</v>
      </c>
      <c r="G36" s="25">
        <v>0.5</v>
      </c>
      <c r="H36" s="37" t="s">
        <v>298</v>
      </c>
      <c r="I36" s="21" t="str">
        <f>IF(D36,F36*G36*VLOOKUP(H36,Støtteark!$E$4:$F$20,2,FALSE),"")</f>
        <v/>
      </c>
    </row>
    <row r="37" spans="1:12" ht="15.75" outlineLevel="2" thickBot="1" x14ac:dyDescent="0.3">
      <c r="A37" s="30">
        <f>Ydelser!A37</f>
        <v>316</v>
      </c>
      <c r="B37" s="152">
        <v>1</v>
      </c>
      <c r="C37" s="3" t="str">
        <f>Ydelser!C37</f>
        <v>Udslamning af varmtvandsbeholder</v>
      </c>
      <c r="D37" s="53" t="b">
        <v>0</v>
      </c>
      <c r="E37" s="85" t="s">
        <v>300</v>
      </c>
      <c r="F37" s="12">
        <v>12</v>
      </c>
      <c r="G37" s="25">
        <v>0.25</v>
      </c>
      <c r="H37" s="37" t="s">
        <v>298</v>
      </c>
      <c r="I37" s="21" t="str">
        <f>IF(D37,F37*G37*VLOOKUP(H37,Støtteark!$E$4:$F$20,2,FALSE),"")</f>
        <v/>
      </c>
    </row>
    <row r="38" spans="1:12" ht="15.75" outlineLevel="2" thickBot="1" x14ac:dyDescent="0.3">
      <c r="A38" s="30">
        <f>Ydelser!A38</f>
        <v>317</v>
      </c>
      <c r="B38" s="5"/>
      <c r="C38" s="3" t="str">
        <f>Ydelser!C38</f>
        <v>Omdelinger</v>
      </c>
      <c r="D38" s="53" t="b">
        <v>0</v>
      </c>
      <c r="E38" s="12" t="s">
        <v>376</v>
      </c>
      <c r="F38" s="12">
        <v>4</v>
      </c>
      <c r="G38" s="25">
        <v>0.25</v>
      </c>
      <c r="H38" s="37" t="s">
        <v>298</v>
      </c>
      <c r="I38" s="21" t="str">
        <f>IF(D38,F38*G38*VLOOKUP(H38,Støtteark!$E$4:$F$20,2,FALSE),"")</f>
        <v/>
      </c>
    </row>
    <row r="39" spans="1:12" ht="15.75" outlineLevel="2" thickBot="1" x14ac:dyDescent="0.3">
      <c r="A39" s="30">
        <f>Ydelser!A39</f>
        <v>318</v>
      </c>
      <c r="B39" s="5"/>
      <c r="C39" s="3" t="str">
        <f>Ydelser!C39</f>
        <v>Erhverv - Periodisk tilsyn med tomgangslejemål</v>
      </c>
      <c r="D39" s="53" t="b">
        <v>0</v>
      </c>
      <c r="E39" s="85" t="s">
        <v>300</v>
      </c>
      <c r="F39" s="12">
        <v>12</v>
      </c>
      <c r="G39" s="25">
        <v>0.5</v>
      </c>
      <c r="H39" s="37" t="s">
        <v>298</v>
      </c>
      <c r="I39" s="21" t="str">
        <f>IF(D39,F39*G39*VLOOKUP(H39,Støtteark!$E$4:$F$20,2,FALSE),"")</f>
        <v/>
      </c>
    </row>
    <row r="40" spans="1:12" ht="15.75" outlineLevel="2" thickBot="1" x14ac:dyDescent="0.3">
      <c r="A40" s="30">
        <f>Ydelser!A40</f>
        <v>319</v>
      </c>
      <c r="B40" s="152">
        <v>2</v>
      </c>
      <c r="C40" s="3" t="str">
        <f>Ydelser!C40</f>
        <v>Betalingsautomater i vaskerier</v>
      </c>
      <c r="D40" s="53" t="b">
        <v>0</v>
      </c>
      <c r="E40" s="85" t="s">
        <v>300</v>
      </c>
      <c r="F40" s="12">
        <v>12</v>
      </c>
      <c r="G40" s="25">
        <v>0.5</v>
      </c>
      <c r="H40" s="37" t="s">
        <v>298</v>
      </c>
      <c r="I40" s="21" t="str">
        <f>IF(D40,F40*G40*VLOOKUP(H40,Støtteark!$E$4:$F$20,2,FALSE),"")</f>
        <v/>
      </c>
    </row>
    <row r="41" spans="1:12" ht="15.75" outlineLevel="2" thickBot="1" x14ac:dyDescent="0.3">
      <c r="A41" s="30">
        <f>Ydelser!A41</f>
        <v>320</v>
      </c>
      <c r="B41" s="152">
        <v>2</v>
      </c>
      <c r="C41" s="3" t="str">
        <f>Ydelser!C41</f>
        <v>Opfyldning af vaskerimaskiner</v>
      </c>
      <c r="D41" s="53" t="b">
        <v>0</v>
      </c>
      <c r="E41" s="85" t="s">
        <v>301</v>
      </c>
      <c r="F41" s="12">
        <v>52</v>
      </c>
      <c r="G41" s="25">
        <v>0.5</v>
      </c>
      <c r="H41" s="37" t="s">
        <v>299</v>
      </c>
      <c r="I41" s="21" t="str">
        <f>IF(D41,F41*G41*VLOOKUP(H41,Støtteark!$E$4:$F$20,2,FALSE),"")</f>
        <v/>
      </c>
    </row>
    <row r="42" spans="1:12" ht="15.75" outlineLevel="2" thickBot="1" x14ac:dyDescent="0.3">
      <c r="A42" s="30">
        <f>Ydelser!A42</f>
        <v>321</v>
      </c>
      <c r="B42" s="152">
        <v>3</v>
      </c>
      <c r="C42" s="3" t="str">
        <f>Ydelser!C42</f>
        <v>Kontrol af ABA kontrol</v>
      </c>
      <c r="D42" s="53" t="b">
        <v>0</v>
      </c>
      <c r="E42" s="85" t="s">
        <v>300</v>
      </c>
      <c r="F42" s="12">
        <v>12</v>
      </c>
      <c r="G42" s="25">
        <v>0.5</v>
      </c>
      <c r="H42" s="37" t="s">
        <v>298</v>
      </c>
      <c r="I42" s="21" t="str">
        <f>IF(D42,F42*G42*VLOOKUP(H42,Støtteark!$E$4:$F$20,2,FALSE),"")</f>
        <v/>
      </c>
    </row>
    <row r="43" spans="1:12" ht="15.75" outlineLevel="2" thickBot="1" x14ac:dyDescent="0.3">
      <c r="A43" s="30">
        <f>Ydelser!A43</f>
        <v>322</v>
      </c>
      <c r="B43" s="152">
        <v>3</v>
      </c>
      <c r="C43" s="3" t="str">
        <f>Ydelser!C43</f>
        <v>Kontrol af AVS</v>
      </c>
      <c r="D43" s="53" t="b">
        <v>0</v>
      </c>
      <c r="E43" s="85" t="s">
        <v>300</v>
      </c>
      <c r="F43" s="12">
        <v>12</v>
      </c>
      <c r="G43" s="25">
        <v>0.5</v>
      </c>
      <c r="H43" s="37" t="s">
        <v>298</v>
      </c>
      <c r="I43" s="21" t="str">
        <f>IF(D43,F43*G43*VLOOKUP(H43,Støtteark!$E$4:$F$20,2,FALSE),"")</f>
        <v/>
      </c>
    </row>
    <row r="44" spans="1:12" ht="15.75" outlineLevel="2" thickBot="1" x14ac:dyDescent="0.3">
      <c r="A44" s="30">
        <f>Ydelser!A44</f>
        <v>323</v>
      </c>
      <c r="B44" s="152">
        <v>3</v>
      </c>
      <c r="C44" s="3" t="str">
        <f>Ydelser!C44</f>
        <v>Kontrol af ABV</v>
      </c>
      <c r="D44" s="53" t="b">
        <v>0</v>
      </c>
      <c r="E44" s="85" t="s">
        <v>300</v>
      </c>
      <c r="F44" s="12">
        <v>12</v>
      </c>
      <c r="G44" s="25">
        <v>0.5</v>
      </c>
      <c r="H44" s="37" t="s">
        <v>298</v>
      </c>
      <c r="I44" s="21" t="str">
        <f>IF(D44,F44*G44*VLOOKUP(H44,Støtteark!$E$4:$F$20,2,FALSE),"")</f>
        <v/>
      </c>
    </row>
    <row r="45" spans="1:12" ht="15.75" outlineLevel="2" thickBot="1" x14ac:dyDescent="0.3">
      <c r="A45" s="30">
        <f>Ydelser!A45</f>
        <v>324</v>
      </c>
      <c r="B45" s="152">
        <v>3</v>
      </c>
      <c r="C45" s="3" t="str">
        <f>Ydelser!C45</f>
        <v>Kontrol af ABDL</v>
      </c>
      <c r="D45" s="53" t="b">
        <v>0</v>
      </c>
      <c r="E45" s="85" t="s">
        <v>300</v>
      </c>
      <c r="F45" s="12">
        <v>12</v>
      </c>
      <c r="G45" s="25">
        <v>0.5</v>
      </c>
      <c r="H45" s="37" t="s">
        <v>298</v>
      </c>
      <c r="I45" s="21" t="str">
        <f>IF(D45,F45*G45*VLOOKUP(H45,Støtteark!$E$4:$F$20,2,FALSE),"")</f>
        <v/>
      </c>
    </row>
    <row r="46" spans="1:12" ht="15.75" outlineLevel="2" thickBot="1" x14ac:dyDescent="0.3">
      <c r="A46" s="30">
        <f>Ydelser!A46</f>
        <v>325</v>
      </c>
      <c r="B46" s="152">
        <v>3</v>
      </c>
      <c r="C46" s="3" t="str">
        <f>Ydelser!C46</f>
        <v>Kontrol af AIA</v>
      </c>
      <c r="D46" s="53" t="b">
        <v>0</v>
      </c>
      <c r="E46" s="13" t="s">
        <v>301</v>
      </c>
      <c r="F46" s="14">
        <v>52</v>
      </c>
      <c r="G46" s="28">
        <v>4</v>
      </c>
      <c r="H46" s="135" t="s">
        <v>298</v>
      </c>
      <c r="I46" s="19" t="str">
        <f>IF(D46,F46*G46*VLOOKUP(H46,Støtteark!$E$4:$F$20,2,FALSE),"")</f>
        <v/>
      </c>
    </row>
    <row r="47" spans="1:12" ht="15.75" outlineLevel="1" thickBot="1" x14ac:dyDescent="0.3">
      <c r="A47" s="31"/>
      <c r="B47" s="1"/>
      <c r="C47" s="2"/>
      <c r="H47" s="36"/>
      <c r="J47" s="20">
        <f>SUM(I21:I46)</f>
        <v>139187.5</v>
      </c>
    </row>
    <row r="48" spans="1:12" ht="15.75" outlineLevel="1" thickBot="1" x14ac:dyDescent="0.3">
      <c r="A48" s="29">
        <f>Ydelser!A48</f>
        <v>400</v>
      </c>
      <c r="B48" s="7" t="str">
        <f>Ydelser!B48</f>
        <v>Grå ydelser</v>
      </c>
      <c r="C48" s="51"/>
      <c r="D48" s="51"/>
      <c r="E48" s="51"/>
      <c r="F48" s="51"/>
      <c r="G48" s="51"/>
      <c r="H48" s="51"/>
      <c r="I48" s="51"/>
      <c r="J48" s="51"/>
      <c r="K48" s="51"/>
      <c r="L48" s="51"/>
    </row>
    <row r="49" spans="1:9" ht="15.75" outlineLevel="2" thickBot="1" x14ac:dyDescent="0.3">
      <c r="A49" s="30">
        <f>Ydelser!A49</f>
        <v>401</v>
      </c>
      <c r="B49" s="152">
        <v>4</v>
      </c>
      <c r="C49" s="3" t="str">
        <f>Ydelser!C49</f>
        <v>Gennemgang samt udskiftning af lyskilder</v>
      </c>
      <c r="D49" s="53" t="b">
        <v>1</v>
      </c>
      <c r="E49" s="85" t="s">
        <v>301</v>
      </c>
      <c r="F49" s="12">
        <v>52</v>
      </c>
      <c r="G49" s="25">
        <v>0.25</v>
      </c>
      <c r="H49" s="37" t="s">
        <v>299</v>
      </c>
      <c r="I49" s="21">
        <f>IF(D49,F49*G49*VLOOKUP(H49,Støtteark!$E$4:$F$20,2,FALSE),"")</f>
        <v>5005</v>
      </c>
    </row>
    <row r="50" spans="1:9" ht="15.75" outlineLevel="2" thickBot="1" x14ac:dyDescent="0.3">
      <c r="A50" s="30">
        <f>Ydelser!A50</f>
        <v>402</v>
      </c>
      <c r="B50" s="152">
        <v>4</v>
      </c>
      <c r="C50" s="3" t="str">
        <f>Ydelser!C50</f>
        <v>Aftørring af lamper i forbindelse med lyskildeskift</v>
      </c>
      <c r="D50" s="53" t="b">
        <v>1</v>
      </c>
      <c r="E50" s="85" t="s">
        <v>301</v>
      </c>
      <c r="F50" s="12">
        <v>52</v>
      </c>
      <c r="G50" s="25">
        <v>1</v>
      </c>
      <c r="H50" s="37" t="s">
        <v>299</v>
      </c>
      <c r="I50" s="21">
        <f>IF(D50,F50*G50*VLOOKUP(H50,Støtteark!$E$4:$F$20,2,FALSE),"")</f>
        <v>20020</v>
      </c>
    </row>
    <row r="51" spans="1:9" ht="15.75" outlineLevel="2" thickBot="1" x14ac:dyDescent="0.3">
      <c r="A51" s="30">
        <f>Ydelser!A51</f>
        <v>403</v>
      </c>
      <c r="B51" s="5"/>
      <c r="C51" s="3" t="str">
        <f>Ydelser!C51</f>
        <v>Løbende tilsyn af legeplads om behov for istandsættelser</v>
      </c>
      <c r="D51" s="53" t="b">
        <v>1</v>
      </c>
      <c r="E51" s="85" t="s">
        <v>301</v>
      </c>
      <c r="F51" s="12">
        <v>52</v>
      </c>
      <c r="G51" s="25">
        <v>0.5</v>
      </c>
      <c r="H51" s="37" t="s">
        <v>299</v>
      </c>
      <c r="I51" s="21">
        <f>IF(D51,F51*G51*VLOOKUP(H51,Støtteark!$E$4:$F$20,2,FALSE),"")</f>
        <v>10010</v>
      </c>
    </row>
    <row r="52" spans="1:9" ht="15.75" outlineLevel="2" thickBot="1" x14ac:dyDescent="0.3">
      <c r="A52" s="30">
        <f>Ydelser!A52</f>
        <v>404</v>
      </c>
      <c r="B52" s="5"/>
      <c r="C52" s="3" t="str">
        <f>Ydelser!C52</f>
        <v>Fejning med feje-/sugemaskine på befæstede arealer</v>
      </c>
      <c r="D52" s="53" t="b">
        <v>1</v>
      </c>
      <c r="E52" s="12" t="s">
        <v>300</v>
      </c>
      <c r="F52" s="12">
        <v>2</v>
      </c>
      <c r="G52" s="25">
        <v>1</v>
      </c>
      <c r="H52" s="37" t="s">
        <v>299</v>
      </c>
      <c r="I52" s="21">
        <f>IF(D52,F52*G52*VLOOKUP(H52,Støtteark!$E$4:$F$20,2,FALSE),"")</f>
        <v>770</v>
      </c>
    </row>
    <row r="53" spans="1:9" ht="15.75" outlineLevel="2" thickBot="1" x14ac:dyDescent="0.3">
      <c r="A53" s="30">
        <f>Ydelser!A53</f>
        <v>405</v>
      </c>
      <c r="B53" s="5"/>
      <c r="C53" s="3" t="str">
        <f>Ydelser!C53</f>
        <v>Vask af P-kælder</v>
      </c>
      <c r="D53" s="53" t="b">
        <v>0</v>
      </c>
      <c r="E53" s="12" t="s">
        <v>88</v>
      </c>
      <c r="F53" s="12">
        <v>9</v>
      </c>
      <c r="G53" s="25">
        <v>1</v>
      </c>
      <c r="H53" s="37" t="s">
        <v>299</v>
      </c>
      <c r="I53" s="21" t="str">
        <f>IF(D53,F53*G53*VLOOKUP(H53,Støtteark!$E$4:$F$20,2,FALSE),"")</f>
        <v/>
      </c>
    </row>
    <row r="54" spans="1:9" ht="39" outlineLevel="2" thickBot="1" x14ac:dyDescent="0.3">
      <c r="A54" s="30">
        <f>Ydelser!A54</f>
        <v>406</v>
      </c>
      <c r="B54" s="152">
        <v>5</v>
      </c>
      <c r="C54" s="3" t="str">
        <f>Ydelser!C54</f>
        <v>Opsamling og udvendig renholdelse af arealer for affald (renholdsniveau/udfaldskrav 1, 2, eller 3 - se forudsætninger)</v>
      </c>
      <c r="D54" s="53" t="b">
        <v>0</v>
      </c>
      <c r="E54" s="85" t="s">
        <v>301</v>
      </c>
      <c r="F54" s="12">
        <v>52</v>
      </c>
      <c r="G54" s="25">
        <v>0.25</v>
      </c>
      <c r="H54" s="37" t="s">
        <v>299</v>
      </c>
      <c r="I54" s="21" t="str">
        <f>IF(D54,F54*G54*VLOOKUP(H54,Støtteark!$E$4:$F$20,2,FALSE),"")</f>
        <v/>
      </c>
    </row>
    <row r="55" spans="1:9" ht="26.25" outlineLevel="2" thickBot="1" x14ac:dyDescent="0.3">
      <c r="A55" s="30">
        <f>Ydelser!A55</f>
        <v>407</v>
      </c>
      <c r="B55" s="152">
        <v>5</v>
      </c>
      <c r="C55" s="3" t="str">
        <f>Ydelser!C55</f>
        <v>Partiel fejning af udvendige befæstede arealer, renhold for småt affald</v>
      </c>
      <c r="D55" s="53" t="b">
        <v>0</v>
      </c>
      <c r="E55" s="85" t="s">
        <v>301</v>
      </c>
      <c r="F55" s="12">
        <v>104</v>
      </c>
      <c r="G55" s="25">
        <v>0.25</v>
      </c>
      <c r="H55" s="37" t="s">
        <v>299</v>
      </c>
      <c r="I55" s="21" t="str">
        <f>IF(D55,F55*G55*VLOOKUP(H55,Støtteark!$E$4:$F$20,2,FALSE),"")</f>
        <v/>
      </c>
    </row>
    <row r="56" spans="1:9" ht="15.75" outlineLevel="2" thickBot="1" x14ac:dyDescent="0.3">
      <c r="A56" s="30">
        <f>Ydelser!A56</f>
        <v>408</v>
      </c>
      <c r="B56" s="152">
        <v>5</v>
      </c>
      <c r="C56" s="3" t="str">
        <f>Ydelser!C56</f>
        <v>Renhold af lyskasser</v>
      </c>
      <c r="D56" s="53" t="b">
        <v>0</v>
      </c>
      <c r="E56" s="12" t="s">
        <v>300</v>
      </c>
      <c r="F56" s="12">
        <v>12</v>
      </c>
      <c r="G56" s="25">
        <v>2</v>
      </c>
      <c r="H56" s="37" t="s">
        <v>299</v>
      </c>
      <c r="I56" s="21" t="str">
        <f>IF(D56,F56*G56*VLOOKUP(H56,Støtteark!$E$4:$F$20,2,FALSE),"")</f>
        <v/>
      </c>
    </row>
    <row r="57" spans="1:9" ht="15.75" outlineLevel="2" thickBot="1" x14ac:dyDescent="0.3">
      <c r="A57" s="30">
        <f>Ydelser!A57</f>
        <v>409</v>
      </c>
      <c r="B57" s="152">
        <v>5</v>
      </c>
      <c r="C57" s="3" t="str">
        <f>Ydelser!C57</f>
        <v>Renholdelse af cykelskur / cykelrum</v>
      </c>
      <c r="D57" s="53" t="b">
        <v>0</v>
      </c>
      <c r="E57" s="85" t="s">
        <v>300</v>
      </c>
      <c r="F57" s="12">
        <v>12</v>
      </c>
      <c r="G57" s="25">
        <v>0.5</v>
      </c>
      <c r="H57" s="37" t="s">
        <v>299</v>
      </c>
      <c r="I57" s="21" t="str">
        <f>IF(D57,F57*G57*VLOOKUP(H57,Støtteark!$E$4:$F$20,2,FALSE),"")</f>
        <v/>
      </c>
    </row>
    <row r="58" spans="1:9" ht="15.75" outlineLevel="2" thickBot="1" x14ac:dyDescent="0.3">
      <c r="A58" s="30">
        <f>Ydelser!A58</f>
        <v>410</v>
      </c>
      <c r="B58" s="152">
        <v>5</v>
      </c>
      <c r="C58" s="3" t="str">
        <f>Ydelser!C58</f>
        <v>Renholdelse affaldsrum, containergård, skaktrum</v>
      </c>
      <c r="D58" s="53" t="b">
        <v>0</v>
      </c>
      <c r="E58" s="85" t="s">
        <v>301</v>
      </c>
      <c r="F58" s="12">
        <v>52</v>
      </c>
      <c r="G58" s="25">
        <v>0.25</v>
      </c>
      <c r="H58" s="37" t="s">
        <v>299</v>
      </c>
      <c r="I58" s="21" t="str">
        <f>IF(D58,F58*G58*VLOOKUP(H58,Støtteark!$E$4:$F$20,2,FALSE),"")</f>
        <v/>
      </c>
    </row>
    <row r="59" spans="1:9" ht="15.75" outlineLevel="2" thickBot="1" x14ac:dyDescent="0.3">
      <c r="A59" s="30">
        <f>Ydelser!A59</f>
        <v>411</v>
      </c>
      <c r="B59" s="152">
        <v>5</v>
      </c>
      <c r="C59" s="3" t="str">
        <f>Ydelser!C59</f>
        <v>Renholdelse af storskraldsrum.</v>
      </c>
      <c r="D59" s="53" t="b">
        <v>0</v>
      </c>
      <c r="E59" s="12" t="s">
        <v>301</v>
      </c>
      <c r="F59" s="12">
        <v>52</v>
      </c>
      <c r="G59" s="25">
        <v>0.25</v>
      </c>
      <c r="H59" s="37" t="s">
        <v>299</v>
      </c>
      <c r="I59" s="21" t="str">
        <f>IF(D59,F59*G59*VLOOKUP(H59,Støtteark!$E$4:$F$20,2,FALSE),"")</f>
        <v/>
      </c>
    </row>
    <row r="60" spans="1:9" ht="15.75" outlineLevel="2" thickBot="1" x14ac:dyDescent="0.3">
      <c r="A60" s="30">
        <f>Ydelser!A60</f>
        <v>412</v>
      </c>
      <c r="B60" s="152">
        <v>5</v>
      </c>
      <c r="C60" s="3" t="str">
        <f>Ydelser!C60</f>
        <v>Affaldshåndtering</v>
      </c>
      <c r="D60" s="53" t="b">
        <v>0</v>
      </c>
      <c r="E60" s="12" t="s">
        <v>301</v>
      </c>
      <c r="F60" s="12">
        <v>156</v>
      </c>
      <c r="G60" s="25">
        <v>1</v>
      </c>
      <c r="H60" s="37" t="s">
        <v>299</v>
      </c>
      <c r="I60" s="21" t="str">
        <f>IF(D60,F60*G60*VLOOKUP(H60,Støtteark!$E$4:$F$20,2,FALSE),"")</f>
        <v/>
      </c>
    </row>
    <row r="61" spans="1:9" ht="15.75" outlineLevel="2" thickBot="1" x14ac:dyDescent="0.3">
      <c r="A61" s="30">
        <f>Ydelser!A61</f>
        <v>413</v>
      </c>
      <c r="B61" s="152">
        <v>6</v>
      </c>
      <c r="C61" s="3" t="str">
        <f>Ydelser!C61</f>
        <v>Oprensning af regnvandsbrønde</v>
      </c>
      <c r="D61" s="53" t="b">
        <v>0</v>
      </c>
      <c r="E61" s="12" t="s">
        <v>300</v>
      </c>
      <c r="F61" s="12">
        <v>12</v>
      </c>
      <c r="G61" s="25">
        <v>1</v>
      </c>
      <c r="H61" s="37" t="s">
        <v>299</v>
      </c>
      <c r="I61" s="21" t="str">
        <f>IF(D61,F61*G61*VLOOKUP(H61,Støtteark!$E$4:$F$20,2,FALSE),"")</f>
        <v/>
      </c>
    </row>
    <row r="62" spans="1:9" ht="15.75" outlineLevel="2" thickBot="1" x14ac:dyDescent="0.3">
      <c r="A62" s="30">
        <f>Ydelser!A62</f>
        <v>414</v>
      </c>
      <c r="B62" s="152">
        <v>6</v>
      </c>
      <c r="C62" s="3" t="str">
        <f>Ydelser!C62</f>
        <v>Oprensning af vejbrønde</v>
      </c>
      <c r="D62" s="53" t="b">
        <v>0</v>
      </c>
      <c r="E62" s="12" t="s">
        <v>300</v>
      </c>
      <c r="F62" s="12">
        <v>12</v>
      </c>
      <c r="G62" s="25">
        <v>1</v>
      </c>
      <c r="H62" s="37" t="s">
        <v>299</v>
      </c>
      <c r="I62" s="21" t="str">
        <f>IF(D62,F62*G62*VLOOKUP(H62,Støtteark!$E$4:$F$20,2,FALSE),"")</f>
        <v/>
      </c>
    </row>
    <row r="63" spans="1:9" ht="15.75" outlineLevel="2" thickBot="1" x14ac:dyDescent="0.3">
      <c r="A63" s="30">
        <f>Ydelser!A63</f>
        <v>415</v>
      </c>
      <c r="B63" s="152">
        <v>6</v>
      </c>
      <c r="C63" s="3" t="str">
        <f>Ydelser!C63</f>
        <v>Rensning af tagrender</v>
      </c>
      <c r="D63" s="53" t="b">
        <v>0</v>
      </c>
      <c r="E63" s="12" t="s">
        <v>300</v>
      </c>
      <c r="F63" s="12">
        <v>12</v>
      </c>
      <c r="G63" s="25">
        <v>1</v>
      </c>
      <c r="H63" s="37" t="s">
        <v>299</v>
      </c>
      <c r="I63" s="21" t="str">
        <f>IF(D63,F63*G63*VLOOKUP(H63,Støtteark!$E$4:$F$20,2,FALSE),"")</f>
        <v/>
      </c>
    </row>
    <row r="64" spans="1:9" ht="15.75" outlineLevel="2" thickBot="1" x14ac:dyDescent="0.3">
      <c r="A64" s="30">
        <f>Ydelser!A64</f>
        <v>416</v>
      </c>
      <c r="B64" s="152">
        <v>6</v>
      </c>
      <c r="C64" s="3" t="str">
        <f>Ydelser!C64</f>
        <v>Rensning af tagbrønde</v>
      </c>
      <c r="D64" s="53" t="b">
        <v>0</v>
      </c>
      <c r="E64" s="12" t="s">
        <v>300</v>
      </c>
      <c r="F64" s="12">
        <v>12</v>
      </c>
      <c r="G64" s="25">
        <v>2</v>
      </c>
      <c r="H64" s="37" t="s">
        <v>299</v>
      </c>
      <c r="I64" s="21" t="str">
        <f>IF(D64,F64*G64*VLOOKUP(H64,Støtteark!$E$4:$F$20,2,FALSE),"")</f>
        <v/>
      </c>
    </row>
    <row r="65" spans="1:12" ht="15.75" outlineLevel="2" thickBot="1" x14ac:dyDescent="0.3">
      <c r="A65" s="30">
        <f>Ydelser!A65</f>
        <v>417</v>
      </c>
      <c r="B65" s="152">
        <v>7</v>
      </c>
      <c r="C65" s="3" t="str">
        <f>Ydelser!C65</f>
        <v>Renhold af fællesarealer loft</v>
      </c>
      <c r="D65" s="53" t="b">
        <v>0</v>
      </c>
      <c r="E65" s="12" t="s">
        <v>300</v>
      </c>
      <c r="F65" s="12">
        <v>12</v>
      </c>
      <c r="G65" s="25">
        <v>5</v>
      </c>
      <c r="H65" s="37" t="s">
        <v>299</v>
      </c>
      <c r="I65" s="21" t="str">
        <f>IF(D65,F65*G65*VLOOKUP(H65,Støtteark!$E$4:$F$20,2,FALSE),"")</f>
        <v/>
      </c>
    </row>
    <row r="66" spans="1:12" ht="15.75" outlineLevel="2" thickBot="1" x14ac:dyDescent="0.3">
      <c r="A66" s="30">
        <f>Ydelser!A66</f>
        <v>418</v>
      </c>
      <c r="B66" s="152">
        <v>7</v>
      </c>
      <c r="C66" s="3" t="str">
        <f>Ydelser!C66</f>
        <v>Renhold af fællesarealer kælder</v>
      </c>
      <c r="D66" s="53" t="b">
        <v>0</v>
      </c>
      <c r="E66" s="12" t="s">
        <v>300</v>
      </c>
      <c r="F66" s="12">
        <v>2</v>
      </c>
      <c r="G66" s="25">
        <v>4</v>
      </c>
      <c r="H66" s="37" t="s">
        <v>299</v>
      </c>
      <c r="I66" s="21" t="str">
        <f>IF(D66,F66*G66*VLOOKUP(H66,Støtteark!$E$4:$F$20,2,FALSE),"")</f>
        <v/>
      </c>
    </row>
    <row r="67" spans="1:12" ht="15.75" outlineLevel="2" thickBot="1" x14ac:dyDescent="0.3">
      <c r="A67" s="30">
        <f>Ydelser!A67</f>
        <v>419</v>
      </c>
      <c r="B67" s="5"/>
      <c r="C67" s="3" t="str">
        <f>Ydelser!C67</f>
        <v>Udlevering og afhentning af nøgler til fælleslokaler</v>
      </c>
      <c r="D67" s="53" t="b">
        <v>0</v>
      </c>
      <c r="E67" s="12" t="s">
        <v>300</v>
      </c>
      <c r="F67" s="12">
        <v>12</v>
      </c>
      <c r="G67" s="25">
        <v>5</v>
      </c>
      <c r="H67" s="37" t="s">
        <v>299</v>
      </c>
      <c r="I67" s="21" t="str">
        <f>IF(D67,F67*G67*VLOOKUP(H67,Støtteark!$E$4:$F$20,2,FALSE),"")</f>
        <v/>
      </c>
    </row>
    <row r="68" spans="1:12" ht="15.75" outlineLevel="2" thickBot="1" x14ac:dyDescent="0.3">
      <c r="A68" s="30">
        <f>Ydelser!A68</f>
        <v>420</v>
      </c>
      <c r="B68" s="5"/>
      <c r="C68" s="3" t="str">
        <f>Ydelser!C68</f>
        <v>Cykeloprydning</v>
      </c>
      <c r="D68" s="53" t="b">
        <f>D17</f>
        <v>1</v>
      </c>
      <c r="E68" s="12" t="s">
        <v>376</v>
      </c>
      <c r="F68" s="12">
        <v>1</v>
      </c>
      <c r="G68" s="25">
        <v>5</v>
      </c>
      <c r="H68" s="37" t="s">
        <v>299</v>
      </c>
      <c r="I68" s="21">
        <f>IF(D68,F68*G68*VLOOKUP(H68,Støtteark!$E$4:$F$20,2,FALSE),"")</f>
        <v>1925</v>
      </c>
    </row>
    <row r="69" spans="1:12" ht="26.25" outlineLevel="2" thickBot="1" x14ac:dyDescent="0.3">
      <c r="A69" s="30">
        <f>Ydelser!A69</f>
        <v>421</v>
      </c>
      <c r="B69" s="3" t="str">
        <f>Ydelser!B69</f>
        <v>Ukrudtsbekæmpelse</v>
      </c>
      <c r="C69" s="8"/>
      <c r="E69" s="89"/>
      <c r="F69" s="89"/>
      <c r="G69" s="90"/>
      <c r="H69" s="87"/>
      <c r="I69" s="88"/>
    </row>
    <row r="70" spans="1:12" ht="15.75" outlineLevel="2" thickBot="1" x14ac:dyDescent="0.3">
      <c r="A70" s="30">
        <f>Ydelser!A70</f>
        <v>422</v>
      </c>
      <c r="B70" s="152">
        <v>8</v>
      </c>
      <c r="C70" s="3" t="str">
        <f>Ydelser!C70</f>
        <v>Ukrudtsbekæmpelse befæstede arealer</v>
      </c>
      <c r="D70" s="53" t="b">
        <v>0</v>
      </c>
      <c r="E70" s="12" t="s">
        <v>88</v>
      </c>
      <c r="F70" s="12">
        <v>13</v>
      </c>
      <c r="G70" s="25">
        <v>1.5</v>
      </c>
      <c r="H70" s="37" t="s">
        <v>299</v>
      </c>
      <c r="I70" s="21" t="str">
        <f>IF(D70,F70*G70*VLOOKUP(H70,Støtteark!$E$4:$F$20,2,FALSE),"")</f>
        <v/>
      </c>
    </row>
    <row r="71" spans="1:12" ht="15.75" outlineLevel="2" thickBot="1" x14ac:dyDescent="0.3">
      <c r="A71" s="30">
        <f>Ydelser!A71</f>
        <v>423</v>
      </c>
      <c r="B71" s="152">
        <v>8</v>
      </c>
      <c r="C71" s="3" t="str">
        <f>Ydelser!C71</f>
        <v>Håndbrænding</v>
      </c>
      <c r="D71" s="53" t="b">
        <v>0</v>
      </c>
      <c r="E71" s="12" t="s">
        <v>88</v>
      </c>
      <c r="F71" s="12">
        <v>13</v>
      </c>
      <c r="G71" s="25">
        <v>1</v>
      </c>
      <c r="H71" s="37" t="s">
        <v>299</v>
      </c>
      <c r="I71" s="21" t="str">
        <f>IF(D71,F71*G71*VLOOKUP(H71,Støtteark!$E$4:$F$20,2,FALSE),"")</f>
        <v/>
      </c>
    </row>
    <row r="72" spans="1:12" ht="15.75" outlineLevel="2" thickBot="1" x14ac:dyDescent="0.3">
      <c r="A72" s="30">
        <f>Ydelser!A72</f>
        <v>424</v>
      </c>
      <c r="B72" s="152">
        <v>8</v>
      </c>
      <c r="C72" s="3" t="str">
        <f>Ydelser!C72</f>
        <v>Maskine med manuel fremføring</v>
      </c>
      <c r="D72" s="53" t="b">
        <v>0</v>
      </c>
      <c r="E72" s="12" t="s">
        <v>88</v>
      </c>
      <c r="F72" s="12">
        <v>9</v>
      </c>
      <c r="G72" s="25">
        <v>1</v>
      </c>
      <c r="H72" s="37" t="s">
        <v>299</v>
      </c>
      <c r="I72" s="21" t="str">
        <f>IF(D72,F72*G72*VLOOKUP(H72,Støtteark!$E$4:$F$20,2,FALSE),"")</f>
        <v/>
      </c>
    </row>
    <row r="73" spans="1:12" ht="15.75" outlineLevel="2" thickBot="1" x14ac:dyDescent="0.3">
      <c r="A73" s="30">
        <f>Ydelser!A73</f>
        <v>425</v>
      </c>
      <c r="B73" s="152">
        <v>8</v>
      </c>
      <c r="C73" s="3" t="str">
        <f>Ydelser!C73</f>
        <v>Traktor og fladebrænder</v>
      </c>
      <c r="D73" s="53" t="b">
        <v>0</v>
      </c>
      <c r="E73" s="13" t="s">
        <v>88</v>
      </c>
      <c r="F73" s="14">
        <v>9</v>
      </c>
      <c r="G73" s="28">
        <v>1</v>
      </c>
      <c r="H73" s="135" t="s">
        <v>299</v>
      </c>
      <c r="I73" s="19" t="str">
        <f>IF(D73,F73*G73*VLOOKUP(H73,Støtteark!$E$4:$F$20,2,FALSE),"")</f>
        <v/>
      </c>
    </row>
    <row r="74" spans="1:12" ht="15.75" outlineLevel="1" thickBot="1" x14ac:dyDescent="0.3">
      <c r="A74" s="31"/>
      <c r="B74" s="1"/>
      <c r="C74" s="2"/>
      <c r="E74" s="35"/>
      <c r="F74" s="35"/>
      <c r="G74" s="36"/>
      <c r="H74" s="36"/>
      <c r="I74" s="21"/>
      <c r="J74" s="20">
        <f>SUM(I48:I73)</f>
        <v>37730</v>
      </c>
    </row>
    <row r="75" spans="1:12" ht="15.75" outlineLevel="1" thickBot="1" x14ac:dyDescent="0.3">
      <c r="A75" s="29">
        <f>Ydelser!A75</f>
        <v>500</v>
      </c>
      <c r="B75" s="7" t="str">
        <f>Ydelser!B75</f>
        <v>Grønne ydelser</v>
      </c>
      <c r="C75" s="51"/>
      <c r="D75" s="51"/>
      <c r="E75" s="51"/>
      <c r="F75" s="51"/>
      <c r="G75" s="51"/>
      <c r="H75" s="51"/>
      <c r="I75" s="51"/>
      <c r="J75" s="51"/>
      <c r="K75" s="51"/>
      <c r="L75" s="51"/>
    </row>
    <row r="76" spans="1:12" ht="15.75" outlineLevel="2" thickBot="1" x14ac:dyDescent="0.3">
      <c r="A76" s="30">
        <f>Ydelser!A76</f>
        <v>501</v>
      </c>
      <c r="B76" s="5"/>
      <c r="C76" s="3" t="str">
        <f>Ydelser!C76</f>
        <v>Algebekæmpelse</v>
      </c>
      <c r="D76" s="53" t="b">
        <v>0</v>
      </c>
      <c r="E76" s="12" t="s">
        <v>88</v>
      </c>
      <c r="F76" s="12">
        <v>9</v>
      </c>
      <c r="G76" s="25">
        <v>1</v>
      </c>
      <c r="H76" s="37" t="s">
        <v>85</v>
      </c>
      <c r="I76" s="21" t="str">
        <f>IF(D76,F76*G76*VLOOKUP(H76,Støtteark!$E$4:$F$20,2,FALSE),"")</f>
        <v/>
      </c>
    </row>
    <row r="77" spans="1:12" ht="15.75" outlineLevel="2" thickBot="1" x14ac:dyDescent="0.3">
      <c r="A77" s="30">
        <f>Ydelser!A77</f>
        <v>502</v>
      </c>
      <c r="B77" s="5"/>
      <c r="C77" s="3" t="str">
        <f>Ydelser!C77</f>
        <v>Tilbageskæring af hække/pur</v>
      </c>
      <c r="D77" s="53" t="b">
        <v>0</v>
      </c>
      <c r="E77" s="12" t="s">
        <v>88</v>
      </c>
      <c r="F77" s="12">
        <v>9</v>
      </c>
      <c r="G77" s="25">
        <v>1</v>
      </c>
      <c r="H77" s="37" t="s">
        <v>85</v>
      </c>
      <c r="I77" s="21" t="str">
        <f>IF(D77,F77*G77*VLOOKUP(H77,Støtteark!$E$4:$F$20,2,FALSE),"")</f>
        <v/>
      </c>
    </row>
    <row r="78" spans="1:12" ht="15.75" outlineLevel="2" thickBot="1" x14ac:dyDescent="0.3">
      <c r="A78" s="30">
        <f>Ydelser!A78</f>
        <v>503</v>
      </c>
      <c r="B78" s="5"/>
      <c r="C78" s="3" t="str">
        <f>Ydelser!C78</f>
        <v>Fældninger, kronereduktion og stubfræsning</v>
      </c>
      <c r="D78" s="53" t="b">
        <v>0</v>
      </c>
      <c r="E78" s="12" t="s">
        <v>88</v>
      </c>
      <c r="F78" s="12">
        <v>9</v>
      </c>
      <c r="G78" s="25">
        <v>1</v>
      </c>
      <c r="H78" s="37" t="s">
        <v>85</v>
      </c>
      <c r="I78" s="21" t="str">
        <f>IF(D78,F78*G78*VLOOKUP(H78,Støtteark!$E$4:$F$20,2,FALSE),"")</f>
        <v/>
      </c>
    </row>
    <row r="79" spans="1:12" ht="15.75" outlineLevel="2" thickBot="1" x14ac:dyDescent="0.3">
      <c r="A79" s="30">
        <f>Ydelser!A79</f>
        <v>504</v>
      </c>
      <c r="B79" s="5"/>
      <c r="C79" s="3" t="str">
        <f>Ydelser!C79</f>
        <v>Opsætning og nedtagning af snehegn (inkl. leje)</v>
      </c>
      <c r="D79" s="53" t="b">
        <v>0</v>
      </c>
      <c r="E79" s="12" t="s">
        <v>88</v>
      </c>
      <c r="F79" s="12">
        <v>9</v>
      </c>
      <c r="G79" s="25">
        <v>1</v>
      </c>
      <c r="H79" s="37" t="s">
        <v>85</v>
      </c>
      <c r="I79" s="21" t="str">
        <f>IF(D79,F79*G79*VLOOKUP(H79,Støtteark!$E$4:$F$20,2,FALSE),"")</f>
        <v/>
      </c>
    </row>
    <row r="80" spans="1:12" ht="26.25" outlineLevel="2" thickBot="1" x14ac:dyDescent="0.3">
      <c r="A80" s="30">
        <f>Ydelser!A80</f>
        <v>505</v>
      </c>
      <c r="B80" s="3" t="str">
        <f>Ydelser!B80</f>
        <v>Renhold og pasning af bede</v>
      </c>
      <c r="C80" s="8"/>
      <c r="E80" s="89"/>
      <c r="F80" s="89"/>
      <c r="G80" s="90"/>
      <c r="H80" s="87"/>
      <c r="I80" s="88"/>
    </row>
    <row r="81" spans="1:9" ht="15.75" outlineLevel="2" thickBot="1" x14ac:dyDescent="0.3">
      <c r="A81" s="30">
        <f>Ydelser!A81</f>
        <v>506</v>
      </c>
      <c r="B81" s="152">
        <v>9</v>
      </c>
      <c r="C81" s="3" t="str">
        <f>Ydelser!C81</f>
        <v>Håndlugning</v>
      </c>
      <c r="D81" s="53" t="b">
        <v>1</v>
      </c>
      <c r="E81" s="12" t="s">
        <v>88</v>
      </c>
      <c r="F81" s="12">
        <v>9</v>
      </c>
      <c r="G81" s="25">
        <v>1</v>
      </c>
      <c r="H81" s="37" t="s">
        <v>85</v>
      </c>
      <c r="I81" s="21">
        <f>IF(D81,F81*G81*VLOOKUP(H81,Støtteark!$E$4:$F$20,2,FALSE),"")</f>
        <v>3465</v>
      </c>
    </row>
    <row r="82" spans="1:9" ht="15.75" outlineLevel="2" thickBot="1" x14ac:dyDescent="0.3">
      <c r="A82" s="30">
        <f>Ydelser!A82</f>
        <v>507</v>
      </c>
      <c r="B82" s="152">
        <v>9</v>
      </c>
      <c r="C82" s="3" t="str">
        <f>Ydelser!C82</f>
        <v>Kultivering</v>
      </c>
      <c r="D82" s="53" t="b">
        <v>1</v>
      </c>
      <c r="E82" s="12" t="s">
        <v>88</v>
      </c>
      <c r="F82" s="12">
        <v>9</v>
      </c>
      <c r="G82" s="25">
        <v>1</v>
      </c>
      <c r="H82" s="37" t="s">
        <v>85</v>
      </c>
      <c r="I82" s="21">
        <f>IF(D82,F82*G82*VLOOKUP(H82,Støtteark!$E$4:$F$20,2,FALSE),"")</f>
        <v>3465</v>
      </c>
    </row>
    <row r="83" spans="1:9" ht="15.75" outlineLevel="2" thickBot="1" x14ac:dyDescent="0.3">
      <c r="A83" s="30">
        <f>Ydelser!A83</f>
        <v>508</v>
      </c>
      <c r="B83" s="152">
        <v>9</v>
      </c>
      <c r="C83" s="3" t="str">
        <f>Ydelser!C83</f>
        <v>Fræsning</v>
      </c>
      <c r="D83" s="53" t="b">
        <v>1</v>
      </c>
      <c r="E83" s="12" t="s">
        <v>88</v>
      </c>
      <c r="F83" s="12">
        <v>9</v>
      </c>
      <c r="G83" s="25">
        <v>1</v>
      </c>
      <c r="H83" s="37" t="s">
        <v>85</v>
      </c>
      <c r="I83" s="21">
        <f>IF(D83,F83*G83*VLOOKUP(H83,Støtteark!$E$4:$F$20,2,FALSE),"")</f>
        <v>3465</v>
      </c>
    </row>
    <row r="84" spans="1:9" ht="15.75" outlineLevel="2" thickBot="1" x14ac:dyDescent="0.3">
      <c r="A84" s="30">
        <f>Ydelser!A84</f>
        <v>509</v>
      </c>
      <c r="B84" s="152">
        <v>9</v>
      </c>
      <c r="C84" s="3" t="str">
        <f>Ydelser!C84</f>
        <v>Gødskning</v>
      </c>
      <c r="D84" s="53" t="b">
        <v>1</v>
      </c>
      <c r="E84" s="12" t="s">
        <v>88</v>
      </c>
      <c r="F84" s="12">
        <v>9</v>
      </c>
      <c r="G84" s="25">
        <v>1</v>
      </c>
      <c r="H84" s="37" t="s">
        <v>85</v>
      </c>
      <c r="I84" s="21">
        <f>IF(D84,F84*G84*VLOOKUP(H84,Støtteark!$E$4:$F$20,2,FALSE),"")</f>
        <v>3465</v>
      </c>
    </row>
    <row r="85" spans="1:9" ht="15.75" outlineLevel="2" thickBot="1" x14ac:dyDescent="0.3">
      <c r="A85" s="30">
        <f>Ydelser!A85</f>
        <v>510</v>
      </c>
      <c r="B85" s="152">
        <v>9</v>
      </c>
      <c r="C85" s="3" t="str">
        <f>Ydelser!C85</f>
        <v>Vanding</v>
      </c>
      <c r="D85" s="53" t="b">
        <v>1</v>
      </c>
      <c r="E85" s="12" t="s">
        <v>88</v>
      </c>
      <c r="F85" s="12">
        <v>9</v>
      </c>
      <c r="G85" s="25">
        <v>1</v>
      </c>
      <c r="H85" s="37" t="s">
        <v>85</v>
      </c>
      <c r="I85" s="21">
        <f>IF(D85,F85*G85*VLOOKUP(H85,Støtteark!$E$4:$F$20,2,FALSE),"")</f>
        <v>3465</v>
      </c>
    </row>
    <row r="86" spans="1:9" ht="15.75" outlineLevel="2" thickBot="1" x14ac:dyDescent="0.3">
      <c r="A86" s="30">
        <f>Ydelser!A86</f>
        <v>511</v>
      </c>
      <c r="B86" s="152">
        <v>9</v>
      </c>
      <c r="C86" s="3" t="str">
        <f>Ydelser!C86</f>
        <v>Planter og stauder</v>
      </c>
      <c r="D86" s="53" t="b">
        <v>0</v>
      </c>
      <c r="E86" s="12" t="s">
        <v>88</v>
      </c>
      <c r="F86" s="12">
        <v>9</v>
      </c>
      <c r="G86" s="25">
        <v>1</v>
      </c>
      <c r="H86" s="37" t="s">
        <v>85</v>
      </c>
      <c r="I86" s="21" t="str">
        <f>IF(D86,F86*G86*VLOOKUP(H86,Støtteark!$E$4:$F$20,2,FALSE),"")</f>
        <v/>
      </c>
    </row>
    <row r="87" spans="1:9" ht="15.75" outlineLevel="2" thickBot="1" x14ac:dyDescent="0.3">
      <c r="A87" s="30">
        <f>Ydelser!A87</f>
        <v>512</v>
      </c>
      <c r="B87" s="3" t="str">
        <f>Ydelser!B87</f>
        <v>Græspasning</v>
      </c>
      <c r="C87" s="8"/>
      <c r="E87" s="89"/>
      <c r="F87" s="89"/>
      <c r="G87" s="90"/>
      <c r="H87" s="87"/>
      <c r="I87" s="88"/>
    </row>
    <row r="88" spans="1:9" ht="15.75" outlineLevel="2" thickBot="1" x14ac:dyDescent="0.3">
      <c r="A88" s="30">
        <f>Ydelser!A88</f>
        <v>513</v>
      </c>
      <c r="B88" s="152">
        <v>10</v>
      </c>
      <c r="C88" s="3" t="str">
        <f>Ydelser!C88</f>
        <v>Græsslåning</v>
      </c>
      <c r="D88" s="53" t="b">
        <v>0</v>
      </c>
      <c r="E88" s="12" t="s">
        <v>88</v>
      </c>
      <c r="F88" s="12">
        <v>26</v>
      </c>
      <c r="G88" s="25">
        <v>1</v>
      </c>
      <c r="H88" s="37" t="s">
        <v>392</v>
      </c>
      <c r="I88" s="21" t="str">
        <f>IF(D88,F88*G88*VLOOKUP(H88,Støtteark!$E$4:$F$20,2,FALSE),"")</f>
        <v/>
      </c>
    </row>
    <row r="89" spans="1:9" ht="15.75" outlineLevel="2" thickBot="1" x14ac:dyDescent="0.3">
      <c r="A89" s="30">
        <f>Ydelser!A89</f>
        <v>514</v>
      </c>
      <c r="B89" s="152">
        <v>10</v>
      </c>
      <c r="C89" s="3" t="str">
        <f>Ydelser!C89</f>
        <v>Slåning af græskanter</v>
      </c>
      <c r="D89" s="53" t="b">
        <v>0</v>
      </c>
      <c r="E89" s="12" t="s">
        <v>88</v>
      </c>
      <c r="F89" s="12">
        <v>9</v>
      </c>
      <c r="G89" s="25">
        <v>1</v>
      </c>
      <c r="H89" s="37" t="s">
        <v>85</v>
      </c>
      <c r="I89" s="21" t="str">
        <f>IF(D89,F89*G89*VLOOKUP(H89,Støtteark!$E$4:$F$20,2,FALSE),"")</f>
        <v/>
      </c>
    </row>
    <row r="90" spans="1:9" ht="15.75" outlineLevel="2" thickBot="1" x14ac:dyDescent="0.3">
      <c r="A90" s="30">
        <f>Ydelser!A90</f>
        <v>515</v>
      </c>
      <c r="B90" s="152">
        <v>10</v>
      </c>
      <c r="C90" s="3" t="str">
        <f>Ydelser!C90</f>
        <v>Skæring af græskanter</v>
      </c>
      <c r="D90" s="53" t="b">
        <v>0</v>
      </c>
      <c r="E90" s="12" t="s">
        <v>88</v>
      </c>
      <c r="F90" s="12">
        <v>1</v>
      </c>
      <c r="G90" s="25">
        <v>6</v>
      </c>
      <c r="H90" s="37" t="s">
        <v>85</v>
      </c>
      <c r="I90" s="21" t="str">
        <f>IF(D90,F90*G90*VLOOKUP(H90,Støtteark!$E$4:$F$20,2,FALSE),"")</f>
        <v/>
      </c>
    </row>
    <row r="91" spans="1:9" ht="15.75" outlineLevel="2" thickBot="1" x14ac:dyDescent="0.3">
      <c r="A91" s="30">
        <f>Ydelser!A91</f>
        <v>516</v>
      </c>
      <c r="B91" s="152">
        <v>10</v>
      </c>
      <c r="C91" s="3" t="str">
        <f>Ydelser!C91</f>
        <v>Gødskning af plæner</v>
      </c>
      <c r="D91" s="53" t="b">
        <v>0</v>
      </c>
      <c r="E91" s="12" t="s">
        <v>88</v>
      </c>
      <c r="F91" s="12">
        <v>9</v>
      </c>
      <c r="G91" s="25">
        <v>1</v>
      </c>
      <c r="H91" s="37" t="s">
        <v>85</v>
      </c>
      <c r="I91" s="21" t="str">
        <f>IF(D91,F91*G91*VLOOKUP(H91,Støtteark!$E$4:$F$20,2,FALSE),"")</f>
        <v/>
      </c>
    </row>
    <row r="92" spans="1:9" ht="15.75" outlineLevel="2" thickBot="1" x14ac:dyDescent="0.3">
      <c r="A92" s="30">
        <f>Ydelser!A92</f>
        <v>517</v>
      </c>
      <c r="B92" s="152">
        <v>10</v>
      </c>
      <c r="C92" s="3" t="str">
        <f>Ydelser!C92</f>
        <v>Vanding</v>
      </c>
      <c r="D92" s="53" t="b">
        <v>0</v>
      </c>
      <c r="E92" s="12" t="s">
        <v>88</v>
      </c>
      <c r="F92" s="12">
        <v>9</v>
      </c>
      <c r="G92" s="25">
        <v>1</v>
      </c>
      <c r="H92" s="37" t="s">
        <v>85</v>
      </c>
      <c r="I92" s="21" t="str">
        <f>IF(D92,F92*G92*VLOOKUP(H92,Støtteark!$E$4:$F$20,2,FALSE),"")</f>
        <v/>
      </c>
    </row>
    <row r="93" spans="1:9" ht="15.75" outlineLevel="2" thickBot="1" x14ac:dyDescent="0.3">
      <c r="A93" s="30">
        <f>Ydelser!A93</f>
        <v>518</v>
      </c>
      <c r="B93" s="152">
        <v>10</v>
      </c>
      <c r="C93" s="3" t="str">
        <f>Ydelser!C93</f>
        <v>Græshøstning</v>
      </c>
      <c r="D93" s="53" t="b">
        <v>0</v>
      </c>
      <c r="E93" s="12" t="s">
        <v>88</v>
      </c>
      <c r="F93" s="12">
        <v>9</v>
      </c>
      <c r="G93" s="25">
        <v>1</v>
      </c>
      <c r="H93" s="37" t="s">
        <v>85</v>
      </c>
      <c r="I93" s="21" t="str">
        <f>IF(D93,F93*G93*VLOOKUP(H93,Støtteark!$E$4:$F$20,2,FALSE),"")</f>
        <v/>
      </c>
    </row>
    <row r="94" spans="1:9" ht="39" outlineLevel="2" thickBot="1" x14ac:dyDescent="0.3">
      <c r="A94" s="30">
        <f>Ydelser!A94</f>
        <v>519</v>
      </c>
      <c r="B94" s="3" t="str">
        <f>Ydelser!B94</f>
        <v>Pasning af busketter, hække og træer</v>
      </c>
      <c r="C94" s="8"/>
      <c r="E94" s="89"/>
      <c r="F94" s="89"/>
      <c r="G94" s="90"/>
      <c r="H94" s="87"/>
      <c r="I94" s="88"/>
    </row>
    <row r="95" spans="1:9" ht="15.75" outlineLevel="2" thickBot="1" x14ac:dyDescent="0.3">
      <c r="A95" s="30">
        <f>Ydelser!A95</f>
        <v>520</v>
      </c>
      <c r="B95" s="5"/>
      <c r="C95" s="3" t="str">
        <f>Ydelser!C95</f>
        <v>Hækkeklipning</v>
      </c>
      <c r="D95" s="53" t="b">
        <v>0</v>
      </c>
      <c r="E95" s="12" t="s">
        <v>88</v>
      </c>
      <c r="F95" s="12">
        <v>2</v>
      </c>
      <c r="G95" s="25">
        <v>32</v>
      </c>
      <c r="H95" s="37" t="s">
        <v>85</v>
      </c>
      <c r="I95" s="21" t="str">
        <f>IF(D95,F95*G95*VLOOKUP(H95,Støtteark!$E$4:$F$20,2,FALSE),"")</f>
        <v/>
      </c>
    </row>
    <row r="96" spans="1:9" ht="15.75" outlineLevel="2" thickBot="1" x14ac:dyDescent="0.3">
      <c r="A96" s="30">
        <f>Ydelser!A96</f>
        <v>521</v>
      </c>
      <c r="B96" s="152">
        <v>11</v>
      </c>
      <c r="C96" s="3" t="str">
        <f>Ydelser!C96</f>
        <v>Træer, beskæring</v>
      </c>
      <c r="D96" s="53" t="b">
        <v>0</v>
      </c>
      <c r="E96" s="12" t="s">
        <v>88</v>
      </c>
      <c r="F96" s="12">
        <v>1</v>
      </c>
      <c r="G96" s="25">
        <v>8</v>
      </c>
      <c r="H96" s="37" t="s">
        <v>85</v>
      </c>
      <c r="I96" s="21" t="str">
        <f>IF(D96,F96*G96*VLOOKUP(H96,Støtteark!$E$4:$F$20,2,FALSE),"")</f>
        <v/>
      </c>
    </row>
    <row r="97" spans="1:12" ht="15.75" outlineLevel="2" thickBot="1" x14ac:dyDescent="0.3">
      <c r="A97" s="30">
        <f>Ydelser!A97</f>
        <v>522</v>
      </c>
      <c r="B97" s="152">
        <v>11</v>
      </c>
      <c r="C97" s="3" t="str">
        <f>Ydelser!C97</f>
        <v>Busket, partiel beskæring</v>
      </c>
      <c r="D97" s="53" t="b">
        <v>0</v>
      </c>
      <c r="E97" s="12" t="s">
        <v>88</v>
      </c>
      <c r="F97" s="12">
        <v>1</v>
      </c>
      <c r="G97" s="25">
        <v>4</v>
      </c>
      <c r="H97" s="37" t="s">
        <v>85</v>
      </c>
      <c r="I97" s="21" t="str">
        <f>IF(D97,F97*G97*VLOOKUP(H97,Støtteark!$E$4:$F$20,2,FALSE),"")</f>
        <v/>
      </c>
    </row>
    <row r="98" spans="1:12" ht="15.75" outlineLevel="2" thickBot="1" x14ac:dyDescent="0.3">
      <c r="A98" s="30">
        <f>Ydelser!A98</f>
        <v>523</v>
      </c>
      <c r="B98" s="152">
        <v>11</v>
      </c>
      <c r="C98" s="3" t="str">
        <f>Ydelser!C98</f>
        <v>Gødskning</v>
      </c>
      <c r="D98" s="53" t="b">
        <v>0</v>
      </c>
      <c r="E98" s="12" t="s">
        <v>88</v>
      </c>
      <c r="F98" s="12">
        <v>9</v>
      </c>
      <c r="G98" s="25">
        <v>1</v>
      </c>
      <c r="H98" s="37" t="s">
        <v>85</v>
      </c>
      <c r="I98" s="21" t="str">
        <f>IF(D98,F98*G98*VLOOKUP(H98,Støtteark!$E$4:$F$20,2,FALSE),"")</f>
        <v/>
      </c>
    </row>
    <row r="99" spans="1:12" ht="15.75" outlineLevel="2" thickBot="1" x14ac:dyDescent="0.3">
      <c r="A99" s="30">
        <f>Ydelser!A99</f>
        <v>524</v>
      </c>
      <c r="B99" s="152">
        <v>11</v>
      </c>
      <c r="C99" s="3" t="str">
        <f>Ydelser!C99</f>
        <v>Vanding</v>
      </c>
      <c r="D99" s="53" t="b">
        <v>0</v>
      </c>
      <c r="E99" s="13" t="s">
        <v>88</v>
      </c>
      <c r="F99" s="14">
        <v>9</v>
      </c>
      <c r="G99" s="28">
        <v>10</v>
      </c>
      <c r="H99" s="135" t="s">
        <v>85</v>
      </c>
      <c r="I99" s="19" t="str">
        <f>IF(D99,F99*G99*VLOOKUP(H99,Støtteark!$E$4:$F$20,2,FALSE),"")</f>
        <v/>
      </c>
    </row>
    <row r="100" spans="1:12" ht="15.75" outlineLevel="1" thickBot="1" x14ac:dyDescent="0.3">
      <c r="A100" s="31"/>
      <c r="B100" s="1"/>
      <c r="C100" s="2"/>
      <c r="E100" s="35"/>
      <c r="F100" s="35"/>
      <c r="G100" s="36"/>
      <c r="H100" s="36"/>
      <c r="I100" s="21"/>
      <c r="J100" s="20">
        <f>SUM(I75:I99)</f>
        <v>17325</v>
      </c>
    </row>
    <row r="101" spans="1:12" ht="15.75" outlineLevel="1" thickBot="1" x14ac:dyDescent="0.3">
      <c r="A101" s="29">
        <f>Ydelser!A101</f>
        <v>600</v>
      </c>
      <c r="B101" s="7" t="str">
        <f>Ydelser!B101</f>
        <v>Vinter - DEAS</v>
      </c>
      <c r="C101" s="51"/>
      <c r="D101" s="51"/>
      <c r="E101" s="51"/>
      <c r="F101" s="51"/>
      <c r="G101" s="51"/>
      <c r="H101" s="51"/>
      <c r="I101" s="51"/>
      <c r="J101" s="51"/>
      <c r="K101" s="51"/>
      <c r="L101" s="51"/>
    </row>
    <row r="102" spans="1:12" ht="15.75" outlineLevel="2" thickBot="1" x14ac:dyDescent="0.3">
      <c r="A102" s="30">
        <f>Ydelser!A102</f>
        <v>601</v>
      </c>
      <c r="B102" s="5"/>
      <c r="C102" s="3" t="str">
        <f>Ydelser!C102</f>
        <v>Saltning</v>
      </c>
      <c r="D102" s="53" t="b">
        <v>0</v>
      </c>
      <c r="E102" s="12" t="s">
        <v>377</v>
      </c>
      <c r="F102" s="12">
        <v>0</v>
      </c>
      <c r="G102" s="25">
        <v>0</v>
      </c>
      <c r="H102" s="37" t="s">
        <v>299</v>
      </c>
      <c r="I102" s="21" t="str">
        <f>IF(D102,F102*G102*VLOOKUP(H102,Støtteark!$E$4:$F$20,2,FALSE),"")</f>
        <v/>
      </c>
    </row>
    <row r="103" spans="1:12" ht="15.75" outlineLevel="2" thickBot="1" x14ac:dyDescent="0.3">
      <c r="A103" s="30">
        <f>Ydelser!A103</f>
        <v>602</v>
      </c>
      <c r="B103" s="5"/>
      <c r="C103" s="3" t="str">
        <f>Ydelser!C103</f>
        <v>Snerydning inkl. saltning</v>
      </c>
      <c r="D103" s="53" t="b">
        <v>0</v>
      </c>
      <c r="E103" s="12" t="s">
        <v>377</v>
      </c>
      <c r="F103" s="12">
        <v>0</v>
      </c>
      <c r="G103" s="25">
        <v>0</v>
      </c>
      <c r="H103" s="37" t="s">
        <v>299</v>
      </c>
      <c r="I103" s="21" t="str">
        <f>IF(D103,F103*G103*VLOOKUP(H103,Støtteark!$E$4:$F$20,2,FALSE),"")</f>
        <v/>
      </c>
    </row>
    <row r="104" spans="1:12" ht="15.75" outlineLevel="2" thickBot="1" x14ac:dyDescent="0.3">
      <c r="A104" s="30">
        <f>Ydelser!A104</f>
        <v>603</v>
      </c>
      <c r="B104" s="5"/>
      <c r="C104" s="3" t="str">
        <f>Ydelser!C104</f>
        <v>Sæsonovervågning</v>
      </c>
      <c r="D104" s="53" t="b">
        <v>0</v>
      </c>
      <c r="E104" s="13" t="s">
        <v>377</v>
      </c>
      <c r="F104" s="14">
        <v>0</v>
      </c>
      <c r="G104" s="28">
        <v>0</v>
      </c>
      <c r="H104" s="135" t="s">
        <v>299</v>
      </c>
      <c r="I104" s="19" t="str">
        <f>IF(D104,F104*G104*VLOOKUP(H104,Støtteark!$E$4:$F$20,2,FALSE),"")</f>
        <v/>
      </c>
    </row>
    <row r="105" spans="1:12" ht="15.75" outlineLevel="1" thickBot="1" x14ac:dyDescent="0.3">
      <c r="A105" s="31"/>
      <c r="B105" s="1"/>
      <c r="C105" s="2"/>
      <c r="H105" s="25"/>
      <c r="J105" s="20">
        <f>SUM(I101:I104)</f>
        <v>0</v>
      </c>
    </row>
    <row r="106" spans="1:12" ht="15.75" outlineLevel="1" thickBot="1" x14ac:dyDescent="0.3">
      <c r="A106" s="29">
        <f>Ydelser!A106</f>
        <v>700</v>
      </c>
      <c r="B106" s="7" t="str">
        <f>Ydelser!B106</f>
        <v>Flytninger</v>
      </c>
      <c r="C106" s="51"/>
      <c r="D106" s="51"/>
      <c r="E106" s="51"/>
      <c r="F106" s="51"/>
      <c r="G106" s="51"/>
      <c r="H106" s="51"/>
      <c r="I106" s="51"/>
      <c r="J106" s="51"/>
      <c r="K106" s="51"/>
      <c r="L106" s="51"/>
    </row>
    <row r="107" spans="1:12" ht="15.75" outlineLevel="2" thickBot="1" x14ac:dyDescent="0.3">
      <c r="A107" s="30">
        <f>Ydelser!A107</f>
        <v>701</v>
      </c>
      <c r="B107" s="3"/>
      <c r="C107" s="3" t="str">
        <f>Ydelser!C107</f>
        <v>Fremvisning</v>
      </c>
      <c r="D107" s="53" t="b">
        <v>1</v>
      </c>
      <c r="E107" s="12" t="s">
        <v>377</v>
      </c>
      <c r="F107" s="12">
        <v>0</v>
      </c>
      <c r="G107" s="25">
        <v>0</v>
      </c>
      <c r="H107" s="37" t="s">
        <v>86</v>
      </c>
      <c r="I107" s="21">
        <f>IF(D107,F107*G107*VLOOKUP(H107,Støtteark!$E$4:$F$20,2,FALSE),"")</f>
        <v>0</v>
      </c>
    </row>
    <row r="108" spans="1:12" ht="15.75" outlineLevel="2" thickBot="1" x14ac:dyDescent="0.3">
      <c r="A108" s="30">
        <f>Ydelser!A108</f>
        <v>702</v>
      </c>
      <c r="B108" s="3"/>
      <c r="C108" s="3" t="str">
        <f>Ydelser!C108</f>
        <v>Indflytning</v>
      </c>
      <c r="D108" s="53" t="b">
        <v>1</v>
      </c>
      <c r="E108" s="12" t="s">
        <v>377</v>
      </c>
      <c r="F108" s="12">
        <v>0</v>
      </c>
      <c r="G108" s="25">
        <v>0</v>
      </c>
      <c r="H108" s="37" t="s">
        <v>86</v>
      </c>
      <c r="I108" s="21">
        <f>IF(D108,F108*G108*VLOOKUP(H108,Støtteark!$E$4:$F$20,2,FALSE),"")</f>
        <v>0</v>
      </c>
    </row>
    <row r="109" spans="1:12" ht="15.75" outlineLevel="2" thickBot="1" x14ac:dyDescent="0.3">
      <c r="A109" s="30">
        <f>Ydelser!A109</f>
        <v>703</v>
      </c>
      <c r="B109" s="3"/>
      <c r="C109" s="3" t="str">
        <f>Ydelser!C109</f>
        <v>Fraflytning</v>
      </c>
      <c r="D109" s="53" t="b">
        <v>1</v>
      </c>
      <c r="E109" s="12" t="s">
        <v>377</v>
      </c>
      <c r="F109" s="12">
        <v>0</v>
      </c>
      <c r="G109" s="25">
        <v>0</v>
      </c>
      <c r="H109" s="37" t="s">
        <v>86</v>
      </c>
      <c r="I109" s="21">
        <f>IF(D109,F109*G109*VLOOKUP(H109,Støtteark!$E$4:$F$20,2,FALSE),"")</f>
        <v>0</v>
      </c>
    </row>
    <row r="110" spans="1:12" ht="15.75" outlineLevel="2" thickBot="1" x14ac:dyDescent="0.3">
      <c r="A110" s="30">
        <f>Ydelser!A110</f>
        <v>704</v>
      </c>
      <c r="B110" s="5"/>
      <c r="C110" s="3" t="str">
        <f>Ydelser!C110</f>
        <v>Bestillinger</v>
      </c>
      <c r="D110" s="53" t="b">
        <v>1</v>
      </c>
      <c r="E110" s="13" t="s">
        <v>377</v>
      </c>
      <c r="F110" s="14">
        <v>0</v>
      </c>
      <c r="G110" s="28">
        <v>0</v>
      </c>
      <c r="H110" s="135" t="s">
        <v>196</v>
      </c>
      <c r="I110" s="19">
        <f>IF(D110,F110*G110*VLOOKUP(H110,Støtteark!$E$4:$F$20,2,FALSE),"")</f>
        <v>0</v>
      </c>
    </row>
    <row r="111" spans="1:12" ht="15.75" outlineLevel="1" thickBot="1" x14ac:dyDescent="0.3">
      <c r="A111" s="31"/>
      <c r="B111" s="1"/>
      <c r="C111" s="2"/>
      <c r="H111" s="25"/>
      <c r="J111" s="20">
        <f>SUM(I106:I110)</f>
        <v>0</v>
      </c>
    </row>
    <row r="112" spans="1:12" ht="39" outlineLevel="1" thickBot="1" x14ac:dyDescent="0.3">
      <c r="A112" s="29">
        <f>Ydelser!A112</f>
        <v>800</v>
      </c>
      <c r="B112" s="7" t="str">
        <f>Ydelser!B112</f>
        <v>Udføres af samarbejdspartner</v>
      </c>
      <c r="C112" s="51"/>
      <c r="D112" s="51"/>
      <c r="E112" s="51"/>
      <c r="F112" s="51"/>
      <c r="G112" s="51"/>
      <c r="H112" s="51"/>
      <c r="I112" s="51"/>
      <c r="J112" s="51"/>
      <c r="K112" s="51"/>
      <c r="L112" s="51"/>
    </row>
    <row r="113" spans="1:10" ht="26.25" outlineLevel="2" thickBot="1" x14ac:dyDescent="0.3">
      <c r="A113" s="30">
        <f t="shared" ref="A113:A127" si="0">1+A112</f>
        <v>801</v>
      </c>
      <c r="B113" s="3" t="str">
        <f>Ydelser!B113</f>
        <v>Teknik og serviceaftaler</v>
      </c>
      <c r="C113" s="8"/>
      <c r="H113" s="25"/>
      <c r="I113" s="21"/>
    </row>
    <row r="114" spans="1:10" ht="15.75" outlineLevel="2" thickBot="1" x14ac:dyDescent="0.3">
      <c r="A114" s="30">
        <f t="shared" si="0"/>
        <v>802</v>
      </c>
      <c r="B114" s="3"/>
      <c r="C114" s="3" t="str">
        <f>Ydelser!C114</f>
        <v>Årligt, lovpligtigt eftersyn af legeplads</v>
      </c>
      <c r="D114" s="53" t="b">
        <v>0</v>
      </c>
      <c r="E114" s="12" t="s">
        <v>377</v>
      </c>
      <c r="F114" s="12">
        <v>0</v>
      </c>
      <c r="G114" s="25">
        <v>0</v>
      </c>
      <c r="H114" s="37" t="s">
        <v>187</v>
      </c>
      <c r="I114" s="21" t="str">
        <f>IF(D114,F114*G114*VLOOKUP(H114,Støtteark!$E$4:$F$20,2,FALSE),"")</f>
        <v/>
      </c>
    </row>
    <row r="115" spans="1:10" ht="15.75" outlineLevel="2" thickBot="1" x14ac:dyDescent="0.3">
      <c r="A115" s="30">
        <f t="shared" si="0"/>
        <v>803</v>
      </c>
      <c r="B115" s="3"/>
      <c r="C115" s="3" t="str">
        <f>Ydelser!C115</f>
        <v>Hjertestarter</v>
      </c>
      <c r="D115" s="53" t="b">
        <v>0</v>
      </c>
      <c r="E115" s="12" t="s">
        <v>377</v>
      </c>
      <c r="F115" s="12">
        <v>0</v>
      </c>
      <c r="G115" s="25">
        <v>0</v>
      </c>
      <c r="H115" s="37" t="s">
        <v>187</v>
      </c>
      <c r="I115" s="21" t="str">
        <f>IF(D115,F115*G115*VLOOKUP(H115,Støtteark!$E$4:$F$20,2,FALSE),"")</f>
        <v/>
      </c>
    </row>
    <row r="116" spans="1:10" ht="15.75" outlineLevel="2" thickBot="1" x14ac:dyDescent="0.3">
      <c r="A116" s="30">
        <f t="shared" si="0"/>
        <v>804</v>
      </c>
      <c r="B116" s="3"/>
      <c r="C116" s="3" t="str">
        <f>Ydelser!C116</f>
        <v>Brandudstyr</v>
      </c>
      <c r="D116" s="53" t="b">
        <v>0</v>
      </c>
      <c r="E116" s="12" t="s">
        <v>377</v>
      </c>
      <c r="F116" s="12">
        <v>0</v>
      </c>
      <c r="G116" s="25">
        <v>0</v>
      </c>
      <c r="H116" s="37" t="s">
        <v>187</v>
      </c>
      <c r="I116" s="21" t="str">
        <f>IF(D116,F116*G116*VLOOKUP(H116,Støtteark!$E$4:$F$20,2,FALSE),"")</f>
        <v/>
      </c>
    </row>
    <row r="117" spans="1:10" ht="15.75" outlineLevel="2" thickBot="1" x14ac:dyDescent="0.3">
      <c r="A117" s="30">
        <f t="shared" si="0"/>
        <v>805</v>
      </c>
      <c r="B117" s="3"/>
      <c r="C117" s="3" t="str">
        <f>Ydelser!C117</f>
        <v>"ABx udstyr" (almindelige brandtekniske anlæg)</v>
      </c>
      <c r="D117" s="53" t="b">
        <v>0</v>
      </c>
      <c r="E117" s="12" t="s">
        <v>377</v>
      </c>
      <c r="F117" s="12">
        <v>0</v>
      </c>
      <c r="G117" s="25">
        <v>0</v>
      </c>
      <c r="H117" s="37" t="s">
        <v>187</v>
      </c>
      <c r="I117" s="21" t="str">
        <f>IF(D117,F117*G117*VLOOKUP(H117,Støtteark!$E$4:$F$20,2,FALSE),"")</f>
        <v/>
      </c>
    </row>
    <row r="118" spans="1:10" ht="15.75" outlineLevel="2" thickBot="1" x14ac:dyDescent="0.3">
      <c r="A118" s="30">
        <f t="shared" si="0"/>
        <v>806</v>
      </c>
      <c r="B118" s="3"/>
      <c r="C118" s="3" t="str">
        <f>Ydelser!C118</f>
        <v>Sikring (alarm, AIA, overvågning og vagt)</v>
      </c>
      <c r="D118" s="53" t="b">
        <v>0</v>
      </c>
      <c r="E118" s="12" t="s">
        <v>377</v>
      </c>
      <c r="F118" s="12">
        <v>0</v>
      </c>
      <c r="G118" s="25">
        <v>0</v>
      </c>
      <c r="H118" s="37" t="s">
        <v>187</v>
      </c>
      <c r="I118" s="21" t="str">
        <f>IF(D118,F118*G118*VLOOKUP(H118,Støtteark!$E$4:$F$20,2,FALSE),"")</f>
        <v/>
      </c>
    </row>
    <row r="119" spans="1:10" ht="15.75" outlineLevel="2" thickBot="1" x14ac:dyDescent="0.3">
      <c r="A119" s="30">
        <f t="shared" si="0"/>
        <v>807</v>
      </c>
      <c r="B119" s="3" t="str">
        <f>Ydelser!B119</f>
        <v>Renhold</v>
      </c>
      <c r="C119" s="4"/>
      <c r="H119" s="25"/>
      <c r="I119" s="21"/>
    </row>
    <row r="120" spans="1:10" ht="15.75" outlineLevel="2" thickBot="1" x14ac:dyDescent="0.3">
      <c r="A120" s="30">
        <f t="shared" si="0"/>
        <v>808</v>
      </c>
      <c r="B120" s="3"/>
      <c r="C120" s="3" t="str">
        <f>Ydelser!C120</f>
        <v>Graffitirens</v>
      </c>
      <c r="D120" s="53" t="b">
        <v>0</v>
      </c>
      <c r="E120" s="12" t="s">
        <v>377</v>
      </c>
      <c r="F120" s="12">
        <v>0</v>
      </c>
      <c r="G120" s="25">
        <v>0</v>
      </c>
      <c r="H120" s="37" t="s">
        <v>187</v>
      </c>
      <c r="I120" s="21" t="str">
        <f>IF(D120,F120*G120*VLOOKUP(H120,Støtteark!$E$4:$F$20,2,FALSE),"")</f>
        <v/>
      </c>
    </row>
    <row r="121" spans="1:10" ht="15.75" outlineLevel="2" thickBot="1" x14ac:dyDescent="0.3">
      <c r="A121" s="30">
        <f t="shared" si="0"/>
        <v>809</v>
      </c>
      <c r="B121" s="3"/>
      <c r="C121" s="3" t="str">
        <f>Ydelser!C121</f>
        <v>Containervask</v>
      </c>
      <c r="D121" s="53" t="b">
        <v>0</v>
      </c>
      <c r="E121" s="12" t="s">
        <v>377</v>
      </c>
      <c r="F121" s="12">
        <v>0</v>
      </c>
      <c r="G121" s="25">
        <v>0</v>
      </c>
      <c r="H121" s="37" t="s">
        <v>187</v>
      </c>
      <c r="I121" s="21" t="str">
        <f>IF(D121,F121*G121*VLOOKUP(H121,Støtteark!$E$4:$F$20,2,FALSE),"")</f>
        <v/>
      </c>
    </row>
    <row r="122" spans="1:10" ht="15.75" outlineLevel="2" thickBot="1" x14ac:dyDescent="0.3">
      <c r="A122" s="30">
        <f t="shared" si="0"/>
        <v>810</v>
      </c>
      <c r="B122" s="3"/>
      <c r="C122" s="3" t="str">
        <f>Ydelser!C122</f>
        <v>Vask af P-kælder</v>
      </c>
      <c r="D122" s="53" t="b">
        <v>0</v>
      </c>
      <c r="E122" s="12" t="s">
        <v>377</v>
      </c>
      <c r="F122" s="12">
        <v>0</v>
      </c>
      <c r="G122" s="25">
        <v>0</v>
      </c>
      <c r="H122" s="37" t="s">
        <v>187</v>
      </c>
      <c r="I122" s="21" t="str">
        <f>IF(D122,F122*G122*VLOOKUP(H122,Støtteark!$E$4:$F$20,2,FALSE),"")</f>
        <v/>
      </c>
    </row>
    <row r="123" spans="1:10" ht="15.75" outlineLevel="2" thickBot="1" x14ac:dyDescent="0.3">
      <c r="A123" s="30">
        <f t="shared" si="0"/>
        <v>811</v>
      </c>
      <c r="B123" s="3"/>
      <c r="C123" s="3" t="str">
        <f>Ydelser!C123</f>
        <v>Rengøring</v>
      </c>
      <c r="D123" s="53" t="b">
        <v>0</v>
      </c>
      <c r="E123" s="12" t="s">
        <v>377</v>
      </c>
      <c r="F123" s="12">
        <v>0</v>
      </c>
      <c r="G123" s="25">
        <v>0</v>
      </c>
      <c r="H123" s="37" t="s">
        <v>187</v>
      </c>
      <c r="I123" s="21" t="str">
        <f>IF(D123,F123*G123*VLOOKUP(H123,Støtteark!$E$4:$F$20,2,FALSE),"")</f>
        <v/>
      </c>
    </row>
    <row r="124" spans="1:10" ht="15.75" outlineLevel="2" thickBot="1" x14ac:dyDescent="0.3">
      <c r="A124" s="30">
        <f t="shared" si="0"/>
        <v>812</v>
      </c>
      <c r="B124" s="3" t="str">
        <f>Ydelser!B124</f>
        <v>Vinter</v>
      </c>
      <c r="C124" s="4"/>
      <c r="H124" s="25"/>
      <c r="I124" s="21"/>
    </row>
    <row r="125" spans="1:10" ht="15.75" outlineLevel="2" thickBot="1" x14ac:dyDescent="0.3">
      <c r="A125" s="30">
        <f t="shared" si="0"/>
        <v>813</v>
      </c>
      <c r="B125" s="3"/>
      <c r="C125" s="3" t="str">
        <f>Ydelser!C125</f>
        <v>Saltning</v>
      </c>
      <c r="D125" s="53" t="b">
        <v>0</v>
      </c>
      <c r="E125" s="12" t="s">
        <v>377</v>
      </c>
      <c r="F125" s="12">
        <v>0</v>
      </c>
      <c r="G125" s="25">
        <v>0</v>
      </c>
      <c r="H125" s="37" t="s">
        <v>187</v>
      </c>
      <c r="I125" s="21" t="str">
        <f>IF(D125,F125*G125*VLOOKUP(H125,Støtteark!$E$4:$F$20,2,FALSE),"")</f>
        <v/>
      </c>
    </row>
    <row r="126" spans="1:10" ht="15.75" outlineLevel="2" thickBot="1" x14ac:dyDescent="0.3">
      <c r="A126" s="30">
        <f t="shared" si="0"/>
        <v>814</v>
      </c>
      <c r="B126" s="3"/>
      <c r="C126" s="3" t="str">
        <f>Ydelser!C126</f>
        <v>Snerydning inkl. saltning</v>
      </c>
      <c r="D126" s="53" t="b">
        <v>0</v>
      </c>
      <c r="E126" s="12" t="s">
        <v>377</v>
      </c>
      <c r="F126" s="12">
        <v>0</v>
      </c>
      <c r="G126" s="25">
        <v>0</v>
      </c>
      <c r="H126" s="37" t="s">
        <v>187</v>
      </c>
      <c r="I126" s="21" t="str">
        <f>IF(D126,F126*G126*VLOOKUP(H126,Støtteark!$E$4:$F$20,2,FALSE),"")</f>
        <v/>
      </c>
    </row>
    <row r="127" spans="1:10" ht="15.75" outlineLevel="2" thickBot="1" x14ac:dyDescent="0.3">
      <c r="A127" s="30">
        <f t="shared" si="0"/>
        <v>815</v>
      </c>
      <c r="B127" s="5"/>
      <c r="C127" s="4" t="str">
        <f>Ydelser!C127</f>
        <v>Sæsonovervågning</v>
      </c>
      <c r="D127" s="53" t="b">
        <v>0</v>
      </c>
      <c r="E127" s="13" t="s">
        <v>377</v>
      </c>
      <c r="F127" s="14">
        <v>0</v>
      </c>
      <c r="G127" s="28">
        <v>0</v>
      </c>
      <c r="H127" s="135" t="s">
        <v>187</v>
      </c>
      <c r="I127" s="19" t="str">
        <f>IF(D127,F127*G127*VLOOKUP(H127,Støtteark!$E$4:$F$20,2,FALSE),"")</f>
        <v/>
      </c>
    </row>
    <row r="128" spans="1:10" ht="15.75" outlineLevel="1" thickBot="1" x14ac:dyDescent="0.3">
      <c r="A128" s="31"/>
      <c r="B128" s="1"/>
      <c r="C128" s="2"/>
      <c r="H128" s="25"/>
      <c r="J128" s="20">
        <f>SUM(I112:I127)</f>
        <v>0</v>
      </c>
    </row>
    <row r="129" spans="1:12" ht="26.25" outlineLevel="1" thickBot="1" x14ac:dyDescent="0.3">
      <c r="A129" s="29">
        <f>Ydelser!A129</f>
        <v>900</v>
      </c>
      <c r="B129" s="7" t="str">
        <f>Ydelser!B129</f>
        <v>Kundespecifikke ydelser</v>
      </c>
      <c r="C129" s="51"/>
      <c r="D129" s="51"/>
      <c r="E129" s="51"/>
      <c r="F129" s="51"/>
      <c r="G129" s="51"/>
      <c r="H129" s="51"/>
      <c r="I129" s="51"/>
      <c r="J129" s="51"/>
      <c r="K129" s="51"/>
      <c r="L129" s="51"/>
    </row>
    <row r="130" spans="1:12" ht="15.75" outlineLevel="2" thickBot="1" x14ac:dyDescent="0.3">
      <c r="A130" s="30">
        <f>Ydelser!A130</f>
        <v>901</v>
      </c>
      <c r="B130" s="30"/>
      <c r="C130" s="4" t="str">
        <f>Ydelser!C130</f>
        <v>Kundespecifik ydelse 1</v>
      </c>
      <c r="D130" s="53" t="b">
        <v>0</v>
      </c>
      <c r="E130" s="12" t="s">
        <v>300</v>
      </c>
      <c r="F130" s="12">
        <v>12</v>
      </c>
      <c r="H130" s="39" t="s">
        <v>86</v>
      </c>
      <c r="I130" s="21" t="str">
        <f>IF(D130,F130*G130*VLOOKUP(H130,Støtteark!$E$4:$F$20,2,FALSE),"")</f>
        <v/>
      </c>
    </row>
    <row r="131" spans="1:12" ht="15.75" outlineLevel="2" thickBot="1" x14ac:dyDescent="0.3">
      <c r="A131" s="30">
        <f>Ydelser!A131</f>
        <v>902</v>
      </c>
      <c r="B131" s="30"/>
      <c r="C131" s="4" t="str">
        <f>Ydelser!C131</f>
        <v>Kundespecifik ydelse 2</v>
      </c>
      <c r="D131" s="53" t="b">
        <v>0</v>
      </c>
      <c r="E131" s="12" t="s">
        <v>300</v>
      </c>
      <c r="F131" s="12">
        <v>12</v>
      </c>
      <c r="H131" s="39" t="s">
        <v>86</v>
      </c>
      <c r="I131" s="21" t="str">
        <f>IF(D131,F131*G131*VLOOKUP(H131,Støtteark!$E$4:$F$20,2,FALSE),"")</f>
        <v/>
      </c>
    </row>
    <row r="132" spans="1:12" ht="15.75" outlineLevel="2" thickBot="1" x14ac:dyDescent="0.3">
      <c r="A132" s="30">
        <f>Ydelser!A132</f>
        <v>903</v>
      </c>
      <c r="B132" s="30"/>
      <c r="C132" s="4" t="str">
        <f>Ydelser!C132</f>
        <v>Kundespecifik ydelse 3</v>
      </c>
      <c r="D132" s="53" t="b">
        <v>0</v>
      </c>
      <c r="E132" s="12" t="s">
        <v>300</v>
      </c>
      <c r="F132" s="12">
        <v>12</v>
      </c>
      <c r="H132" s="39" t="s">
        <v>86</v>
      </c>
      <c r="I132" s="21" t="str">
        <f>IF(D132,F132*G132*VLOOKUP(H132,Støtteark!$E$4:$F$20,2,FALSE),"")</f>
        <v/>
      </c>
    </row>
    <row r="133" spans="1:12" ht="15.75" outlineLevel="2" thickBot="1" x14ac:dyDescent="0.3">
      <c r="A133" s="30">
        <f>Ydelser!A133</f>
        <v>904</v>
      </c>
      <c r="B133" s="30"/>
      <c r="C133" s="4" t="str">
        <f>Ydelser!C133</f>
        <v>Kundespecifik ydelse 4</v>
      </c>
      <c r="D133" s="53" t="b">
        <v>0</v>
      </c>
      <c r="E133" s="12" t="s">
        <v>300</v>
      </c>
      <c r="F133" s="12">
        <v>12</v>
      </c>
      <c r="H133" s="39" t="s">
        <v>86</v>
      </c>
      <c r="I133" s="21" t="str">
        <f>IF(D133,F133*G133*VLOOKUP(H133,Støtteark!$E$4:$F$20,2,FALSE),"")</f>
        <v/>
      </c>
    </row>
    <row r="134" spans="1:12" ht="15.75" outlineLevel="2" thickBot="1" x14ac:dyDescent="0.3">
      <c r="A134" s="30">
        <f>Ydelser!A134</f>
        <v>905</v>
      </c>
      <c r="B134" s="30"/>
      <c r="C134" s="4" t="str">
        <f>Ydelser!C134</f>
        <v>Kundespecifik ydelse 5</v>
      </c>
      <c r="D134" s="53" t="b">
        <v>0</v>
      </c>
      <c r="E134" s="12" t="s">
        <v>300</v>
      </c>
      <c r="F134" s="12">
        <v>12</v>
      </c>
      <c r="H134" s="39" t="s">
        <v>86</v>
      </c>
      <c r="I134" s="21" t="str">
        <f>IF(D134,F134*G134*VLOOKUP(H134,Støtteark!$E$4:$F$20,2,FALSE),"")</f>
        <v/>
      </c>
    </row>
    <row r="135" spans="1:12" ht="15.75" outlineLevel="2" thickBot="1" x14ac:dyDescent="0.3">
      <c r="A135" s="30">
        <f>Ydelser!A135</f>
        <v>906</v>
      </c>
      <c r="B135" s="30"/>
      <c r="C135" s="4" t="str">
        <f>Ydelser!C135</f>
        <v>Kundespecifik ydelse 6</v>
      </c>
      <c r="D135" s="53" t="b">
        <v>0</v>
      </c>
      <c r="E135" s="12" t="s">
        <v>300</v>
      </c>
      <c r="F135" s="12">
        <v>12</v>
      </c>
      <c r="H135" s="39" t="s">
        <v>86</v>
      </c>
      <c r="I135" s="21" t="str">
        <f>IF(D135,F135*G135*VLOOKUP(H135,Støtteark!$E$4:$F$20,2,FALSE),"")</f>
        <v/>
      </c>
    </row>
    <row r="136" spans="1:12" ht="15.75" outlineLevel="2" thickBot="1" x14ac:dyDescent="0.3">
      <c r="A136" s="30">
        <f>Ydelser!A136</f>
        <v>907</v>
      </c>
      <c r="B136" s="30"/>
      <c r="C136" s="4" t="str">
        <f>Ydelser!C136</f>
        <v>Kundespecifik ydelse 7</v>
      </c>
      <c r="D136" s="53" t="b">
        <v>0</v>
      </c>
      <c r="E136" s="12" t="s">
        <v>300</v>
      </c>
      <c r="F136" s="12">
        <v>12</v>
      </c>
      <c r="H136" s="39" t="s">
        <v>86</v>
      </c>
      <c r="I136" s="21" t="str">
        <f>IF(D136,F136*G136*VLOOKUP(H136,Støtteark!$E$4:$F$20,2,FALSE),"")</f>
        <v/>
      </c>
    </row>
    <row r="137" spans="1:12" ht="15.75" outlineLevel="2" thickBot="1" x14ac:dyDescent="0.3">
      <c r="A137" s="30">
        <f>Ydelser!A137</f>
        <v>908</v>
      </c>
      <c r="B137" s="30"/>
      <c r="C137" s="4" t="str">
        <f>Ydelser!C137</f>
        <v>Kundespecifik ydelse 8</v>
      </c>
      <c r="D137" s="53" t="b">
        <v>0</v>
      </c>
      <c r="E137" s="12" t="s">
        <v>300</v>
      </c>
      <c r="F137" s="12">
        <v>12</v>
      </c>
      <c r="H137" s="39" t="s">
        <v>86</v>
      </c>
      <c r="I137" s="21" t="str">
        <f>IF(D137,F137*G137*VLOOKUP(H137,Støtteark!$E$4:$F$20,2,FALSE),"")</f>
        <v/>
      </c>
    </row>
    <row r="138" spans="1:12" ht="15.75" outlineLevel="2" thickBot="1" x14ac:dyDescent="0.3">
      <c r="A138" s="30">
        <f>Ydelser!A138</f>
        <v>909</v>
      </c>
      <c r="B138" s="30"/>
      <c r="C138" s="4" t="str">
        <f>Ydelser!C138</f>
        <v>Kundespecifik ydelse 9</v>
      </c>
      <c r="D138" s="53" t="b">
        <v>0</v>
      </c>
      <c r="E138" s="12" t="s">
        <v>300</v>
      </c>
      <c r="F138" s="12">
        <v>12</v>
      </c>
      <c r="H138" s="39" t="s">
        <v>86</v>
      </c>
      <c r="I138" s="21" t="str">
        <f>IF(D138,F138*G138*VLOOKUP(H138,Støtteark!$E$4:$F$20,2,FALSE),"")</f>
        <v/>
      </c>
    </row>
    <row r="139" spans="1:12" ht="15.75" outlineLevel="2" thickBot="1" x14ac:dyDescent="0.3">
      <c r="A139" s="30">
        <f>Ydelser!A139</f>
        <v>910</v>
      </c>
      <c r="B139" s="30"/>
      <c r="C139" s="4" t="str">
        <f>Ydelser!C139</f>
        <v>Kundespecifik ydelse 10</v>
      </c>
      <c r="D139" s="53" t="b">
        <v>0</v>
      </c>
      <c r="E139" s="12" t="s">
        <v>300</v>
      </c>
      <c r="F139" s="12">
        <v>12</v>
      </c>
      <c r="H139" s="39" t="s">
        <v>86</v>
      </c>
      <c r="I139" s="21" t="str">
        <f>IF(D139,F139*G139*VLOOKUP(H139,Støtteark!$E$4:$F$20,2,FALSE),"")</f>
        <v/>
      </c>
    </row>
    <row r="140" spans="1:12" ht="15.75" outlineLevel="2" thickBot="1" x14ac:dyDescent="0.3">
      <c r="A140" s="30">
        <f>Ydelser!A140</f>
        <v>911</v>
      </c>
      <c r="B140" s="30"/>
      <c r="C140" s="4" t="str">
        <f>Ydelser!C140</f>
        <v>Kundespecifik ydelse 11</v>
      </c>
      <c r="D140" s="53" t="b">
        <v>0</v>
      </c>
      <c r="E140" s="12" t="s">
        <v>300</v>
      </c>
      <c r="F140" s="12">
        <v>12</v>
      </c>
      <c r="H140" s="39" t="s">
        <v>86</v>
      </c>
      <c r="I140" s="21" t="str">
        <f>IF(D140,F140*G140*VLOOKUP(H140,Støtteark!$E$4:$F$20,2,FALSE),"")</f>
        <v/>
      </c>
    </row>
    <row r="141" spans="1:12" ht="15.75" outlineLevel="2" thickBot="1" x14ac:dyDescent="0.3">
      <c r="A141" s="30">
        <f>Ydelser!A141</f>
        <v>912</v>
      </c>
      <c r="B141" s="30"/>
      <c r="C141" s="4" t="str">
        <f>Ydelser!C141</f>
        <v>Kundespecifik ydelse 12</v>
      </c>
      <c r="D141" s="53" t="b">
        <v>0</v>
      </c>
      <c r="E141" s="12" t="s">
        <v>300</v>
      </c>
      <c r="F141" s="12">
        <v>12</v>
      </c>
      <c r="H141" s="39" t="s">
        <v>86</v>
      </c>
      <c r="I141" s="21" t="str">
        <f>IF(D141,F141*G141*VLOOKUP(H141,Støtteark!$E$4:$F$20,2,FALSE),"")</f>
        <v/>
      </c>
    </row>
    <row r="142" spans="1:12" ht="15.75" outlineLevel="2" thickBot="1" x14ac:dyDescent="0.3">
      <c r="A142" s="30">
        <f>Ydelser!A142</f>
        <v>913</v>
      </c>
      <c r="B142" s="30"/>
      <c r="C142" s="4" t="str">
        <f>Ydelser!C142</f>
        <v>Kundespecifik ydelse 13</v>
      </c>
      <c r="D142" s="53" t="b">
        <v>0</v>
      </c>
      <c r="E142" s="12" t="s">
        <v>300</v>
      </c>
      <c r="F142" s="12">
        <v>12</v>
      </c>
      <c r="H142" s="39" t="s">
        <v>86</v>
      </c>
      <c r="I142" s="21" t="str">
        <f>IF(D142,F142*G142*VLOOKUP(H142,Støtteark!$E$4:$F$20,2,FALSE),"")</f>
        <v/>
      </c>
    </row>
    <row r="143" spans="1:12" ht="15.75" outlineLevel="2" thickBot="1" x14ac:dyDescent="0.3">
      <c r="A143" s="30">
        <f>Ydelser!A143</f>
        <v>914</v>
      </c>
      <c r="B143" s="30"/>
      <c r="C143" s="4" t="str">
        <f>Ydelser!C143</f>
        <v>Kundespecifik ydelse 14</v>
      </c>
      <c r="D143" s="53"/>
      <c r="E143" s="12" t="s">
        <v>300</v>
      </c>
      <c r="F143" s="12">
        <v>12</v>
      </c>
      <c r="H143" s="39" t="s">
        <v>86</v>
      </c>
      <c r="I143" s="21" t="str">
        <f>IF(D143,F143*G143*VLOOKUP(H143,Støtteark!$E$4:$F$20,2,FALSE),"")</f>
        <v/>
      </c>
    </row>
    <row r="144" spans="1:12" ht="15.75" outlineLevel="2" thickBot="1" x14ac:dyDescent="0.3">
      <c r="A144" s="30">
        <f>Ydelser!A144</f>
        <v>915</v>
      </c>
      <c r="B144" s="30"/>
      <c r="C144" s="4" t="str">
        <f>Ydelser!C144</f>
        <v>Kundespecifik ydelse 15</v>
      </c>
      <c r="D144" s="53"/>
      <c r="E144" s="12" t="s">
        <v>300</v>
      </c>
      <c r="F144" s="12">
        <v>12</v>
      </c>
      <c r="H144" s="39" t="s">
        <v>86</v>
      </c>
      <c r="I144" s="21" t="str">
        <f>IF(D144,F144*G144*VLOOKUP(H144,Støtteark!$E$4:$F$20,2,FALSE),"")</f>
        <v/>
      </c>
    </row>
    <row r="145" spans="1:12" ht="15.75" outlineLevel="2" thickBot="1" x14ac:dyDescent="0.3">
      <c r="A145" s="30">
        <f>Ydelser!A145</f>
        <v>916</v>
      </c>
      <c r="B145" s="30"/>
      <c r="C145" s="4" t="str">
        <f>Ydelser!C145</f>
        <v>Kundespecifik ydelse 16</v>
      </c>
      <c r="D145" s="53"/>
      <c r="E145" s="12" t="s">
        <v>300</v>
      </c>
      <c r="F145" s="12">
        <v>12</v>
      </c>
      <c r="H145" s="39" t="s">
        <v>86</v>
      </c>
      <c r="I145" s="21" t="str">
        <f>IF(D145,F145*G145*VLOOKUP(H145,Støtteark!$E$4:$F$20,2,FALSE),"")</f>
        <v/>
      </c>
    </row>
    <row r="146" spans="1:12" ht="15.75" outlineLevel="2" thickBot="1" x14ac:dyDescent="0.3">
      <c r="A146" s="30">
        <f>Ydelser!A146</f>
        <v>917</v>
      </c>
      <c r="B146" s="30"/>
      <c r="C146" s="4" t="str">
        <f>Ydelser!C146</f>
        <v>Kundespecifik ydelse 17</v>
      </c>
      <c r="D146" s="53"/>
      <c r="E146" s="12" t="s">
        <v>300</v>
      </c>
      <c r="F146" s="12">
        <v>12</v>
      </c>
      <c r="H146" s="39" t="s">
        <v>86</v>
      </c>
      <c r="I146" s="21" t="str">
        <f>IF(D146,F146*G146*VLOOKUP(H146,Støtteark!$E$4:$F$20,2,FALSE),"")</f>
        <v/>
      </c>
    </row>
    <row r="147" spans="1:12" ht="15.75" outlineLevel="2" thickBot="1" x14ac:dyDescent="0.3">
      <c r="A147" s="30">
        <f>Ydelser!A147</f>
        <v>918</v>
      </c>
      <c r="B147" s="30"/>
      <c r="C147" s="4" t="str">
        <f>Ydelser!C147</f>
        <v>Kundespecifik ydelse 18</v>
      </c>
      <c r="D147" s="53"/>
      <c r="E147" s="12" t="s">
        <v>300</v>
      </c>
      <c r="F147" s="12">
        <v>12</v>
      </c>
      <c r="H147" s="39" t="s">
        <v>86</v>
      </c>
      <c r="I147" s="21" t="str">
        <f>IF(D147,F147*G147*VLOOKUP(H147,Støtteark!$E$4:$F$20,2,FALSE),"")</f>
        <v/>
      </c>
    </row>
    <row r="148" spans="1:12" ht="15.75" outlineLevel="2" thickBot="1" x14ac:dyDescent="0.3">
      <c r="A148" s="30">
        <f>Ydelser!A148</f>
        <v>919</v>
      </c>
      <c r="B148" s="30"/>
      <c r="C148" s="4" t="str">
        <f>Ydelser!C148</f>
        <v>Kundespecifik ydelse 19</v>
      </c>
      <c r="D148" s="53"/>
      <c r="E148" s="12" t="s">
        <v>300</v>
      </c>
      <c r="F148" s="12">
        <v>12</v>
      </c>
      <c r="H148" s="39" t="s">
        <v>86</v>
      </c>
      <c r="I148" s="21" t="str">
        <f>IF(D148,F148*G148*VLOOKUP(H148,Støtteark!$E$4:$F$20,2,FALSE),"")</f>
        <v/>
      </c>
    </row>
    <row r="149" spans="1:12" ht="15.75" outlineLevel="2" thickBot="1" x14ac:dyDescent="0.3">
      <c r="A149" s="30">
        <f>Ydelser!A149</f>
        <v>920</v>
      </c>
      <c r="B149" s="30"/>
      <c r="C149" s="4" t="str">
        <f>Ydelser!C149</f>
        <v>Kundespecifik ydelse 20</v>
      </c>
      <c r="D149" s="53"/>
      <c r="E149" s="13" t="s">
        <v>300</v>
      </c>
      <c r="F149" s="14">
        <v>12</v>
      </c>
      <c r="G149" s="28"/>
      <c r="H149" s="40" t="s">
        <v>86</v>
      </c>
      <c r="I149" s="19" t="str">
        <f>IF(D149,F149*G149*VLOOKUP(H149,Støtteark!$E$4:$F$20,2,FALSE),"")</f>
        <v/>
      </c>
    </row>
    <row r="150" spans="1:12" outlineLevel="1" x14ac:dyDescent="0.25">
      <c r="A150" s="31"/>
      <c r="B150" s="1"/>
      <c r="C150" s="2"/>
      <c r="J150" s="20">
        <f>SUM(I129:I149)</f>
        <v>0</v>
      </c>
      <c r="K150" s="129"/>
    </row>
    <row r="151" spans="1:12" outlineLevel="1" x14ac:dyDescent="0.25">
      <c r="A151" s="31"/>
      <c r="B151" s="1"/>
      <c r="C151" s="2"/>
      <c r="J151" s="24"/>
      <c r="K151" s="15"/>
      <c r="L151" s="130">
        <f>SUM(J5:J150)</f>
        <v>246742.5</v>
      </c>
    </row>
    <row r="152" spans="1:12" ht="15.75" outlineLevel="1" thickBot="1" x14ac:dyDescent="0.3">
      <c r="A152" s="31"/>
      <c r="B152" s="1"/>
      <c r="C152" s="2"/>
      <c r="J152" s="24"/>
      <c r="K152" s="15"/>
      <c r="L152" s="24"/>
    </row>
    <row r="153" spans="1:12" ht="15.75" outlineLevel="2" thickBot="1" x14ac:dyDescent="0.3">
      <c r="E153" s="51"/>
      <c r="F153" s="7" t="s">
        <v>95</v>
      </c>
      <c r="G153" s="7"/>
      <c r="H153" s="105" t="s">
        <v>272</v>
      </c>
      <c r="I153" s="16"/>
      <c r="J153" s="16"/>
      <c r="L153" s="16"/>
    </row>
    <row r="154" spans="1:12" ht="15.75" outlineLevel="2" thickBot="1" x14ac:dyDescent="0.3">
      <c r="C154" s="261" t="s">
        <v>397</v>
      </c>
      <c r="E154" s="52" t="s">
        <v>94</v>
      </c>
      <c r="F154" s="41">
        <f>L151</f>
        <v>246742.5</v>
      </c>
      <c r="G154" s="16"/>
      <c r="H154" s="84">
        <f>F154/Støtteark!Q19</f>
        <v>20561.875</v>
      </c>
      <c r="I154" s="262" t="str">
        <f>Støtteark!B11</f>
        <v>Lejemål</v>
      </c>
      <c r="J154" s="263" t="str">
        <f>Støtteark!C11</f>
        <v>Antal</v>
      </c>
      <c r="K154" s="261"/>
      <c r="L154" s="263" t="e">
        <f>$F$154/J154</f>
        <v>#VALUE!</v>
      </c>
    </row>
    <row r="155" spans="1:12" ht="15.75" outlineLevel="2" thickBot="1" x14ac:dyDescent="0.3">
      <c r="C155" s="261" t="e">
        <f>F154-C154</f>
        <v>#VALUE!</v>
      </c>
      <c r="E155" s="52" t="s">
        <v>80</v>
      </c>
      <c r="F155" s="23">
        <f>Støtteark!$S$4*F154</f>
        <v>61685.625</v>
      </c>
      <c r="G155" s="16"/>
      <c r="H155" s="83">
        <f>F155/Støtteark!$Q$19</f>
        <v>5140.46875</v>
      </c>
      <c r="I155" s="262" t="str">
        <f>Støtteark!B12</f>
        <v>m2</v>
      </c>
      <c r="J155" s="263" t="str">
        <f>Støtteark!C12</f>
        <v>Antal</v>
      </c>
      <c r="K155" s="261"/>
      <c r="L155" s="263" t="e">
        <f>$F$154/J155</f>
        <v>#VALUE!</v>
      </c>
    </row>
    <row r="156" spans="1:12" ht="15.75" outlineLevel="2" thickBot="1" x14ac:dyDescent="0.3">
      <c r="E156" s="52" t="s">
        <v>92</v>
      </c>
      <c r="F156" s="123">
        <f>SUM(F153:F155)</f>
        <v>308428.125</v>
      </c>
      <c r="G156" s="123"/>
      <c r="H156" s="131">
        <f>SUM(H153:H155)</f>
        <v>25702.34375</v>
      </c>
      <c r="I156" s="16"/>
      <c r="J156" s="16"/>
      <c r="L156" s="16"/>
    </row>
    <row r="157" spans="1:12" ht="15.75" outlineLevel="2" thickBot="1" x14ac:dyDescent="0.3"/>
    <row r="158" spans="1:12" ht="15.75" outlineLevel="2" thickBot="1" x14ac:dyDescent="0.3">
      <c r="A158" s="49"/>
      <c r="B158" s="268" t="s">
        <v>206</v>
      </c>
      <c r="C158" s="269"/>
      <c r="D158" s="82"/>
      <c r="E158" s="7" t="str">
        <f>E154</f>
        <v>Aftalepris</v>
      </c>
      <c r="F158" s="7" t="str">
        <f>E155</f>
        <v>Moms</v>
      </c>
      <c r="G158" s="7" t="str">
        <f>E156</f>
        <v>I alt</v>
      </c>
      <c r="H158" s="105" t="str">
        <f>'FS Aftale'!E3</f>
        <v>DEAS type</v>
      </c>
    </row>
    <row r="159" spans="1:12" ht="15.75" outlineLevel="2" thickBot="1" x14ac:dyDescent="0.3"/>
    <row r="160" spans="1:12" ht="15.75" outlineLevel="2" thickBot="1" x14ac:dyDescent="0.3">
      <c r="A160" s="29">
        <f>'FS Aftale'!A101</f>
        <v>600</v>
      </c>
      <c r="B160" s="7" t="str">
        <f>'FS Aftale'!B101</f>
        <v>Vinter - DEAS</v>
      </c>
      <c r="C160" s="51"/>
      <c r="D160" s="51"/>
      <c r="E160" s="51"/>
      <c r="F160" s="51"/>
      <c r="G160" s="51"/>
      <c r="H160" s="51"/>
    </row>
    <row r="161" spans="1:8" ht="15.75" outlineLevel="2" thickBot="1" x14ac:dyDescent="0.3">
      <c r="A161" s="30">
        <f>A102</f>
        <v>601</v>
      </c>
      <c r="B161" s="5"/>
      <c r="C161" s="4" t="str">
        <f>'FS Aftale'!C102</f>
        <v>Saltning</v>
      </c>
      <c r="D161" s="55"/>
      <c r="E161" s="48">
        <f>Støtteark!N5</f>
        <v>325</v>
      </c>
      <c r="F161" s="48">
        <f>Støtteark!$S$4*E161</f>
        <v>81.25</v>
      </c>
      <c r="G161" s="48">
        <f>SUM(E161:F161)</f>
        <v>406.25</v>
      </c>
      <c r="H161" s="48" t="str">
        <f>'FS Aftale'!E102</f>
        <v>Enhedspris</v>
      </c>
    </row>
    <row r="162" spans="1:8" ht="15.75" outlineLevel="2" thickBot="1" x14ac:dyDescent="0.3">
      <c r="A162" s="30">
        <f>A103</f>
        <v>602</v>
      </c>
      <c r="B162" s="5"/>
      <c r="C162" s="4" t="str">
        <f>'FS Aftale'!C103</f>
        <v>Snerydning inkl. saltning</v>
      </c>
      <c r="D162" s="55"/>
      <c r="E162" s="48">
        <f>Støtteark!N6</f>
        <v>475</v>
      </c>
      <c r="F162" s="48">
        <f>Støtteark!$S$4*E162</f>
        <v>118.75</v>
      </c>
      <c r="G162" s="48">
        <f t="shared" ref="G162:G163" si="1">SUM(E162:F162)</f>
        <v>593.75</v>
      </c>
      <c r="H162" s="48" t="str">
        <f>'FS Aftale'!E103</f>
        <v>Enhedspris</v>
      </c>
    </row>
    <row r="163" spans="1:8" ht="15.75" outlineLevel="2" thickBot="1" x14ac:dyDescent="0.3">
      <c r="A163" s="30">
        <f>A104</f>
        <v>603</v>
      </c>
      <c r="B163" s="5"/>
      <c r="C163" s="4" t="str">
        <f>'FS Aftale'!C104</f>
        <v>Sæsonovervågning</v>
      </c>
      <c r="D163" s="55"/>
      <c r="E163" s="48">
        <f>Støtteark!N7</f>
        <v>5000</v>
      </c>
      <c r="F163" s="48">
        <f>Støtteark!$S$4*E163</f>
        <v>1250</v>
      </c>
      <c r="G163" s="48">
        <f t="shared" si="1"/>
        <v>6250</v>
      </c>
      <c r="H163" s="48" t="str">
        <f>'FS Aftale'!E104</f>
        <v>Enhedspris</v>
      </c>
    </row>
    <row r="164" spans="1:8" ht="15.75" outlineLevel="2" thickBot="1" x14ac:dyDescent="0.3">
      <c r="H164" s="12"/>
    </row>
    <row r="165" spans="1:8" ht="15.75" outlineLevel="2" thickBot="1" x14ac:dyDescent="0.3">
      <c r="A165" s="29">
        <f>'FS Aftale'!A106</f>
        <v>700</v>
      </c>
      <c r="B165" s="7" t="str">
        <f>'FS Aftale'!B106</f>
        <v>Flytninger</v>
      </c>
      <c r="C165" s="51"/>
      <c r="D165" s="51"/>
      <c r="E165" s="51"/>
      <c r="F165" s="51"/>
      <c r="G165" s="51"/>
      <c r="H165" s="51"/>
    </row>
    <row r="166" spans="1:8" ht="15.75" outlineLevel="2" thickBot="1" x14ac:dyDescent="0.3">
      <c r="A166" s="30">
        <f>A107</f>
        <v>701</v>
      </c>
      <c r="B166" s="5"/>
      <c r="C166" s="4" t="str">
        <f>'FS Aftale'!C107</f>
        <v>Fremvisning</v>
      </c>
      <c r="D166" s="55"/>
      <c r="E166" s="48">
        <f>Støtteark!Q4</f>
        <v>365</v>
      </c>
      <c r="F166" s="48">
        <f>Støtteark!$S$4*E166</f>
        <v>91.25</v>
      </c>
      <c r="G166" s="48">
        <f>SUM(E166:F166)</f>
        <v>456.25</v>
      </c>
      <c r="H166" s="48" t="str">
        <f>'FS Aftale'!E107</f>
        <v>Enhedspris</v>
      </c>
    </row>
    <row r="167" spans="1:8" ht="15.75" outlineLevel="2" thickBot="1" x14ac:dyDescent="0.3">
      <c r="A167" s="30">
        <f>A108</f>
        <v>702</v>
      </c>
      <c r="B167" s="5"/>
      <c r="C167" s="4" t="str">
        <f>'FS Aftale'!C108</f>
        <v>Indflytning</v>
      </c>
      <c r="D167" s="55"/>
      <c r="E167" s="48">
        <f>Støtteark!Q5</f>
        <v>1495</v>
      </c>
      <c r="F167" s="48">
        <f>Støtteark!$S$4*E167</f>
        <v>373.75</v>
      </c>
      <c r="G167" s="48">
        <f t="shared" ref="G167:G169" si="2">SUM(E167:F167)</f>
        <v>1868.75</v>
      </c>
      <c r="H167" s="48" t="str">
        <f>'FS Aftale'!E108</f>
        <v>Enhedspris</v>
      </c>
    </row>
    <row r="168" spans="1:8" ht="15.75" outlineLevel="2" thickBot="1" x14ac:dyDescent="0.3">
      <c r="A168" s="30">
        <f>A109</f>
        <v>703</v>
      </c>
      <c r="B168" s="5"/>
      <c r="C168" s="4" t="str">
        <f>'FS Aftale'!C109</f>
        <v>Fraflytning</v>
      </c>
      <c r="D168" s="55"/>
      <c r="E168" s="48">
        <f>Støtteark!Q6</f>
        <v>2895</v>
      </c>
      <c r="F168" s="48">
        <f>Støtteark!$S$4*E168</f>
        <v>723.75</v>
      </c>
      <c r="G168" s="48">
        <f t="shared" si="2"/>
        <v>3618.75</v>
      </c>
      <c r="H168" s="48" t="str">
        <f>'FS Aftale'!E109</f>
        <v>Enhedspris</v>
      </c>
    </row>
    <row r="169" spans="1:8" ht="15.75" outlineLevel="2" thickBot="1" x14ac:dyDescent="0.3">
      <c r="A169" s="30">
        <f>A110</f>
        <v>704</v>
      </c>
      <c r="B169" s="5"/>
      <c r="C169" s="4" t="str">
        <f>'FS Aftale'!C110</f>
        <v>Bestillinger</v>
      </c>
      <c r="D169" s="55"/>
      <c r="E169" s="48">
        <f>Støtteark!Q7</f>
        <v>600</v>
      </c>
      <c r="F169" s="48">
        <f>Støtteark!$S$4*E169</f>
        <v>150</v>
      </c>
      <c r="G169" s="48">
        <f t="shared" si="2"/>
        <v>750</v>
      </c>
      <c r="H169" s="48" t="str">
        <f>'FS Aftale'!E110</f>
        <v>Enhedspris</v>
      </c>
    </row>
    <row r="170" spans="1:8" ht="15.75" outlineLevel="2" thickBot="1" x14ac:dyDescent="0.3">
      <c r="H170" s="12"/>
    </row>
    <row r="171" spans="1:8" ht="15.75" outlineLevel="2" thickBot="1" x14ac:dyDescent="0.3">
      <c r="A171" s="29">
        <f>A124</f>
        <v>812</v>
      </c>
      <c r="B171" s="7" t="str">
        <f>'FS Aftale'!B124</f>
        <v>Vinter</v>
      </c>
      <c r="C171" s="51"/>
      <c r="D171" s="51"/>
      <c r="E171" s="51"/>
      <c r="F171" s="51"/>
      <c r="G171" s="51"/>
      <c r="H171" s="51"/>
    </row>
    <row r="172" spans="1:8" ht="15.75" outlineLevel="2" thickBot="1" x14ac:dyDescent="0.3">
      <c r="A172" s="30">
        <f>A125</f>
        <v>813</v>
      </c>
      <c r="B172" s="5"/>
      <c r="C172" s="4" t="str">
        <f>'FS Aftale'!C125</f>
        <v>Saltning</v>
      </c>
      <c r="D172" s="55"/>
      <c r="E172" s="48">
        <f>Støtteark!N10</f>
        <v>450</v>
      </c>
      <c r="F172" s="48">
        <f>Støtteark!$S$4*E172</f>
        <v>112.5</v>
      </c>
      <c r="G172" s="48">
        <f>SUM(E172:F172)</f>
        <v>562.5</v>
      </c>
      <c r="H172" s="48" t="str">
        <f>'FS Aftale'!E125</f>
        <v>Enhedspris</v>
      </c>
    </row>
    <row r="173" spans="1:8" ht="15.75" outlineLevel="2" thickBot="1" x14ac:dyDescent="0.3">
      <c r="A173" s="30">
        <f>A126</f>
        <v>814</v>
      </c>
      <c r="B173" s="5"/>
      <c r="C173" s="4" t="str">
        <f>'FS Aftale'!C126</f>
        <v>Snerydning inkl. saltning</v>
      </c>
      <c r="D173" s="55"/>
      <c r="E173" s="48">
        <f>Støtteark!N11</f>
        <v>625</v>
      </c>
      <c r="F173" s="48">
        <f>Støtteark!$S$4*E173</f>
        <v>156.25</v>
      </c>
      <c r="G173" s="48">
        <f t="shared" ref="G173:G174" si="3">SUM(E173:F173)</f>
        <v>781.25</v>
      </c>
      <c r="H173" s="48" t="str">
        <f>'FS Aftale'!E126</f>
        <v>Enhedspris</v>
      </c>
    </row>
    <row r="174" spans="1:8" ht="15.75" outlineLevel="2" thickBot="1" x14ac:dyDescent="0.3">
      <c r="A174" s="30">
        <f>A127</f>
        <v>815</v>
      </c>
      <c r="B174" s="5"/>
      <c r="C174" s="4" t="str">
        <f>'FS Aftale'!C127</f>
        <v>Sæsonovervågning</v>
      </c>
      <c r="D174" s="55"/>
      <c r="E174" s="48">
        <v>5000</v>
      </c>
      <c r="F174" s="48">
        <f>Støtteark!$S$4*E174</f>
        <v>1250</v>
      </c>
      <c r="G174" s="48">
        <f t="shared" si="3"/>
        <v>6250</v>
      </c>
      <c r="H174" s="48" t="str">
        <f>'FS Aftale'!E127</f>
        <v>Enhedspris</v>
      </c>
    </row>
  </sheetData>
  <mergeCells count="1">
    <mergeCell ref="B158:C158"/>
  </mergeCells>
  <dataValidations count="3">
    <dataValidation type="list" allowBlank="1" showInputMessage="1" showErrorMessage="1" sqref="E70:E73 E22 E76:E99 E39:E46 E49:E67 E34:E37 E130:E149" xr:uid="{00000000-0002-0000-0000-000000000000}">
      <formula1>Frekvens</formula1>
    </dataValidation>
    <dataValidation type="list" allowBlank="1" showInputMessage="1" showErrorMessage="1" sqref="H28 H31" xr:uid="{00000000-0002-0000-0000-000001000000}">
      <formula1>$I$4:$I$13</formula1>
    </dataValidation>
    <dataValidation type="list" allowBlank="1" showInputMessage="1" showErrorMessage="1" sqref="F32:F46 F120:F123 F11:F19 F22:F27 F6:F8 F127 F70:F73 F76:F79 F81:F86 F88:F93 F95:F99 F49:F68 F107:F110 F29:F30 F102:F103 F114:F118 F130:F149" xr:uid="{00000000-0002-0000-0000-000002000000}">
      <formula1>Valgliste</formula1>
    </dataValidation>
  </dataValidations>
  <pageMargins left="0.70866141732283472" right="0.70866141732283472" top="0.74803149606299213" bottom="0.74803149606299213" header="0.31496062992125984" footer="0.31496062992125984"/>
  <pageSetup paperSize="9" scale="3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01" r:id="rId4" name="Check Box 377">
              <controlPr defaultSize="0" autoFill="0" autoLine="0" autoPict="0" altText="Ydelse 101_x000a_">
                <anchor moveWithCells="1">
                  <from>
                    <xdr:col>3</xdr:col>
                    <xdr:colOff>152400</xdr:colOff>
                    <xdr:row>5</xdr:row>
                    <xdr:rowOff>0</xdr:rowOff>
                  </from>
                  <to>
                    <xdr:col>3</xdr:col>
                    <xdr:colOff>514350</xdr:colOff>
                    <xdr:row>6</xdr:row>
                    <xdr:rowOff>0</xdr:rowOff>
                  </to>
                </anchor>
              </controlPr>
            </control>
          </mc:Choice>
        </mc:AlternateContent>
        <mc:AlternateContent xmlns:mc="http://schemas.openxmlformats.org/markup-compatibility/2006">
          <mc:Choice Requires="x14">
            <control shapeId="1471" r:id="rId5" name="Check Box 447">
              <controlPr defaultSize="0" autoFill="0" autoLine="0" autoPict="0" altText="Ydelse 101_x000a_">
                <anchor moveWithCells="1">
                  <from>
                    <xdr:col>3</xdr:col>
                    <xdr:colOff>152400</xdr:colOff>
                    <xdr:row>6</xdr:row>
                    <xdr:rowOff>0</xdr:rowOff>
                  </from>
                  <to>
                    <xdr:col>3</xdr:col>
                    <xdr:colOff>514350</xdr:colOff>
                    <xdr:row>7</xdr:row>
                    <xdr:rowOff>0</xdr:rowOff>
                  </to>
                </anchor>
              </controlPr>
            </control>
          </mc:Choice>
        </mc:AlternateContent>
        <mc:AlternateContent xmlns:mc="http://schemas.openxmlformats.org/markup-compatibility/2006">
          <mc:Choice Requires="x14">
            <control shapeId="1472" r:id="rId6" name="Check Box 448">
              <controlPr defaultSize="0" autoFill="0" autoLine="0" autoPict="0" altText="Ydelse 101_x000a_">
                <anchor moveWithCells="1">
                  <from>
                    <xdr:col>3</xdr:col>
                    <xdr:colOff>152400</xdr:colOff>
                    <xdr:row>7</xdr:row>
                    <xdr:rowOff>0</xdr:rowOff>
                  </from>
                  <to>
                    <xdr:col>3</xdr:col>
                    <xdr:colOff>514350</xdr:colOff>
                    <xdr:row>8</xdr:row>
                    <xdr:rowOff>0</xdr:rowOff>
                  </to>
                </anchor>
              </controlPr>
            </control>
          </mc:Choice>
        </mc:AlternateContent>
        <mc:AlternateContent xmlns:mc="http://schemas.openxmlformats.org/markup-compatibility/2006">
          <mc:Choice Requires="x14">
            <control shapeId="1473" r:id="rId7" name="Check Box 449">
              <controlPr defaultSize="0" autoFill="0" autoLine="0" autoPict="0" altText="Ydelse 101_x000a_">
                <anchor moveWithCells="1">
                  <from>
                    <xdr:col>3</xdr:col>
                    <xdr:colOff>152400</xdr:colOff>
                    <xdr:row>10</xdr:row>
                    <xdr:rowOff>0</xdr:rowOff>
                  </from>
                  <to>
                    <xdr:col>3</xdr:col>
                    <xdr:colOff>514350</xdr:colOff>
                    <xdr:row>11</xdr:row>
                    <xdr:rowOff>0</xdr:rowOff>
                  </to>
                </anchor>
              </controlPr>
            </control>
          </mc:Choice>
        </mc:AlternateContent>
        <mc:AlternateContent xmlns:mc="http://schemas.openxmlformats.org/markup-compatibility/2006">
          <mc:Choice Requires="x14">
            <control shapeId="1474" r:id="rId8" name="Check Box 450">
              <controlPr defaultSize="0" autoFill="0" autoLine="0" autoPict="0" altText="Ydelse 101_x000a_">
                <anchor moveWithCells="1">
                  <from>
                    <xdr:col>3</xdr:col>
                    <xdr:colOff>152400</xdr:colOff>
                    <xdr:row>11</xdr:row>
                    <xdr:rowOff>0</xdr:rowOff>
                  </from>
                  <to>
                    <xdr:col>3</xdr:col>
                    <xdr:colOff>514350</xdr:colOff>
                    <xdr:row>12</xdr:row>
                    <xdr:rowOff>0</xdr:rowOff>
                  </to>
                </anchor>
              </controlPr>
            </control>
          </mc:Choice>
        </mc:AlternateContent>
        <mc:AlternateContent xmlns:mc="http://schemas.openxmlformats.org/markup-compatibility/2006">
          <mc:Choice Requires="x14">
            <control shapeId="1475" r:id="rId9" name="Check Box 451">
              <controlPr defaultSize="0" autoFill="0" autoLine="0" autoPict="0" altText="Ydelse 101_x000a_">
                <anchor moveWithCells="1">
                  <from>
                    <xdr:col>3</xdr:col>
                    <xdr:colOff>152400</xdr:colOff>
                    <xdr:row>12</xdr:row>
                    <xdr:rowOff>0</xdr:rowOff>
                  </from>
                  <to>
                    <xdr:col>3</xdr:col>
                    <xdr:colOff>514350</xdr:colOff>
                    <xdr:row>13</xdr:row>
                    <xdr:rowOff>0</xdr:rowOff>
                  </to>
                </anchor>
              </controlPr>
            </control>
          </mc:Choice>
        </mc:AlternateContent>
        <mc:AlternateContent xmlns:mc="http://schemas.openxmlformats.org/markup-compatibility/2006">
          <mc:Choice Requires="x14">
            <control shapeId="1476" r:id="rId10" name="Check Box 452">
              <controlPr defaultSize="0" autoFill="0" autoLine="0" autoPict="0" altText="Ydelse 101_x000a_">
                <anchor moveWithCells="1">
                  <from>
                    <xdr:col>3</xdr:col>
                    <xdr:colOff>152400</xdr:colOff>
                    <xdr:row>13</xdr:row>
                    <xdr:rowOff>0</xdr:rowOff>
                  </from>
                  <to>
                    <xdr:col>3</xdr:col>
                    <xdr:colOff>514350</xdr:colOff>
                    <xdr:row>14</xdr:row>
                    <xdr:rowOff>0</xdr:rowOff>
                  </to>
                </anchor>
              </controlPr>
            </control>
          </mc:Choice>
        </mc:AlternateContent>
        <mc:AlternateContent xmlns:mc="http://schemas.openxmlformats.org/markup-compatibility/2006">
          <mc:Choice Requires="x14">
            <control shapeId="1477" r:id="rId11" name="Check Box 453">
              <controlPr defaultSize="0" autoFill="0" autoLine="0" autoPict="0" altText="Ydelse 101_x000a_">
                <anchor moveWithCells="1">
                  <from>
                    <xdr:col>3</xdr:col>
                    <xdr:colOff>152400</xdr:colOff>
                    <xdr:row>14</xdr:row>
                    <xdr:rowOff>0</xdr:rowOff>
                  </from>
                  <to>
                    <xdr:col>3</xdr:col>
                    <xdr:colOff>514350</xdr:colOff>
                    <xdr:row>15</xdr:row>
                    <xdr:rowOff>0</xdr:rowOff>
                  </to>
                </anchor>
              </controlPr>
            </control>
          </mc:Choice>
        </mc:AlternateContent>
        <mc:AlternateContent xmlns:mc="http://schemas.openxmlformats.org/markup-compatibility/2006">
          <mc:Choice Requires="x14">
            <control shapeId="1478" r:id="rId12" name="Check Box 454">
              <controlPr defaultSize="0" autoFill="0" autoLine="0" autoPict="0" altText="Ydelse 101_x000a_">
                <anchor moveWithCells="1">
                  <from>
                    <xdr:col>3</xdr:col>
                    <xdr:colOff>152400</xdr:colOff>
                    <xdr:row>15</xdr:row>
                    <xdr:rowOff>0</xdr:rowOff>
                  </from>
                  <to>
                    <xdr:col>3</xdr:col>
                    <xdr:colOff>514350</xdr:colOff>
                    <xdr:row>16</xdr:row>
                    <xdr:rowOff>0</xdr:rowOff>
                  </to>
                </anchor>
              </controlPr>
            </control>
          </mc:Choice>
        </mc:AlternateContent>
        <mc:AlternateContent xmlns:mc="http://schemas.openxmlformats.org/markup-compatibility/2006">
          <mc:Choice Requires="x14">
            <control shapeId="1479" r:id="rId13" name="Check Box 455">
              <controlPr defaultSize="0" autoFill="0" autoLine="0" autoPict="0" altText="Ydelse 101_x000a_">
                <anchor moveWithCells="1">
                  <from>
                    <xdr:col>3</xdr:col>
                    <xdr:colOff>152400</xdr:colOff>
                    <xdr:row>16</xdr:row>
                    <xdr:rowOff>0</xdr:rowOff>
                  </from>
                  <to>
                    <xdr:col>3</xdr:col>
                    <xdr:colOff>514350</xdr:colOff>
                    <xdr:row>17</xdr:row>
                    <xdr:rowOff>0</xdr:rowOff>
                  </to>
                </anchor>
              </controlPr>
            </control>
          </mc:Choice>
        </mc:AlternateContent>
        <mc:AlternateContent xmlns:mc="http://schemas.openxmlformats.org/markup-compatibility/2006">
          <mc:Choice Requires="x14">
            <control shapeId="1480" r:id="rId14" name="Check Box 456">
              <controlPr defaultSize="0" autoFill="0" autoLine="0" autoPict="0" altText="Ydelse 101_x000a_">
                <anchor moveWithCells="1">
                  <from>
                    <xdr:col>3</xdr:col>
                    <xdr:colOff>152400</xdr:colOff>
                    <xdr:row>18</xdr:row>
                    <xdr:rowOff>0</xdr:rowOff>
                  </from>
                  <to>
                    <xdr:col>3</xdr:col>
                    <xdr:colOff>514350</xdr:colOff>
                    <xdr:row>19</xdr:row>
                    <xdr:rowOff>0</xdr:rowOff>
                  </to>
                </anchor>
              </controlPr>
            </control>
          </mc:Choice>
        </mc:AlternateContent>
        <mc:AlternateContent xmlns:mc="http://schemas.openxmlformats.org/markup-compatibility/2006">
          <mc:Choice Requires="x14">
            <control shapeId="1482" r:id="rId15" name="Check Box 458">
              <controlPr defaultSize="0" autoFill="0" autoLine="0" autoPict="0" altText="Ydelse 101_x000a_">
                <anchor moveWithCells="1">
                  <from>
                    <xdr:col>3</xdr:col>
                    <xdr:colOff>152400</xdr:colOff>
                    <xdr:row>21</xdr:row>
                    <xdr:rowOff>0</xdr:rowOff>
                  </from>
                  <to>
                    <xdr:col>3</xdr:col>
                    <xdr:colOff>514350</xdr:colOff>
                    <xdr:row>22</xdr:row>
                    <xdr:rowOff>0</xdr:rowOff>
                  </to>
                </anchor>
              </controlPr>
            </control>
          </mc:Choice>
        </mc:AlternateContent>
        <mc:AlternateContent xmlns:mc="http://schemas.openxmlformats.org/markup-compatibility/2006">
          <mc:Choice Requires="x14">
            <control shapeId="1483" r:id="rId16" name="Check Box 459">
              <controlPr defaultSize="0" autoFill="0" autoLine="0" autoPict="0" altText="Ydelse 101_x000a_">
                <anchor moveWithCells="1">
                  <from>
                    <xdr:col>3</xdr:col>
                    <xdr:colOff>152400</xdr:colOff>
                    <xdr:row>22</xdr:row>
                    <xdr:rowOff>0</xdr:rowOff>
                  </from>
                  <to>
                    <xdr:col>3</xdr:col>
                    <xdr:colOff>514350</xdr:colOff>
                    <xdr:row>23</xdr:row>
                    <xdr:rowOff>0</xdr:rowOff>
                  </to>
                </anchor>
              </controlPr>
            </control>
          </mc:Choice>
        </mc:AlternateContent>
        <mc:AlternateContent xmlns:mc="http://schemas.openxmlformats.org/markup-compatibility/2006">
          <mc:Choice Requires="x14">
            <control shapeId="1484" r:id="rId17" name="Check Box 460">
              <controlPr defaultSize="0" autoFill="0" autoLine="0" autoPict="0" altText="Ydelse 101_x000a_">
                <anchor moveWithCells="1">
                  <from>
                    <xdr:col>3</xdr:col>
                    <xdr:colOff>152400</xdr:colOff>
                    <xdr:row>22</xdr:row>
                    <xdr:rowOff>0</xdr:rowOff>
                  </from>
                  <to>
                    <xdr:col>3</xdr:col>
                    <xdr:colOff>514350</xdr:colOff>
                    <xdr:row>23</xdr:row>
                    <xdr:rowOff>0</xdr:rowOff>
                  </to>
                </anchor>
              </controlPr>
            </control>
          </mc:Choice>
        </mc:AlternateContent>
        <mc:AlternateContent xmlns:mc="http://schemas.openxmlformats.org/markup-compatibility/2006">
          <mc:Choice Requires="x14">
            <control shapeId="1485" r:id="rId18" name="Check Box 461">
              <controlPr defaultSize="0" autoFill="0" autoLine="0" autoPict="0" altText="Ydelse 101_x000a_">
                <anchor moveWithCells="1">
                  <from>
                    <xdr:col>3</xdr:col>
                    <xdr:colOff>152400</xdr:colOff>
                    <xdr:row>23</xdr:row>
                    <xdr:rowOff>0</xdr:rowOff>
                  </from>
                  <to>
                    <xdr:col>3</xdr:col>
                    <xdr:colOff>514350</xdr:colOff>
                    <xdr:row>24</xdr:row>
                    <xdr:rowOff>0</xdr:rowOff>
                  </to>
                </anchor>
              </controlPr>
            </control>
          </mc:Choice>
        </mc:AlternateContent>
        <mc:AlternateContent xmlns:mc="http://schemas.openxmlformats.org/markup-compatibility/2006">
          <mc:Choice Requires="x14">
            <control shapeId="1486" r:id="rId19" name="Check Box 462">
              <controlPr defaultSize="0" autoFill="0" autoLine="0" autoPict="0" altText="Ydelse 101_x000a_">
                <anchor moveWithCells="1">
                  <from>
                    <xdr:col>3</xdr:col>
                    <xdr:colOff>152400</xdr:colOff>
                    <xdr:row>24</xdr:row>
                    <xdr:rowOff>0</xdr:rowOff>
                  </from>
                  <to>
                    <xdr:col>3</xdr:col>
                    <xdr:colOff>514350</xdr:colOff>
                    <xdr:row>25</xdr:row>
                    <xdr:rowOff>0</xdr:rowOff>
                  </to>
                </anchor>
              </controlPr>
            </control>
          </mc:Choice>
        </mc:AlternateContent>
        <mc:AlternateContent xmlns:mc="http://schemas.openxmlformats.org/markup-compatibility/2006">
          <mc:Choice Requires="x14">
            <control shapeId="1487" r:id="rId20" name="Check Box 463">
              <controlPr defaultSize="0" autoFill="0" autoLine="0" autoPict="0" altText="Ydelse 101_x000a_">
                <anchor moveWithCells="1">
                  <from>
                    <xdr:col>3</xdr:col>
                    <xdr:colOff>152400</xdr:colOff>
                    <xdr:row>25</xdr:row>
                    <xdr:rowOff>0</xdr:rowOff>
                  </from>
                  <to>
                    <xdr:col>3</xdr:col>
                    <xdr:colOff>514350</xdr:colOff>
                    <xdr:row>26</xdr:row>
                    <xdr:rowOff>0</xdr:rowOff>
                  </to>
                </anchor>
              </controlPr>
            </control>
          </mc:Choice>
        </mc:AlternateContent>
        <mc:AlternateContent xmlns:mc="http://schemas.openxmlformats.org/markup-compatibility/2006">
          <mc:Choice Requires="x14">
            <control shapeId="1488" r:id="rId21" name="Check Box 464">
              <controlPr defaultSize="0" autoFill="0" autoLine="0" autoPict="0" altText="">
                <anchor moveWithCells="1">
                  <from>
                    <xdr:col>3</xdr:col>
                    <xdr:colOff>152400</xdr:colOff>
                    <xdr:row>26</xdr:row>
                    <xdr:rowOff>0</xdr:rowOff>
                  </from>
                  <to>
                    <xdr:col>3</xdr:col>
                    <xdr:colOff>514350</xdr:colOff>
                    <xdr:row>27</xdr:row>
                    <xdr:rowOff>0</xdr:rowOff>
                  </to>
                </anchor>
              </controlPr>
            </control>
          </mc:Choice>
        </mc:AlternateContent>
        <mc:AlternateContent xmlns:mc="http://schemas.openxmlformats.org/markup-compatibility/2006">
          <mc:Choice Requires="x14">
            <control shapeId="1489" r:id="rId22" name="Check Box 465">
              <controlPr defaultSize="0" autoFill="0" autoLine="0" autoPict="0" altText="Ydelse 101_x000a_">
                <anchor moveWithCells="1">
                  <from>
                    <xdr:col>3</xdr:col>
                    <xdr:colOff>152400</xdr:colOff>
                    <xdr:row>27</xdr:row>
                    <xdr:rowOff>0</xdr:rowOff>
                  </from>
                  <to>
                    <xdr:col>3</xdr:col>
                    <xdr:colOff>514350</xdr:colOff>
                    <xdr:row>28</xdr:row>
                    <xdr:rowOff>0</xdr:rowOff>
                  </to>
                </anchor>
              </controlPr>
            </control>
          </mc:Choice>
        </mc:AlternateContent>
        <mc:AlternateContent xmlns:mc="http://schemas.openxmlformats.org/markup-compatibility/2006">
          <mc:Choice Requires="x14">
            <control shapeId="1491" r:id="rId23" name="Check Box 467">
              <controlPr defaultSize="0" autoFill="0" autoLine="0" autoPict="0" altText="Ydelse 101_x000a_">
                <anchor moveWithCells="1">
                  <from>
                    <xdr:col>3</xdr:col>
                    <xdr:colOff>152400</xdr:colOff>
                    <xdr:row>32</xdr:row>
                    <xdr:rowOff>0</xdr:rowOff>
                  </from>
                  <to>
                    <xdr:col>3</xdr:col>
                    <xdr:colOff>514350</xdr:colOff>
                    <xdr:row>33</xdr:row>
                    <xdr:rowOff>19050</xdr:rowOff>
                  </to>
                </anchor>
              </controlPr>
            </control>
          </mc:Choice>
        </mc:AlternateContent>
        <mc:AlternateContent xmlns:mc="http://schemas.openxmlformats.org/markup-compatibility/2006">
          <mc:Choice Requires="x14">
            <control shapeId="1492" r:id="rId24" name="Check Box 468">
              <controlPr defaultSize="0" autoFill="0" autoLine="0" autoPict="0" altText="Ydelse 101_x000a_">
                <anchor moveWithCells="1">
                  <from>
                    <xdr:col>3</xdr:col>
                    <xdr:colOff>152400</xdr:colOff>
                    <xdr:row>31</xdr:row>
                    <xdr:rowOff>0</xdr:rowOff>
                  </from>
                  <to>
                    <xdr:col>3</xdr:col>
                    <xdr:colOff>514350</xdr:colOff>
                    <xdr:row>32</xdr:row>
                    <xdr:rowOff>0</xdr:rowOff>
                  </to>
                </anchor>
              </controlPr>
            </control>
          </mc:Choice>
        </mc:AlternateContent>
        <mc:AlternateContent xmlns:mc="http://schemas.openxmlformats.org/markup-compatibility/2006">
          <mc:Choice Requires="x14">
            <control shapeId="1493" r:id="rId25" name="Check Box 469">
              <controlPr defaultSize="0" autoFill="0" autoLine="0" autoPict="0" altText="Ydelse 101_x000a_">
                <anchor moveWithCells="1">
                  <from>
                    <xdr:col>3</xdr:col>
                    <xdr:colOff>152400</xdr:colOff>
                    <xdr:row>33</xdr:row>
                    <xdr:rowOff>0</xdr:rowOff>
                  </from>
                  <to>
                    <xdr:col>3</xdr:col>
                    <xdr:colOff>514350</xdr:colOff>
                    <xdr:row>34</xdr:row>
                    <xdr:rowOff>19050</xdr:rowOff>
                  </to>
                </anchor>
              </controlPr>
            </control>
          </mc:Choice>
        </mc:AlternateContent>
        <mc:AlternateContent xmlns:mc="http://schemas.openxmlformats.org/markup-compatibility/2006">
          <mc:Choice Requires="x14">
            <control shapeId="1494" r:id="rId26" name="Check Box 470">
              <controlPr defaultSize="0" autoFill="0" autoLine="0" autoPict="0" altText="Ydelse 101_x000a_">
                <anchor moveWithCells="1">
                  <from>
                    <xdr:col>3</xdr:col>
                    <xdr:colOff>152400</xdr:colOff>
                    <xdr:row>34</xdr:row>
                    <xdr:rowOff>0</xdr:rowOff>
                  </from>
                  <to>
                    <xdr:col>3</xdr:col>
                    <xdr:colOff>514350</xdr:colOff>
                    <xdr:row>35</xdr:row>
                    <xdr:rowOff>19050</xdr:rowOff>
                  </to>
                </anchor>
              </controlPr>
            </control>
          </mc:Choice>
        </mc:AlternateContent>
        <mc:AlternateContent xmlns:mc="http://schemas.openxmlformats.org/markup-compatibility/2006">
          <mc:Choice Requires="x14">
            <control shapeId="1495" r:id="rId27" name="Check Box 471">
              <controlPr defaultSize="0" autoFill="0" autoLine="0" autoPict="0" altText="Ydelse 101_x000a_">
                <anchor moveWithCells="1">
                  <from>
                    <xdr:col>3</xdr:col>
                    <xdr:colOff>152400</xdr:colOff>
                    <xdr:row>35</xdr:row>
                    <xdr:rowOff>0</xdr:rowOff>
                  </from>
                  <to>
                    <xdr:col>3</xdr:col>
                    <xdr:colOff>514350</xdr:colOff>
                    <xdr:row>36</xdr:row>
                    <xdr:rowOff>19050</xdr:rowOff>
                  </to>
                </anchor>
              </controlPr>
            </control>
          </mc:Choice>
        </mc:AlternateContent>
        <mc:AlternateContent xmlns:mc="http://schemas.openxmlformats.org/markup-compatibility/2006">
          <mc:Choice Requires="x14">
            <control shapeId="1496" r:id="rId28" name="Check Box 472">
              <controlPr defaultSize="0" autoFill="0" autoLine="0" autoPict="0" altText="">
                <anchor moveWithCells="1">
                  <from>
                    <xdr:col>3</xdr:col>
                    <xdr:colOff>152400</xdr:colOff>
                    <xdr:row>36</xdr:row>
                    <xdr:rowOff>0</xdr:rowOff>
                  </from>
                  <to>
                    <xdr:col>3</xdr:col>
                    <xdr:colOff>514350</xdr:colOff>
                    <xdr:row>37</xdr:row>
                    <xdr:rowOff>19050</xdr:rowOff>
                  </to>
                </anchor>
              </controlPr>
            </control>
          </mc:Choice>
        </mc:AlternateContent>
        <mc:AlternateContent xmlns:mc="http://schemas.openxmlformats.org/markup-compatibility/2006">
          <mc:Choice Requires="x14">
            <control shapeId="1497" r:id="rId29" name="Check Box 473">
              <controlPr defaultSize="0" autoFill="0" autoLine="0" autoPict="0" altText="">
                <anchor moveWithCells="1">
                  <from>
                    <xdr:col>3</xdr:col>
                    <xdr:colOff>152400</xdr:colOff>
                    <xdr:row>37</xdr:row>
                    <xdr:rowOff>0</xdr:rowOff>
                  </from>
                  <to>
                    <xdr:col>3</xdr:col>
                    <xdr:colOff>514350</xdr:colOff>
                    <xdr:row>38</xdr:row>
                    <xdr:rowOff>0</xdr:rowOff>
                  </to>
                </anchor>
              </controlPr>
            </control>
          </mc:Choice>
        </mc:AlternateContent>
        <mc:AlternateContent xmlns:mc="http://schemas.openxmlformats.org/markup-compatibility/2006">
          <mc:Choice Requires="x14">
            <control shapeId="1498" r:id="rId30" name="Check Box 474">
              <controlPr defaultSize="0" autoFill="0" autoLine="0" autoPict="0" altText="_x000a_">
                <anchor moveWithCells="1">
                  <from>
                    <xdr:col>3</xdr:col>
                    <xdr:colOff>152400</xdr:colOff>
                    <xdr:row>38</xdr:row>
                    <xdr:rowOff>0</xdr:rowOff>
                  </from>
                  <to>
                    <xdr:col>3</xdr:col>
                    <xdr:colOff>514350</xdr:colOff>
                    <xdr:row>39</xdr:row>
                    <xdr:rowOff>0</xdr:rowOff>
                  </to>
                </anchor>
              </controlPr>
            </control>
          </mc:Choice>
        </mc:AlternateContent>
        <mc:AlternateContent xmlns:mc="http://schemas.openxmlformats.org/markup-compatibility/2006">
          <mc:Choice Requires="x14">
            <control shapeId="1501" r:id="rId31" name="Check Box 477">
              <controlPr defaultSize="0" autoFill="0" autoLine="0" autoPict="0" altText="">
                <anchor moveWithCells="1">
                  <from>
                    <xdr:col>3</xdr:col>
                    <xdr:colOff>152400</xdr:colOff>
                    <xdr:row>45</xdr:row>
                    <xdr:rowOff>0</xdr:rowOff>
                  </from>
                  <to>
                    <xdr:col>3</xdr:col>
                    <xdr:colOff>514350</xdr:colOff>
                    <xdr:row>46</xdr:row>
                    <xdr:rowOff>19050</xdr:rowOff>
                  </to>
                </anchor>
              </controlPr>
            </control>
          </mc:Choice>
        </mc:AlternateContent>
        <mc:AlternateContent xmlns:mc="http://schemas.openxmlformats.org/markup-compatibility/2006">
          <mc:Choice Requires="x14">
            <control shapeId="1502" r:id="rId32" name="Check Box 478">
              <controlPr defaultSize="0" autoFill="0" autoLine="0" autoPict="0" altText="">
                <anchor moveWithCells="1">
                  <from>
                    <xdr:col>3</xdr:col>
                    <xdr:colOff>152400</xdr:colOff>
                    <xdr:row>48</xdr:row>
                    <xdr:rowOff>0</xdr:rowOff>
                  </from>
                  <to>
                    <xdr:col>3</xdr:col>
                    <xdr:colOff>514350</xdr:colOff>
                    <xdr:row>49</xdr:row>
                    <xdr:rowOff>19050</xdr:rowOff>
                  </to>
                </anchor>
              </controlPr>
            </control>
          </mc:Choice>
        </mc:AlternateContent>
        <mc:AlternateContent xmlns:mc="http://schemas.openxmlformats.org/markup-compatibility/2006">
          <mc:Choice Requires="x14">
            <control shapeId="1503" r:id="rId33" name="Check Box 479">
              <controlPr defaultSize="0" autoFill="0" autoLine="0" autoPict="0" altText="">
                <anchor moveWithCells="1">
                  <from>
                    <xdr:col>3</xdr:col>
                    <xdr:colOff>152400</xdr:colOff>
                    <xdr:row>49</xdr:row>
                    <xdr:rowOff>0</xdr:rowOff>
                  </from>
                  <to>
                    <xdr:col>3</xdr:col>
                    <xdr:colOff>514350</xdr:colOff>
                    <xdr:row>50</xdr:row>
                    <xdr:rowOff>19050</xdr:rowOff>
                  </to>
                </anchor>
              </controlPr>
            </control>
          </mc:Choice>
        </mc:AlternateContent>
        <mc:AlternateContent xmlns:mc="http://schemas.openxmlformats.org/markup-compatibility/2006">
          <mc:Choice Requires="x14">
            <control shapeId="1504" r:id="rId34" name="Check Box 480">
              <controlPr defaultSize="0" autoFill="0" autoLine="0" autoPict="0" altText="">
                <anchor moveWithCells="1">
                  <from>
                    <xdr:col>3</xdr:col>
                    <xdr:colOff>152400</xdr:colOff>
                    <xdr:row>50</xdr:row>
                    <xdr:rowOff>0</xdr:rowOff>
                  </from>
                  <to>
                    <xdr:col>3</xdr:col>
                    <xdr:colOff>514350</xdr:colOff>
                    <xdr:row>51</xdr:row>
                    <xdr:rowOff>0</xdr:rowOff>
                  </to>
                </anchor>
              </controlPr>
            </control>
          </mc:Choice>
        </mc:AlternateContent>
        <mc:AlternateContent xmlns:mc="http://schemas.openxmlformats.org/markup-compatibility/2006">
          <mc:Choice Requires="x14">
            <control shapeId="1505" r:id="rId35" name="Check Box 481">
              <controlPr defaultSize="0" autoFill="0" autoLine="0" autoPict="0" altText="">
                <anchor moveWithCells="1">
                  <from>
                    <xdr:col>3</xdr:col>
                    <xdr:colOff>152400</xdr:colOff>
                    <xdr:row>50</xdr:row>
                    <xdr:rowOff>0</xdr:rowOff>
                  </from>
                  <to>
                    <xdr:col>3</xdr:col>
                    <xdr:colOff>514350</xdr:colOff>
                    <xdr:row>51</xdr:row>
                    <xdr:rowOff>0</xdr:rowOff>
                  </to>
                </anchor>
              </controlPr>
            </control>
          </mc:Choice>
        </mc:AlternateContent>
        <mc:AlternateContent xmlns:mc="http://schemas.openxmlformats.org/markup-compatibility/2006">
          <mc:Choice Requires="x14">
            <control shapeId="1506" r:id="rId36" name="Check Box 482">
              <controlPr defaultSize="0" autoFill="0" autoLine="0" autoPict="0" altText="">
                <anchor moveWithCells="1">
                  <from>
                    <xdr:col>3</xdr:col>
                    <xdr:colOff>152400</xdr:colOff>
                    <xdr:row>40</xdr:row>
                    <xdr:rowOff>0</xdr:rowOff>
                  </from>
                  <to>
                    <xdr:col>3</xdr:col>
                    <xdr:colOff>514350</xdr:colOff>
                    <xdr:row>41</xdr:row>
                    <xdr:rowOff>19050</xdr:rowOff>
                  </to>
                </anchor>
              </controlPr>
            </control>
          </mc:Choice>
        </mc:AlternateContent>
        <mc:AlternateContent xmlns:mc="http://schemas.openxmlformats.org/markup-compatibility/2006">
          <mc:Choice Requires="x14">
            <control shapeId="1509" r:id="rId37" name="Check Box 485">
              <controlPr defaultSize="0" autoFill="0" autoLine="0" autoPict="0" altText="">
                <anchor moveWithCells="1">
                  <from>
                    <xdr:col>3</xdr:col>
                    <xdr:colOff>152400</xdr:colOff>
                    <xdr:row>51</xdr:row>
                    <xdr:rowOff>0</xdr:rowOff>
                  </from>
                  <to>
                    <xdr:col>3</xdr:col>
                    <xdr:colOff>514350</xdr:colOff>
                    <xdr:row>52</xdr:row>
                    <xdr:rowOff>0</xdr:rowOff>
                  </to>
                </anchor>
              </controlPr>
            </control>
          </mc:Choice>
        </mc:AlternateContent>
        <mc:AlternateContent xmlns:mc="http://schemas.openxmlformats.org/markup-compatibility/2006">
          <mc:Choice Requires="x14">
            <control shapeId="1511" r:id="rId38" name="Check Box 487">
              <controlPr defaultSize="0" autoFill="0" autoLine="0" autoPict="0" altText="">
                <anchor moveWithCells="1">
                  <from>
                    <xdr:col>3</xdr:col>
                    <xdr:colOff>152400</xdr:colOff>
                    <xdr:row>55</xdr:row>
                    <xdr:rowOff>0</xdr:rowOff>
                  </from>
                  <to>
                    <xdr:col>3</xdr:col>
                    <xdr:colOff>514350</xdr:colOff>
                    <xdr:row>56</xdr:row>
                    <xdr:rowOff>19050</xdr:rowOff>
                  </to>
                </anchor>
              </controlPr>
            </control>
          </mc:Choice>
        </mc:AlternateContent>
        <mc:AlternateContent xmlns:mc="http://schemas.openxmlformats.org/markup-compatibility/2006">
          <mc:Choice Requires="x14">
            <control shapeId="1513" r:id="rId39" name="Check Box 489">
              <controlPr defaultSize="0" autoFill="0" autoLine="0" autoPict="0" altText="">
                <anchor moveWithCells="1">
                  <from>
                    <xdr:col>3</xdr:col>
                    <xdr:colOff>152400</xdr:colOff>
                    <xdr:row>56</xdr:row>
                    <xdr:rowOff>0</xdr:rowOff>
                  </from>
                  <to>
                    <xdr:col>3</xdr:col>
                    <xdr:colOff>514350</xdr:colOff>
                    <xdr:row>57</xdr:row>
                    <xdr:rowOff>19050</xdr:rowOff>
                  </to>
                </anchor>
              </controlPr>
            </control>
          </mc:Choice>
        </mc:AlternateContent>
        <mc:AlternateContent xmlns:mc="http://schemas.openxmlformats.org/markup-compatibility/2006">
          <mc:Choice Requires="x14">
            <control shapeId="1514" r:id="rId40" name="Check Box 490">
              <controlPr defaultSize="0" autoFill="0" autoLine="0" autoPict="0" altText="">
                <anchor moveWithCells="1">
                  <from>
                    <xdr:col>3</xdr:col>
                    <xdr:colOff>152400</xdr:colOff>
                    <xdr:row>57</xdr:row>
                    <xdr:rowOff>0</xdr:rowOff>
                  </from>
                  <to>
                    <xdr:col>3</xdr:col>
                    <xdr:colOff>514350</xdr:colOff>
                    <xdr:row>58</xdr:row>
                    <xdr:rowOff>19050</xdr:rowOff>
                  </to>
                </anchor>
              </controlPr>
            </control>
          </mc:Choice>
        </mc:AlternateContent>
        <mc:AlternateContent xmlns:mc="http://schemas.openxmlformats.org/markup-compatibility/2006">
          <mc:Choice Requires="x14">
            <control shapeId="1517" r:id="rId41" name="Check Box 493">
              <controlPr defaultSize="0" autoFill="0" autoLine="0" autoPict="0" altText="">
                <anchor moveWithCells="1">
                  <from>
                    <xdr:col>3</xdr:col>
                    <xdr:colOff>152400</xdr:colOff>
                    <xdr:row>60</xdr:row>
                    <xdr:rowOff>9525</xdr:rowOff>
                  </from>
                  <to>
                    <xdr:col>3</xdr:col>
                    <xdr:colOff>514350</xdr:colOff>
                    <xdr:row>61</xdr:row>
                    <xdr:rowOff>28575</xdr:rowOff>
                  </to>
                </anchor>
              </controlPr>
            </control>
          </mc:Choice>
        </mc:AlternateContent>
        <mc:AlternateContent xmlns:mc="http://schemas.openxmlformats.org/markup-compatibility/2006">
          <mc:Choice Requires="x14">
            <control shapeId="1518" r:id="rId42" name="Check Box 494">
              <controlPr defaultSize="0" autoFill="0" autoLine="0" autoPict="0" altText="">
                <anchor moveWithCells="1">
                  <from>
                    <xdr:col>3</xdr:col>
                    <xdr:colOff>152400</xdr:colOff>
                    <xdr:row>61</xdr:row>
                    <xdr:rowOff>0</xdr:rowOff>
                  </from>
                  <to>
                    <xdr:col>3</xdr:col>
                    <xdr:colOff>514350</xdr:colOff>
                    <xdr:row>62</xdr:row>
                    <xdr:rowOff>19050</xdr:rowOff>
                  </to>
                </anchor>
              </controlPr>
            </control>
          </mc:Choice>
        </mc:AlternateContent>
        <mc:AlternateContent xmlns:mc="http://schemas.openxmlformats.org/markup-compatibility/2006">
          <mc:Choice Requires="x14">
            <control shapeId="1519" r:id="rId43" name="Check Box 495">
              <controlPr defaultSize="0" autoFill="0" autoLine="0" autoPict="0" altText="">
                <anchor moveWithCells="1">
                  <from>
                    <xdr:col>3</xdr:col>
                    <xdr:colOff>152400</xdr:colOff>
                    <xdr:row>62</xdr:row>
                    <xdr:rowOff>0</xdr:rowOff>
                  </from>
                  <to>
                    <xdr:col>3</xdr:col>
                    <xdr:colOff>514350</xdr:colOff>
                    <xdr:row>63</xdr:row>
                    <xdr:rowOff>19050</xdr:rowOff>
                  </to>
                </anchor>
              </controlPr>
            </control>
          </mc:Choice>
        </mc:AlternateContent>
        <mc:AlternateContent xmlns:mc="http://schemas.openxmlformats.org/markup-compatibility/2006">
          <mc:Choice Requires="x14">
            <control shapeId="1520" r:id="rId44" name="Check Box 496">
              <controlPr defaultSize="0" autoFill="0" autoLine="0" autoPict="0" altText="">
                <anchor moveWithCells="1">
                  <from>
                    <xdr:col>3</xdr:col>
                    <xdr:colOff>152400</xdr:colOff>
                    <xdr:row>63</xdr:row>
                    <xdr:rowOff>0</xdr:rowOff>
                  </from>
                  <to>
                    <xdr:col>3</xdr:col>
                    <xdr:colOff>514350</xdr:colOff>
                    <xdr:row>64</xdr:row>
                    <xdr:rowOff>19050</xdr:rowOff>
                  </to>
                </anchor>
              </controlPr>
            </control>
          </mc:Choice>
        </mc:AlternateContent>
        <mc:AlternateContent xmlns:mc="http://schemas.openxmlformats.org/markup-compatibility/2006">
          <mc:Choice Requires="x14">
            <control shapeId="1521" r:id="rId45" name="Check Box 497">
              <controlPr defaultSize="0" autoFill="0" autoLine="0" autoPict="0" altText="">
                <anchor moveWithCells="1">
                  <from>
                    <xdr:col>3</xdr:col>
                    <xdr:colOff>152400</xdr:colOff>
                    <xdr:row>64</xdr:row>
                    <xdr:rowOff>0</xdr:rowOff>
                  </from>
                  <to>
                    <xdr:col>3</xdr:col>
                    <xdr:colOff>514350</xdr:colOff>
                    <xdr:row>65</xdr:row>
                    <xdr:rowOff>19050</xdr:rowOff>
                  </to>
                </anchor>
              </controlPr>
            </control>
          </mc:Choice>
        </mc:AlternateContent>
        <mc:AlternateContent xmlns:mc="http://schemas.openxmlformats.org/markup-compatibility/2006">
          <mc:Choice Requires="x14">
            <control shapeId="1522" r:id="rId46" name="Check Box 498">
              <controlPr defaultSize="0" autoFill="0" autoLine="0" autoPict="0" altText="">
                <anchor moveWithCells="1">
                  <from>
                    <xdr:col>3</xdr:col>
                    <xdr:colOff>152400</xdr:colOff>
                    <xdr:row>65</xdr:row>
                    <xdr:rowOff>0</xdr:rowOff>
                  </from>
                  <to>
                    <xdr:col>3</xdr:col>
                    <xdr:colOff>514350</xdr:colOff>
                    <xdr:row>66</xdr:row>
                    <xdr:rowOff>19050</xdr:rowOff>
                  </to>
                </anchor>
              </controlPr>
            </control>
          </mc:Choice>
        </mc:AlternateContent>
        <mc:AlternateContent xmlns:mc="http://schemas.openxmlformats.org/markup-compatibility/2006">
          <mc:Choice Requires="x14">
            <control shapeId="1523" r:id="rId47" name="Check Box 499">
              <controlPr defaultSize="0" autoFill="0" autoLine="0" autoPict="0" altText="">
                <anchor moveWithCells="1">
                  <from>
                    <xdr:col>3</xdr:col>
                    <xdr:colOff>152400</xdr:colOff>
                    <xdr:row>66</xdr:row>
                    <xdr:rowOff>0</xdr:rowOff>
                  </from>
                  <to>
                    <xdr:col>3</xdr:col>
                    <xdr:colOff>514350</xdr:colOff>
                    <xdr:row>67</xdr:row>
                    <xdr:rowOff>0</xdr:rowOff>
                  </to>
                </anchor>
              </controlPr>
            </control>
          </mc:Choice>
        </mc:AlternateContent>
        <mc:AlternateContent xmlns:mc="http://schemas.openxmlformats.org/markup-compatibility/2006">
          <mc:Choice Requires="x14">
            <control shapeId="1525" r:id="rId48" name="Check Box 501">
              <controlPr defaultSize="0" autoFill="0" autoLine="0" autoPict="0" altText="">
                <anchor moveWithCells="1">
                  <from>
                    <xdr:col>3</xdr:col>
                    <xdr:colOff>152400</xdr:colOff>
                    <xdr:row>58</xdr:row>
                    <xdr:rowOff>0</xdr:rowOff>
                  </from>
                  <to>
                    <xdr:col>3</xdr:col>
                    <xdr:colOff>514350</xdr:colOff>
                    <xdr:row>59</xdr:row>
                    <xdr:rowOff>19050</xdr:rowOff>
                  </to>
                </anchor>
              </controlPr>
            </control>
          </mc:Choice>
        </mc:AlternateContent>
        <mc:AlternateContent xmlns:mc="http://schemas.openxmlformats.org/markup-compatibility/2006">
          <mc:Choice Requires="x14">
            <control shapeId="1526" r:id="rId49" name="Check Box 502">
              <controlPr defaultSize="0" autoFill="0" autoLine="0" autoPict="0" altText="">
                <anchor moveWithCells="1">
                  <from>
                    <xdr:col>3</xdr:col>
                    <xdr:colOff>152400</xdr:colOff>
                    <xdr:row>59</xdr:row>
                    <xdr:rowOff>0</xdr:rowOff>
                  </from>
                  <to>
                    <xdr:col>3</xdr:col>
                    <xdr:colOff>514350</xdr:colOff>
                    <xdr:row>60</xdr:row>
                    <xdr:rowOff>19050</xdr:rowOff>
                  </to>
                </anchor>
              </controlPr>
            </control>
          </mc:Choice>
        </mc:AlternateContent>
        <mc:AlternateContent xmlns:mc="http://schemas.openxmlformats.org/markup-compatibility/2006">
          <mc:Choice Requires="x14">
            <control shapeId="1527" r:id="rId50" name="Check Box 503">
              <controlPr defaultSize="0" autoFill="0" autoLine="0" autoPict="0" altText="">
                <anchor moveWithCells="1">
                  <from>
                    <xdr:col>3</xdr:col>
                    <xdr:colOff>152400</xdr:colOff>
                    <xdr:row>69</xdr:row>
                    <xdr:rowOff>133350</xdr:rowOff>
                  </from>
                  <to>
                    <xdr:col>3</xdr:col>
                    <xdr:colOff>514350</xdr:colOff>
                    <xdr:row>71</xdr:row>
                    <xdr:rowOff>95250</xdr:rowOff>
                  </to>
                </anchor>
              </controlPr>
            </control>
          </mc:Choice>
        </mc:AlternateContent>
        <mc:AlternateContent xmlns:mc="http://schemas.openxmlformats.org/markup-compatibility/2006">
          <mc:Choice Requires="x14">
            <control shapeId="1528" r:id="rId51" name="Check Box 504">
              <controlPr defaultSize="0" autoFill="0" autoLine="0" autoPict="0" altText="">
                <anchor moveWithCells="1">
                  <from>
                    <xdr:col>3</xdr:col>
                    <xdr:colOff>152400</xdr:colOff>
                    <xdr:row>71</xdr:row>
                    <xdr:rowOff>0</xdr:rowOff>
                  </from>
                  <to>
                    <xdr:col>3</xdr:col>
                    <xdr:colOff>514350</xdr:colOff>
                    <xdr:row>72</xdr:row>
                    <xdr:rowOff>19050</xdr:rowOff>
                  </to>
                </anchor>
              </controlPr>
            </control>
          </mc:Choice>
        </mc:AlternateContent>
        <mc:AlternateContent xmlns:mc="http://schemas.openxmlformats.org/markup-compatibility/2006">
          <mc:Choice Requires="x14">
            <control shapeId="1529" r:id="rId52" name="Check Box 505">
              <controlPr defaultSize="0" autoFill="0" autoLine="0" autoPict="0" altText="">
                <anchor moveWithCells="1">
                  <from>
                    <xdr:col>3</xdr:col>
                    <xdr:colOff>152400</xdr:colOff>
                    <xdr:row>72</xdr:row>
                    <xdr:rowOff>0</xdr:rowOff>
                  </from>
                  <to>
                    <xdr:col>3</xdr:col>
                    <xdr:colOff>514350</xdr:colOff>
                    <xdr:row>73</xdr:row>
                    <xdr:rowOff>19050</xdr:rowOff>
                  </to>
                </anchor>
              </controlPr>
            </control>
          </mc:Choice>
        </mc:AlternateContent>
        <mc:AlternateContent xmlns:mc="http://schemas.openxmlformats.org/markup-compatibility/2006">
          <mc:Choice Requires="x14">
            <control shapeId="1530" r:id="rId53" name="Check Box 506">
              <controlPr defaultSize="0" autoFill="0" autoLine="0" autoPict="0" altText="">
                <anchor moveWithCells="1">
                  <from>
                    <xdr:col>3</xdr:col>
                    <xdr:colOff>152400</xdr:colOff>
                    <xdr:row>76</xdr:row>
                    <xdr:rowOff>0</xdr:rowOff>
                  </from>
                  <to>
                    <xdr:col>3</xdr:col>
                    <xdr:colOff>514350</xdr:colOff>
                    <xdr:row>77</xdr:row>
                    <xdr:rowOff>0</xdr:rowOff>
                  </to>
                </anchor>
              </controlPr>
            </control>
          </mc:Choice>
        </mc:AlternateContent>
        <mc:AlternateContent xmlns:mc="http://schemas.openxmlformats.org/markup-compatibility/2006">
          <mc:Choice Requires="x14">
            <control shapeId="1531" r:id="rId54" name="Check Box 507">
              <controlPr defaultSize="0" autoFill="0" autoLine="0" autoPict="0" altText="">
                <anchor moveWithCells="1">
                  <from>
                    <xdr:col>3</xdr:col>
                    <xdr:colOff>152400</xdr:colOff>
                    <xdr:row>77</xdr:row>
                    <xdr:rowOff>0</xdr:rowOff>
                  </from>
                  <to>
                    <xdr:col>3</xdr:col>
                    <xdr:colOff>514350</xdr:colOff>
                    <xdr:row>78</xdr:row>
                    <xdr:rowOff>0</xdr:rowOff>
                  </to>
                </anchor>
              </controlPr>
            </control>
          </mc:Choice>
        </mc:AlternateContent>
        <mc:AlternateContent xmlns:mc="http://schemas.openxmlformats.org/markup-compatibility/2006">
          <mc:Choice Requires="x14">
            <control shapeId="1532" r:id="rId55" name="Check Box 508">
              <controlPr defaultSize="0" autoFill="0" autoLine="0" autoPict="0" altText="">
                <anchor moveWithCells="1">
                  <from>
                    <xdr:col>3</xdr:col>
                    <xdr:colOff>152400</xdr:colOff>
                    <xdr:row>78</xdr:row>
                    <xdr:rowOff>0</xdr:rowOff>
                  </from>
                  <to>
                    <xdr:col>3</xdr:col>
                    <xdr:colOff>514350</xdr:colOff>
                    <xdr:row>79</xdr:row>
                    <xdr:rowOff>0</xdr:rowOff>
                  </to>
                </anchor>
              </controlPr>
            </control>
          </mc:Choice>
        </mc:AlternateContent>
        <mc:AlternateContent xmlns:mc="http://schemas.openxmlformats.org/markup-compatibility/2006">
          <mc:Choice Requires="x14">
            <control shapeId="1534" r:id="rId56" name="Check Box 510">
              <controlPr defaultSize="0" autoFill="0" autoLine="0" autoPict="0" altText="">
                <anchor moveWithCells="1">
                  <from>
                    <xdr:col>3</xdr:col>
                    <xdr:colOff>152400</xdr:colOff>
                    <xdr:row>80</xdr:row>
                    <xdr:rowOff>0</xdr:rowOff>
                  </from>
                  <to>
                    <xdr:col>3</xdr:col>
                    <xdr:colOff>514350</xdr:colOff>
                    <xdr:row>81</xdr:row>
                    <xdr:rowOff>19050</xdr:rowOff>
                  </to>
                </anchor>
              </controlPr>
            </control>
          </mc:Choice>
        </mc:AlternateContent>
        <mc:AlternateContent xmlns:mc="http://schemas.openxmlformats.org/markup-compatibility/2006">
          <mc:Choice Requires="x14">
            <control shapeId="1535" r:id="rId57" name="Check Box 511">
              <controlPr defaultSize="0" autoFill="0" autoLine="0" autoPict="0" altText="">
                <anchor moveWithCells="1">
                  <from>
                    <xdr:col>3</xdr:col>
                    <xdr:colOff>152400</xdr:colOff>
                    <xdr:row>81</xdr:row>
                    <xdr:rowOff>0</xdr:rowOff>
                  </from>
                  <to>
                    <xdr:col>3</xdr:col>
                    <xdr:colOff>514350</xdr:colOff>
                    <xdr:row>82</xdr:row>
                    <xdr:rowOff>19050</xdr:rowOff>
                  </to>
                </anchor>
              </controlPr>
            </control>
          </mc:Choice>
        </mc:AlternateContent>
        <mc:AlternateContent xmlns:mc="http://schemas.openxmlformats.org/markup-compatibility/2006">
          <mc:Choice Requires="x14">
            <control shapeId="1536" r:id="rId58" name="Check Box 512">
              <controlPr defaultSize="0" autoFill="0" autoLine="0" autoPict="0" altText="">
                <anchor moveWithCells="1">
                  <from>
                    <xdr:col>3</xdr:col>
                    <xdr:colOff>152400</xdr:colOff>
                    <xdr:row>83</xdr:row>
                    <xdr:rowOff>0</xdr:rowOff>
                  </from>
                  <to>
                    <xdr:col>3</xdr:col>
                    <xdr:colOff>514350</xdr:colOff>
                    <xdr:row>84</xdr:row>
                    <xdr:rowOff>19050</xdr:rowOff>
                  </to>
                </anchor>
              </controlPr>
            </control>
          </mc:Choice>
        </mc:AlternateContent>
        <mc:AlternateContent xmlns:mc="http://schemas.openxmlformats.org/markup-compatibility/2006">
          <mc:Choice Requires="x14">
            <control shapeId="1537" r:id="rId59" name="Check Box 513">
              <controlPr defaultSize="0" autoFill="0" autoLine="0" autoPict="0" altText="">
                <anchor moveWithCells="1">
                  <from>
                    <xdr:col>3</xdr:col>
                    <xdr:colOff>152400</xdr:colOff>
                    <xdr:row>84</xdr:row>
                    <xdr:rowOff>0</xdr:rowOff>
                  </from>
                  <to>
                    <xdr:col>3</xdr:col>
                    <xdr:colOff>514350</xdr:colOff>
                    <xdr:row>85</xdr:row>
                    <xdr:rowOff>19050</xdr:rowOff>
                  </to>
                </anchor>
              </controlPr>
            </control>
          </mc:Choice>
        </mc:AlternateContent>
        <mc:AlternateContent xmlns:mc="http://schemas.openxmlformats.org/markup-compatibility/2006">
          <mc:Choice Requires="x14">
            <control shapeId="1538" r:id="rId60" name="Check Box 514">
              <controlPr defaultSize="0" autoFill="0" autoLine="0" autoPict="0" altText="">
                <anchor moveWithCells="1">
                  <from>
                    <xdr:col>3</xdr:col>
                    <xdr:colOff>152400</xdr:colOff>
                    <xdr:row>85</xdr:row>
                    <xdr:rowOff>0</xdr:rowOff>
                  </from>
                  <to>
                    <xdr:col>3</xdr:col>
                    <xdr:colOff>514350</xdr:colOff>
                    <xdr:row>86</xdr:row>
                    <xdr:rowOff>19050</xdr:rowOff>
                  </to>
                </anchor>
              </controlPr>
            </control>
          </mc:Choice>
        </mc:AlternateContent>
        <mc:AlternateContent xmlns:mc="http://schemas.openxmlformats.org/markup-compatibility/2006">
          <mc:Choice Requires="x14">
            <control shapeId="1540" r:id="rId61" name="Check Box 516">
              <controlPr defaultSize="0" autoFill="0" autoLine="0" autoPict="0" altText="">
                <anchor moveWithCells="1">
                  <from>
                    <xdr:col>3</xdr:col>
                    <xdr:colOff>152400</xdr:colOff>
                    <xdr:row>87</xdr:row>
                    <xdr:rowOff>0</xdr:rowOff>
                  </from>
                  <to>
                    <xdr:col>3</xdr:col>
                    <xdr:colOff>514350</xdr:colOff>
                    <xdr:row>88</xdr:row>
                    <xdr:rowOff>19050</xdr:rowOff>
                  </to>
                </anchor>
              </controlPr>
            </control>
          </mc:Choice>
        </mc:AlternateContent>
        <mc:AlternateContent xmlns:mc="http://schemas.openxmlformats.org/markup-compatibility/2006">
          <mc:Choice Requires="x14">
            <control shapeId="1541" r:id="rId62" name="Check Box 517">
              <controlPr defaultSize="0" autoFill="0" autoLine="0" autoPict="0" altText="">
                <anchor moveWithCells="1">
                  <from>
                    <xdr:col>3</xdr:col>
                    <xdr:colOff>152400</xdr:colOff>
                    <xdr:row>88</xdr:row>
                    <xdr:rowOff>0</xdr:rowOff>
                  </from>
                  <to>
                    <xdr:col>3</xdr:col>
                    <xdr:colOff>514350</xdr:colOff>
                    <xdr:row>89</xdr:row>
                    <xdr:rowOff>19050</xdr:rowOff>
                  </to>
                </anchor>
              </controlPr>
            </control>
          </mc:Choice>
        </mc:AlternateContent>
        <mc:AlternateContent xmlns:mc="http://schemas.openxmlformats.org/markup-compatibility/2006">
          <mc:Choice Requires="x14">
            <control shapeId="1542" r:id="rId63" name="Check Box 518">
              <controlPr defaultSize="0" autoFill="0" autoLine="0" autoPict="0" altText="">
                <anchor moveWithCells="1">
                  <from>
                    <xdr:col>3</xdr:col>
                    <xdr:colOff>152400</xdr:colOff>
                    <xdr:row>90</xdr:row>
                    <xdr:rowOff>0</xdr:rowOff>
                  </from>
                  <to>
                    <xdr:col>3</xdr:col>
                    <xdr:colOff>514350</xdr:colOff>
                    <xdr:row>91</xdr:row>
                    <xdr:rowOff>19050</xdr:rowOff>
                  </to>
                </anchor>
              </controlPr>
            </control>
          </mc:Choice>
        </mc:AlternateContent>
        <mc:AlternateContent xmlns:mc="http://schemas.openxmlformats.org/markup-compatibility/2006">
          <mc:Choice Requires="x14">
            <control shapeId="1543" r:id="rId64" name="Check Box 519">
              <controlPr defaultSize="0" autoFill="0" autoLine="0" autoPict="0" altText="">
                <anchor moveWithCells="1">
                  <from>
                    <xdr:col>3</xdr:col>
                    <xdr:colOff>152400</xdr:colOff>
                    <xdr:row>95</xdr:row>
                    <xdr:rowOff>0</xdr:rowOff>
                  </from>
                  <to>
                    <xdr:col>3</xdr:col>
                    <xdr:colOff>514350</xdr:colOff>
                    <xdr:row>96</xdr:row>
                    <xdr:rowOff>19050</xdr:rowOff>
                  </to>
                </anchor>
              </controlPr>
            </control>
          </mc:Choice>
        </mc:AlternateContent>
        <mc:AlternateContent xmlns:mc="http://schemas.openxmlformats.org/markup-compatibility/2006">
          <mc:Choice Requires="x14">
            <control shapeId="1544" r:id="rId65" name="Check Box 520">
              <controlPr defaultSize="0" autoFill="0" autoLine="0" autoPict="0" altText="">
                <anchor moveWithCells="1">
                  <from>
                    <xdr:col>3</xdr:col>
                    <xdr:colOff>152400</xdr:colOff>
                    <xdr:row>96</xdr:row>
                    <xdr:rowOff>0</xdr:rowOff>
                  </from>
                  <to>
                    <xdr:col>3</xdr:col>
                    <xdr:colOff>514350</xdr:colOff>
                    <xdr:row>97</xdr:row>
                    <xdr:rowOff>19050</xdr:rowOff>
                  </to>
                </anchor>
              </controlPr>
            </control>
          </mc:Choice>
        </mc:AlternateContent>
        <mc:AlternateContent xmlns:mc="http://schemas.openxmlformats.org/markup-compatibility/2006">
          <mc:Choice Requires="x14">
            <control shapeId="1545" r:id="rId66" name="Check Box 521">
              <controlPr defaultSize="0" autoFill="0" autoLine="0" autoPict="0" altText="">
                <anchor moveWithCells="1">
                  <from>
                    <xdr:col>3</xdr:col>
                    <xdr:colOff>152400</xdr:colOff>
                    <xdr:row>97</xdr:row>
                    <xdr:rowOff>0</xdr:rowOff>
                  </from>
                  <to>
                    <xdr:col>3</xdr:col>
                    <xdr:colOff>514350</xdr:colOff>
                    <xdr:row>98</xdr:row>
                    <xdr:rowOff>19050</xdr:rowOff>
                  </to>
                </anchor>
              </controlPr>
            </control>
          </mc:Choice>
        </mc:AlternateContent>
        <mc:AlternateContent xmlns:mc="http://schemas.openxmlformats.org/markup-compatibility/2006">
          <mc:Choice Requires="x14">
            <control shapeId="1546" r:id="rId67" name="Check Box 522">
              <controlPr defaultSize="0" autoFill="0" autoLine="0" autoPict="0" altText="">
                <anchor moveWithCells="1">
                  <from>
                    <xdr:col>3</xdr:col>
                    <xdr:colOff>152400</xdr:colOff>
                    <xdr:row>98</xdr:row>
                    <xdr:rowOff>0</xdr:rowOff>
                  </from>
                  <to>
                    <xdr:col>3</xdr:col>
                    <xdr:colOff>514350</xdr:colOff>
                    <xdr:row>99</xdr:row>
                    <xdr:rowOff>19050</xdr:rowOff>
                  </to>
                </anchor>
              </controlPr>
            </control>
          </mc:Choice>
        </mc:AlternateContent>
        <mc:AlternateContent xmlns:mc="http://schemas.openxmlformats.org/markup-compatibility/2006">
          <mc:Choice Requires="x14">
            <control shapeId="1547" r:id="rId68" name="Check Box 523">
              <controlPr defaultSize="0" autoFill="0" autoLine="0" autoPict="0" altText="">
                <anchor moveWithCells="1">
                  <from>
                    <xdr:col>3</xdr:col>
                    <xdr:colOff>152400</xdr:colOff>
                    <xdr:row>101</xdr:row>
                    <xdr:rowOff>0</xdr:rowOff>
                  </from>
                  <to>
                    <xdr:col>3</xdr:col>
                    <xdr:colOff>514350</xdr:colOff>
                    <xdr:row>102</xdr:row>
                    <xdr:rowOff>0</xdr:rowOff>
                  </to>
                </anchor>
              </controlPr>
            </control>
          </mc:Choice>
        </mc:AlternateContent>
        <mc:AlternateContent xmlns:mc="http://schemas.openxmlformats.org/markup-compatibility/2006">
          <mc:Choice Requires="x14">
            <control shapeId="1548" r:id="rId69" name="Check Box 524">
              <controlPr defaultSize="0" autoFill="0" autoLine="0" autoPict="0" altText="">
                <anchor moveWithCells="1">
                  <from>
                    <xdr:col>3</xdr:col>
                    <xdr:colOff>152400</xdr:colOff>
                    <xdr:row>102</xdr:row>
                    <xdr:rowOff>0</xdr:rowOff>
                  </from>
                  <to>
                    <xdr:col>3</xdr:col>
                    <xdr:colOff>514350</xdr:colOff>
                    <xdr:row>103</xdr:row>
                    <xdr:rowOff>0</xdr:rowOff>
                  </to>
                </anchor>
              </controlPr>
            </control>
          </mc:Choice>
        </mc:AlternateContent>
        <mc:AlternateContent xmlns:mc="http://schemas.openxmlformats.org/markup-compatibility/2006">
          <mc:Choice Requires="x14">
            <control shapeId="1549" r:id="rId70" name="Check Box 525">
              <controlPr defaultSize="0" autoFill="0" autoLine="0" autoPict="0" altText="">
                <anchor moveWithCells="1">
                  <from>
                    <xdr:col>3</xdr:col>
                    <xdr:colOff>152400</xdr:colOff>
                    <xdr:row>103</xdr:row>
                    <xdr:rowOff>0</xdr:rowOff>
                  </from>
                  <to>
                    <xdr:col>3</xdr:col>
                    <xdr:colOff>514350</xdr:colOff>
                    <xdr:row>104</xdr:row>
                    <xdr:rowOff>0</xdr:rowOff>
                  </to>
                </anchor>
              </controlPr>
            </control>
          </mc:Choice>
        </mc:AlternateContent>
        <mc:AlternateContent xmlns:mc="http://schemas.openxmlformats.org/markup-compatibility/2006">
          <mc:Choice Requires="x14">
            <control shapeId="1550" r:id="rId71" name="Check Box 526">
              <controlPr defaultSize="0" autoFill="0" autoLine="0" autoPict="0" altText="">
                <anchor moveWithCells="1">
                  <from>
                    <xdr:col>3</xdr:col>
                    <xdr:colOff>152400</xdr:colOff>
                    <xdr:row>106</xdr:row>
                    <xdr:rowOff>0</xdr:rowOff>
                  </from>
                  <to>
                    <xdr:col>3</xdr:col>
                    <xdr:colOff>514350</xdr:colOff>
                    <xdr:row>107</xdr:row>
                    <xdr:rowOff>0</xdr:rowOff>
                  </to>
                </anchor>
              </controlPr>
            </control>
          </mc:Choice>
        </mc:AlternateContent>
        <mc:AlternateContent xmlns:mc="http://schemas.openxmlformats.org/markup-compatibility/2006">
          <mc:Choice Requires="x14">
            <control shapeId="1551" r:id="rId72" name="Check Box 527">
              <controlPr defaultSize="0" autoFill="0" autoLine="0" autoPict="0" altText="">
                <anchor moveWithCells="1">
                  <from>
                    <xdr:col>3</xdr:col>
                    <xdr:colOff>152400</xdr:colOff>
                    <xdr:row>107</xdr:row>
                    <xdr:rowOff>0</xdr:rowOff>
                  </from>
                  <to>
                    <xdr:col>3</xdr:col>
                    <xdr:colOff>514350</xdr:colOff>
                    <xdr:row>108</xdr:row>
                    <xdr:rowOff>0</xdr:rowOff>
                  </to>
                </anchor>
              </controlPr>
            </control>
          </mc:Choice>
        </mc:AlternateContent>
        <mc:AlternateContent xmlns:mc="http://schemas.openxmlformats.org/markup-compatibility/2006">
          <mc:Choice Requires="x14">
            <control shapeId="1552" r:id="rId73" name="Check Box 528">
              <controlPr defaultSize="0" autoFill="0" autoLine="0" autoPict="0" altText="">
                <anchor moveWithCells="1">
                  <from>
                    <xdr:col>3</xdr:col>
                    <xdr:colOff>152400</xdr:colOff>
                    <xdr:row>108</xdr:row>
                    <xdr:rowOff>0</xdr:rowOff>
                  </from>
                  <to>
                    <xdr:col>3</xdr:col>
                    <xdr:colOff>514350</xdr:colOff>
                    <xdr:row>109</xdr:row>
                    <xdr:rowOff>0</xdr:rowOff>
                  </to>
                </anchor>
              </controlPr>
            </control>
          </mc:Choice>
        </mc:AlternateContent>
        <mc:AlternateContent xmlns:mc="http://schemas.openxmlformats.org/markup-compatibility/2006">
          <mc:Choice Requires="x14">
            <control shapeId="1553" r:id="rId74" name="Check Box 529">
              <controlPr defaultSize="0" autoFill="0" autoLine="0" autoPict="0" altText="">
                <anchor moveWithCells="1">
                  <from>
                    <xdr:col>3</xdr:col>
                    <xdr:colOff>152400</xdr:colOff>
                    <xdr:row>109</xdr:row>
                    <xdr:rowOff>0</xdr:rowOff>
                  </from>
                  <to>
                    <xdr:col>3</xdr:col>
                    <xdr:colOff>514350</xdr:colOff>
                    <xdr:row>110</xdr:row>
                    <xdr:rowOff>0</xdr:rowOff>
                  </to>
                </anchor>
              </controlPr>
            </control>
          </mc:Choice>
        </mc:AlternateContent>
        <mc:AlternateContent xmlns:mc="http://schemas.openxmlformats.org/markup-compatibility/2006">
          <mc:Choice Requires="x14">
            <control shapeId="1554" r:id="rId75" name="Check Box 530">
              <controlPr defaultSize="0" autoFill="0" autoLine="0" autoPict="0" altText="">
                <anchor moveWithCells="1">
                  <from>
                    <xdr:col>3</xdr:col>
                    <xdr:colOff>152400</xdr:colOff>
                    <xdr:row>113</xdr:row>
                    <xdr:rowOff>0</xdr:rowOff>
                  </from>
                  <to>
                    <xdr:col>3</xdr:col>
                    <xdr:colOff>514350</xdr:colOff>
                    <xdr:row>114</xdr:row>
                    <xdr:rowOff>0</xdr:rowOff>
                  </to>
                </anchor>
              </controlPr>
            </control>
          </mc:Choice>
        </mc:AlternateContent>
        <mc:AlternateContent xmlns:mc="http://schemas.openxmlformats.org/markup-compatibility/2006">
          <mc:Choice Requires="x14">
            <control shapeId="1555" r:id="rId76" name="Check Box 531">
              <controlPr defaultSize="0" autoFill="0" autoLine="0" autoPict="0" altText="">
                <anchor moveWithCells="1">
                  <from>
                    <xdr:col>3</xdr:col>
                    <xdr:colOff>152400</xdr:colOff>
                    <xdr:row>114</xdr:row>
                    <xdr:rowOff>0</xdr:rowOff>
                  </from>
                  <to>
                    <xdr:col>3</xdr:col>
                    <xdr:colOff>514350</xdr:colOff>
                    <xdr:row>115</xdr:row>
                    <xdr:rowOff>0</xdr:rowOff>
                  </to>
                </anchor>
              </controlPr>
            </control>
          </mc:Choice>
        </mc:AlternateContent>
        <mc:AlternateContent xmlns:mc="http://schemas.openxmlformats.org/markup-compatibility/2006">
          <mc:Choice Requires="x14">
            <control shapeId="1556" r:id="rId77" name="Check Box 532">
              <controlPr defaultSize="0" autoFill="0" autoLine="0" autoPict="0" altText="">
                <anchor moveWithCells="1">
                  <from>
                    <xdr:col>3</xdr:col>
                    <xdr:colOff>152400</xdr:colOff>
                    <xdr:row>115</xdr:row>
                    <xdr:rowOff>0</xdr:rowOff>
                  </from>
                  <to>
                    <xdr:col>3</xdr:col>
                    <xdr:colOff>514350</xdr:colOff>
                    <xdr:row>116</xdr:row>
                    <xdr:rowOff>0</xdr:rowOff>
                  </to>
                </anchor>
              </controlPr>
            </control>
          </mc:Choice>
        </mc:AlternateContent>
        <mc:AlternateContent xmlns:mc="http://schemas.openxmlformats.org/markup-compatibility/2006">
          <mc:Choice Requires="x14">
            <control shapeId="1557" r:id="rId78" name="Check Box 533">
              <controlPr defaultSize="0" autoFill="0" autoLine="0" autoPict="0" altText="">
                <anchor moveWithCells="1">
                  <from>
                    <xdr:col>3</xdr:col>
                    <xdr:colOff>152400</xdr:colOff>
                    <xdr:row>116</xdr:row>
                    <xdr:rowOff>0</xdr:rowOff>
                  </from>
                  <to>
                    <xdr:col>3</xdr:col>
                    <xdr:colOff>514350</xdr:colOff>
                    <xdr:row>117</xdr:row>
                    <xdr:rowOff>0</xdr:rowOff>
                  </to>
                </anchor>
              </controlPr>
            </control>
          </mc:Choice>
        </mc:AlternateContent>
        <mc:AlternateContent xmlns:mc="http://schemas.openxmlformats.org/markup-compatibility/2006">
          <mc:Choice Requires="x14">
            <control shapeId="1558" r:id="rId79" name="Check Box 534">
              <controlPr defaultSize="0" autoFill="0" autoLine="0" autoPict="0" altText="">
                <anchor moveWithCells="1">
                  <from>
                    <xdr:col>3</xdr:col>
                    <xdr:colOff>152400</xdr:colOff>
                    <xdr:row>117</xdr:row>
                    <xdr:rowOff>0</xdr:rowOff>
                  </from>
                  <to>
                    <xdr:col>3</xdr:col>
                    <xdr:colOff>514350</xdr:colOff>
                    <xdr:row>118</xdr:row>
                    <xdr:rowOff>0</xdr:rowOff>
                  </to>
                </anchor>
              </controlPr>
            </control>
          </mc:Choice>
        </mc:AlternateContent>
        <mc:AlternateContent xmlns:mc="http://schemas.openxmlformats.org/markup-compatibility/2006">
          <mc:Choice Requires="x14">
            <control shapeId="1559" r:id="rId80" name="Check Box 535">
              <controlPr defaultSize="0" autoFill="0" autoLine="0" autoPict="0" altText="">
                <anchor moveWithCells="1">
                  <from>
                    <xdr:col>3</xdr:col>
                    <xdr:colOff>152400</xdr:colOff>
                    <xdr:row>119</xdr:row>
                    <xdr:rowOff>0</xdr:rowOff>
                  </from>
                  <to>
                    <xdr:col>3</xdr:col>
                    <xdr:colOff>514350</xdr:colOff>
                    <xdr:row>120</xdr:row>
                    <xdr:rowOff>0</xdr:rowOff>
                  </to>
                </anchor>
              </controlPr>
            </control>
          </mc:Choice>
        </mc:AlternateContent>
        <mc:AlternateContent xmlns:mc="http://schemas.openxmlformats.org/markup-compatibility/2006">
          <mc:Choice Requires="x14">
            <control shapeId="1560" r:id="rId81" name="Check Box 536">
              <controlPr defaultSize="0" autoFill="0" autoLine="0" autoPict="0" altText="">
                <anchor moveWithCells="1">
                  <from>
                    <xdr:col>3</xdr:col>
                    <xdr:colOff>152400</xdr:colOff>
                    <xdr:row>120</xdr:row>
                    <xdr:rowOff>0</xdr:rowOff>
                  </from>
                  <to>
                    <xdr:col>3</xdr:col>
                    <xdr:colOff>514350</xdr:colOff>
                    <xdr:row>121</xdr:row>
                    <xdr:rowOff>0</xdr:rowOff>
                  </to>
                </anchor>
              </controlPr>
            </control>
          </mc:Choice>
        </mc:AlternateContent>
        <mc:AlternateContent xmlns:mc="http://schemas.openxmlformats.org/markup-compatibility/2006">
          <mc:Choice Requires="x14">
            <control shapeId="1561" r:id="rId82" name="Check Box 537">
              <controlPr defaultSize="0" autoFill="0" autoLine="0" autoPict="0" altText="">
                <anchor moveWithCells="1">
                  <from>
                    <xdr:col>3</xdr:col>
                    <xdr:colOff>152400</xdr:colOff>
                    <xdr:row>121</xdr:row>
                    <xdr:rowOff>0</xdr:rowOff>
                  </from>
                  <to>
                    <xdr:col>3</xdr:col>
                    <xdr:colOff>514350</xdr:colOff>
                    <xdr:row>122</xdr:row>
                    <xdr:rowOff>0</xdr:rowOff>
                  </to>
                </anchor>
              </controlPr>
            </control>
          </mc:Choice>
        </mc:AlternateContent>
        <mc:AlternateContent xmlns:mc="http://schemas.openxmlformats.org/markup-compatibility/2006">
          <mc:Choice Requires="x14">
            <control shapeId="1562" r:id="rId83" name="Check Box 538">
              <controlPr defaultSize="0" autoFill="0" autoLine="0" autoPict="0" altText="">
                <anchor moveWithCells="1">
                  <from>
                    <xdr:col>3</xdr:col>
                    <xdr:colOff>152400</xdr:colOff>
                    <xdr:row>122</xdr:row>
                    <xdr:rowOff>0</xdr:rowOff>
                  </from>
                  <to>
                    <xdr:col>3</xdr:col>
                    <xdr:colOff>514350</xdr:colOff>
                    <xdr:row>123</xdr:row>
                    <xdr:rowOff>0</xdr:rowOff>
                  </to>
                </anchor>
              </controlPr>
            </control>
          </mc:Choice>
        </mc:AlternateContent>
        <mc:AlternateContent xmlns:mc="http://schemas.openxmlformats.org/markup-compatibility/2006">
          <mc:Choice Requires="x14">
            <control shapeId="1563" r:id="rId84" name="Check Box 539">
              <controlPr defaultSize="0" autoFill="0" autoLine="0" autoPict="0" altText="">
                <anchor moveWithCells="1">
                  <from>
                    <xdr:col>3</xdr:col>
                    <xdr:colOff>152400</xdr:colOff>
                    <xdr:row>124</xdr:row>
                    <xdr:rowOff>0</xdr:rowOff>
                  </from>
                  <to>
                    <xdr:col>3</xdr:col>
                    <xdr:colOff>514350</xdr:colOff>
                    <xdr:row>125</xdr:row>
                    <xdr:rowOff>0</xdr:rowOff>
                  </to>
                </anchor>
              </controlPr>
            </control>
          </mc:Choice>
        </mc:AlternateContent>
        <mc:AlternateContent xmlns:mc="http://schemas.openxmlformats.org/markup-compatibility/2006">
          <mc:Choice Requires="x14">
            <control shapeId="1564" r:id="rId85" name="Check Box 540">
              <controlPr defaultSize="0" autoFill="0" autoLine="0" autoPict="0" altText="">
                <anchor moveWithCells="1">
                  <from>
                    <xdr:col>3</xdr:col>
                    <xdr:colOff>152400</xdr:colOff>
                    <xdr:row>125</xdr:row>
                    <xdr:rowOff>0</xdr:rowOff>
                  </from>
                  <to>
                    <xdr:col>3</xdr:col>
                    <xdr:colOff>514350</xdr:colOff>
                    <xdr:row>126</xdr:row>
                    <xdr:rowOff>0</xdr:rowOff>
                  </to>
                </anchor>
              </controlPr>
            </control>
          </mc:Choice>
        </mc:AlternateContent>
        <mc:AlternateContent xmlns:mc="http://schemas.openxmlformats.org/markup-compatibility/2006">
          <mc:Choice Requires="x14">
            <control shapeId="1565" r:id="rId86" name="Check Box 541">
              <controlPr defaultSize="0" autoFill="0" autoLine="0" autoPict="0" altText="">
                <anchor moveWithCells="1">
                  <from>
                    <xdr:col>3</xdr:col>
                    <xdr:colOff>152400</xdr:colOff>
                    <xdr:row>126</xdr:row>
                    <xdr:rowOff>0</xdr:rowOff>
                  </from>
                  <to>
                    <xdr:col>3</xdr:col>
                    <xdr:colOff>514350</xdr:colOff>
                    <xdr:row>127</xdr:row>
                    <xdr:rowOff>0</xdr:rowOff>
                  </to>
                </anchor>
              </controlPr>
            </control>
          </mc:Choice>
        </mc:AlternateContent>
        <mc:AlternateContent xmlns:mc="http://schemas.openxmlformats.org/markup-compatibility/2006">
          <mc:Choice Requires="x14">
            <control shapeId="1583" r:id="rId87" name="Check Box 559">
              <controlPr defaultSize="0" autoFill="0" autoLine="0" autoPict="0" altText="">
                <anchor moveWithCells="1">
                  <from>
                    <xdr:col>3</xdr:col>
                    <xdr:colOff>152400</xdr:colOff>
                    <xdr:row>129</xdr:row>
                    <xdr:rowOff>0</xdr:rowOff>
                  </from>
                  <to>
                    <xdr:col>3</xdr:col>
                    <xdr:colOff>514350</xdr:colOff>
                    <xdr:row>130</xdr:row>
                    <xdr:rowOff>0</xdr:rowOff>
                  </to>
                </anchor>
              </controlPr>
            </control>
          </mc:Choice>
        </mc:AlternateContent>
        <mc:AlternateContent xmlns:mc="http://schemas.openxmlformats.org/markup-compatibility/2006">
          <mc:Choice Requires="x14">
            <control shapeId="1584" r:id="rId88" name="Check Box 560">
              <controlPr defaultSize="0" autoFill="0" autoLine="0" autoPict="0" altText="">
                <anchor moveWithCells="1">
                  <from>
                    <xdr:col>3</xdr:col>
                    <xdr:colOff>152400</xdr:colOff>
                    <xdr:row>130</xdr:row>
                    <xdr:rowOff>0</xdr:rowOff>
                  </from>
                  <to>
                    <xdr:col>3</xdr:col>
                    <xdr:colOff>514350</xdr:colOff>
                    <xdr:row>131</xdr:row>
                    <xdr:rowOff>0</xdr:rowOff>
                  </to>
                </anchor>
              </controlPr>
            </control>
          </mc:Choice>
        </mc:AlternateContent>
        <mc:AlternateContent xmlns:mc="http://schemas.openxmlformats.org/markup-compatibility/2006">
          <mc:Choice Requires="x14">
            <control shapeId="1585" r:id="rId89" name="Check Box 561">
              <controlPr defaultSize="0" autoFill="0" autoLine="0" autoPict="0" altText="">
                <anchor moveWithCells="1">
                  <from>
                    <xdr:col>3</xdr:col>
                    <xdr:colOff>152400</xdr:colOff>
                    <xdr:row>131</xdr:row>
                    <xdr:rowOff>0</xdr:rowOff>
                  </from>
                  <to>
                    <xdr:col>3</xdr:col>
                    <xdr:colOff>514350</xdr:colOff>
                    <xdr:row>132</xdr:row>
                    <xdr:rowOff>0</xdr:rowOff>
                  </to>
                </anchor>
              </controlPr>
            </control>
          </mc:Choice>
        </mc:AlternateContent>
        <mc:AlternateContent xmlns:mc="http://schemas.openxmlformats.org/markup-compatibility/2006">
          <mc:Choice Requires="x14">
            <control shapeId="1586" r:id="rId90" name="Check Box 562">
              <controlPr defaultSize="0" autoFill="0" autoLine="0" autoPict="0" altText="">
                <anchor moveWithCells="1">
                  <from>
                    <xdr:col>3</xdr:col>
                    <xdr:colOff>152400</xdr:colOff>
                    <xdr:row>132</xdr:row>
                    <xdr:rowOff>0</xdr:rowOff>
                  </from>
                  <to>
                    <xdr:col>3</xdr:col>
                    <xdr:colOff>514350</xdr:colOff>
                    <xdr:row>133</xdr:row>
                    <xdr:rowOff>0</xdr:rowOff>
                  </to>
                </anchor>
              </controlPr>
            </control>
          </mc:Choice>
        </mc:AlternateContent>
        <mc:AlternateContent xmlns:mc="http://schemas.openxmlformats.org/markup-compatibility/2006">
          <mc:Choice Requires="x14">
            <control shapeId="1587" r:id="rId91" name="Check Box 563">
              <controlPr defaultSize="0" autoFill="0" autoLine="0" autoPict="0" altText="">
                <anchor moveWithCells="1">
                  <from>
                    <xdr:col>3</xdr:col>
                    <xdr:colOff>152400</xdr:colOff>
                    <xdr:row>133</xdr:row>
                    <xdr:rowOff>0</xdr:rowOff>
                  </from>
                  <to>
                    <xdr:col>3</xdr:col>
                    <xdr:colOff>514350</xdr:colOff>
                    <xdr:row>134</xdr:row>
                    <xdr:rowOff>0</xdr:rowOff>
                  </to>
                </anchor>
              </controlPr>
            </control>
          </mc:Choice>
        </mc:AlternateContent>
        <mc:AlternateContent xmlns:mc="http://schemas.openxmlformats.org/markup-compatibility/2006">
          <mc:Choice Requires="x14">
            <control shapeId="1588" r:id="rId92" name="Check Box 564">
              <controlPr defaultSize="0" autoFill="0" autoLine="0" autoPict="0" altText="">
                <anchor moveWithCells="1">
                  <from>
                    <xdr:col>3</xdr:col>
                    <xdr:colOff>152400</xdr:colOff>
                    <xdr:row>134</xdr:row>
                    <xdr:rowOff>0</xdr:rowOff>
                  </from>
                  <to>
                    <xdr:col>3</xdr:col>
                    <xdr:colOff>514350</xdr:colOff>
                    <xdr:row>135</xdr:row>
                    <xdr:rowOff>0</xdr:rowOff>
                  </to>
                </anchor>
              </controlPr>
            </control>
          </mc:Choice>
        </mc:AlternateContent>
        <mc:AlternateContent xmlns:mc="http://schemas.openxmlformats.org/markup-compatibility/2006">
          <mc:Choice Requires="x14">
            <control shapeId="1589" r:id="rId93" name="Check Box 565">
              <controlPr defaultSize="0" autoFill="0" autoLine="0" autoPict="0" altText="">
                <anchor moveWithCells="1">
                  <from>
                    <xdr:col>3</xdr:col>
                    <xdr:colOff>152400</xdr:colOff>
                    <xdr:row>135</xdr:row>
                    <xdr:rowOff>0</xdr:rowOff>
                  </from>
                  <to>
                    <xdr:col>3</xdr:col>
                    <xdr:colOff>514350</xdr:colOff>
                    <xdr:row>136</xdr:row>
                    <xdr:rowOff>0</xdr:rowOff>
                  </to>
                </anchor>
              </controlPr>
            </control>
          </mc:Choice>
        </mc:AlternateContent>
        <mc:AlternateContent xmlns:mc="http://schemas.openxmlformats.org/markup-compatibility/2006">
          <mc:Choice Requires="x14">
            <control shapeId="1590" r:id="rId94" name="Check Box 566">
              <controlPr defaultSize="0" autoFill="0" autoLine="0" autoPict="0" altText="">
                <anchor moveWithCells="1">
                  <from>
                    <xdr:col>3</xdr:col>
                    <xdr:colOff>152400</xdr:colOff>
                    <xdr:row>136</xdr:row>
                    <xdr:rowOff>0</xdr:rowOff>
                  </from>
                  <to>
                    <xdr:col>3</xdr:col>
                    <xdr:colOff>514350</xdr:colOff>
                    <xdr:row>137</xdr:row>
                    <xdr:rowOff>0</xdr:rowOff>
                  </to>
                </anchor>
              </controlPr>
            </control>
          </mc:Choice>
        </mc:AlternateContent>
        <mc:AlternateContent xmlns:mc="http://schemas.openxmlformats.org/markup-compatibility/2006">
          <mc:Choice Requires="x14">
            <control shapeId="1591" r:id="rId95" name="Check Box 567">
              <controlPr defaultSize="0" autoFill="0" autoLine="0" autoPict="0" altText="">
                <anchor moveWithCells="1">
                  <from>
                    <xdr:col>3</xdr:col>
                    <xdr:colOff>152400</xdr:colOff>
                    <xdr:row>137</xdr:row>
                    <xdr:rowOff>0</xdr:rowOff>
                  </from>
                  <to>
                    <xdr:col>3</xdr:col>
                    <xdr:colOff>514350</xdr:colOff>
                    <xdr:row>138</xdr:row>
                    <xdr:rowOff>0</xdr:rowOff>
                  </to>
                </anchor>
              </controlPr>
            </control>
          </mc:Choice>
        </mc:AlternateContent>
        <mc:AlternateContent xmlns:mc="http://schemas.openxmlformats.org/markup-compatibility/2006">
          <mc:Choice Requires="x14">
            <control shapeId="1592" r:id="rId96" name="Check Box 568">
              <controlPr defaultSize="0" autoFill="0" autoLine="0" autoPict="0" altText="">
                <anchor moveWithCells="1">
                  <from>
                    <xdr:col>3</xdr:col>
                    <xdr:colOff>152400</xdr:colOff>
                    <xdr:row>138</xdr:row>
                    <xdr:rowOff>0</xdr:rowOff>
                  </from>
                  <to>
                    <xdr:col>3</xdr:col>
                    <xdr:colOff>514350</xdr:colOff>
                    <xdr:row>139</xdr:row>
                    <xdr:rowOff>0</xdr:rowOff>
                  </to>
                </anchor>
              </controlPr>
            </control>
          </mc:Choice>
        </mc:AlternateContent>
        <mc:AlternateContent xmlns:mc="http://schemas.openxmlformats.org/markup-compatibility/2006">
          <mc:Choice Requires="x14">
            <control shapeId="1593" r:id="rId97" name="Check Box 569">
              <controlPr defaultSize="0" autoFill="0" autoLine="0" autoPict="0" altText="">
                <anchor moveWithCells="1">
                  <from>
                    <xdr:col>3</xdr:col>
                    <xdr:colOff>152400</xdr:colOff>
                    <xdr:row>139</xdr:row>
                    <xdr:rowOff>0</xdr:rowOff>
                  </from>
                  <to>
                    <xdr:col>3</xdr:col>
                    <xdr:colOff>514350</xdr:colOff>
                    <xdr:row>140</xdr:row>
                    <xdr:rowOff>0</xdr:rowOff>
                  </to>
                </anchor>
              </controlPr>
            </control>
          </mc:Choice>
        </mc:AlternateContent>
        <mc:AlternateContent xmlns:mc="http://schemas.openxmlformats.org/markup-compatibility/2006">
          <mc:Choice Requires="x14">
            <control shapeId="1594" r:id="rId98" name="Check Box 570">
              <controlPr defaultSize="0" autoFill="0" autoLine="0" autoPict="0" altText="">
                <anchor moveWithCells="1">
                  <from>
                    <xdr:col>3</xdr:col>
                    <xdr:colOff>152400</xdr:colOff>
                    <xdr:row>140</xdr:row>
                    <xdr:rowOff>0</xdr:rowOff>
                  </from>
                  <to>
                    <xdr:col>3</xdr:col>
                    <xdr:colOff>514350</xdr:colOff>
                    <xdr:row>141</xdr:row>
                    <xdr:rowOff>0</xdr:rowOff>
                  </to>
                </anchor>
              </controlPr>
            </control>
          </mc:Choice>
        </mc:AlternateContent>
        <mc:AlternateContent xmlns:mc="http://schemas.openxmlformats.org/markup-compatibility/2006">
          <mc:Choice Requires="x14">
            <control shapeId="1595" r:id="rId99" name="Check Box 571">
              <controlPr defaultSize="0" autoFill="0" autoLine="0" autoPict="0" altText="">
                <anchor moveWithCells="1">
                  <from>
                    <xdr:col>3</xdr:col>
                    <xdr:colOff>152400</xdr:colOff>
                    <xdr:row>145</xdr:row>
                    <xdr:rowOff>0</xdr:rowOff>
                  </from>
                  <to>
                    <xdr:col>3</xdr:col>
                    <xdr:colOff>514350</xdr:colOff>
                    <xdr:row>146</xdr:row>
                    <xdr:rowOff>0</xdr:rowOff>
                  </to>
                </anchor>
              </controlPr>
            </control>
          </mc:Choice>
        </mc:AlternateContent>
        <mc:AlternateContent xmlns:mc="http://schemas.openxmlformats.org/markup-compatibility/2006">
          <mc:Choice Requires="x14">
            <control shapeId="1596" r:id="rId100" name="Check Box 572">
              <controlPr defaultSize="0" autoFill="0" autoLine="0" autoPict="0" altText="">
                <anchor moveWithCells="1">
                  <from>
                    <xdr:col>3</xdr:col>
                    <xdr:colOff>152400</xdr:colOff>
                    <xdr:row>146</xdr:row>
                    <xdr:rowOff>0</xdr:rowOff>
                  </from>
                  <to>
                    <xdr:col>3</xdr:col>
                    <xdr:colOff>514350</xdr:colOff>
                    <xdr:row>147</xdr:row>
                    <xdr:rowOff>0</xdr:rowOff>
                  </to>
                </anchor>
              </controlPr>
            </control>
          </mc:Choice>
        </mc:AlternateContent>
        <mc:AlternateContent xmlns:mc="http://schemas.openxmlformats.org/markup-compatibility/2006">
          <mc:Choice Requires="x14">
            <control shapeId="1597" r:id="rId101" name="Check Box 573">
              <controlPr defaultSize="0" autoFill="0" autoLine="0" autoPict="0" altText="">
                <anchor moveWithCells="1">
                  <from>
                    <xdr:col>3</xdr:col>
                    <xdr:colOff>152400</xdr:colOff>
                    <xdr:row>147</xdr:row>
                    <xdr:rowOff>0</xdr:rowOff>
                  </from>
                  <to>
                    <xdr:col>3</xdr:col>
                    <xdr:colOff>514350</xdr:colOff>
                    <xdr:row>148</xdr:row>
                    <xdr:rowOff>0</xdr:rowOff>
                  </to>
                </anchor>
              </controlPr>
            </control>
          </mc:Choice>
        </mc:AlternateContent>
        <mc:AlternateContent xmlns:mc="http://schemas.openxmlformats.org/markup-compatibility/2006">
          <mc:Choice Requires="x14">
            <control shapeId="1598" r:id="rId102" name="Check Box 574">
              <controlPr defaultSize="0" autoFill="0" autoLine="0" autoPict="0" altText="">
                <anchor moveWithCells="1">
                  <from>
                    <xdr:col>3</xdr:col>
                    <xdr:colOff>152400</xdr:colOff>
                    <xdr:row>148</xdr:row>
                    <xdr:rowOff>0</xdr:rowOff>
                  </from>
                  <to>
                    <xdr:col>3</xdr:col>
                    <xdr:colOff>514350</xdr:colOff>
                    <xdr:row>149</xdr:row>
                    <xdr:rowOff>0</xdr:rowOff>
                  </to>
                </anchor>
              </controlPr>
            </control>
          </mc:Choice>
        </mc:AlternateContent>
        <mc:AlternateContent xmlns:mc="http://schemas.openxmlformats.org/markup-compatibility/2006">
          <mc:Choice Requires="x14">
            <control shapeId="1601" r:id="rId103" name="Check Box 577">
              <controlPr defaultSize="0" autoFill="0" autoLine="0" autoPict="0" altText="Ydelse 101_x000a_">
                <anchor moveWithCells="1">
                  <from>
                    <xdr:col>3</xdr:col>
                    <xdr:colOff>152400</xdr:colOff>
                    <xdr:row>17</xdr:row>
                    <xdr:rowOff>0</xdr:rowOff>
                  </from>
                  <to>
                    <xdr:col>3</xdr:col>
                    <xdr:colOff>514350</xdr:colOff>
                    <xdr:row>18</xdr:row>
                    <xdr:rowOff>0</xdr:rowOff>
                  </to>
                </anchor>
              </controlPr>
            </control>
          </mc:Choice>
        </mc:AlternateContent>
        <mc:AlternateContent xmlns:mc="http://schemas.openxmlformats.org/markup-compatibility/2006">
          <mc:Choice Requires="x14">
            <control shapeId="1603" r:id="rId104" name="Check Box 579">
              <controlPr defaultSize="0" autoFill="0" autoLine="0" autoPict="0" altText="_x000a_">
                <anchor moveWithCells="1">
                  <from>
                    <xdr:col>3</xdr:col>
                    <xdr:colOff>152400</xdr:colOff>
                    <xdr:row>39</xdr:row>
                    <xdr:rowOff>0</xdr:rowOff>
                  </from>
                  <to>
                    <xdr:col>3</xdr:col>
                    <xdr:colOff>514350</xdr:colOff>
                    <xdr:row>40</xdr:row>
                    <xdr:rowOff>19050</xdr:rowOff>
                  </to>
                </anchor>
              </controlPr>
            </control>
          </mc:Choice>
        </mc:AlternateContent>
        <mc:AlternateContent xmlns:mc="http://schemas.openxmlformats.org/markup-compatibility/2006">
          <mc:Choice Requires="x14">
            <control shapeId="1604" r:id="rId105" name="Check Box 580">
              <controlPr defaultSize="0" autoFill="0" autoLine="0" autoPict="0" altText="_x000a_">
                <anchor moveWithCells="1">
                  <from>
                    <xdr:col>3</xdr:col>
                    <xdr:colOff>152400</xdr:colOff>
                    <xdr:row>41</xdr:row>
                    <xdr:rowOff>0</xdr:rowOff>
                  </from>
                  <to>
                    <xdr:col>3</xdr:col>
                    <xdr:colOff>514350</xdr:colOff>
                    <xdr:row>42</xdr:row>
                    <xdr:rowOff>19050</xdr:rowOff>
                  </to>
                </anchor>
              </controlPr>
            </control>
          </mc:Choice>
        </mc:AlternateContent>
        <mc:AlternateContent xmlns:mc="http://schemas.openxmlformats.org/markup-compatibility/2006">
          <mc:Choice Requires="x14">
            <control shapeId="1605" r:id="rId106" name="Check Box 581">
              <controlPr defaultSize="0" autoFill="0" autoLine="0" autoPict="0" altText="_x000a_">
                <anchor moveWithCells="1">
                  <from>
                    <xdr:col>3</xdr:col>
                    <xdr:colOff>152400</xdr:colOff>
                    <xdr:row>42</xdr:row>
                    <xdr:rowOff>0</xdr:rowOff>
                  </from>
                  <to>
                    <xdr:col>3</xdr:col>
                    <xdr:colOff>514350</xdr:colOff>
                    <xdr:row>43</xdr:row>
                    <xdr:rowOff>19050</xdr:rowOff>
                  </to>
                </anchor>
              </controlPr>
            </control>
          </mc:Choice>
        </mc:AlternateContent>
        <mc:AlternateContent xmlns:mc="http://schemas.openxmlformats.org/markup-compatibility/2006">
          <mc:Choice Requires="x14">
            <control shapeId="1606" r:id="rId107" name="Check Box 582">
              <controlPr defaultSize="0" autoFill="0" autoLine="0" autoPict="0" altText="">
                <anchor moveWithCells="1">
                  <from>
                    <xdr:col>3</xdr:col>
                    <xdr:colOff>152400</xdr:colOff>
                    <xdr:row>69</xdr:row>
                    <xdr:rowOff>0</xdr:rowOff>
                  </from>
                  <to>
                    <xdr:col>3</xdr:col>
                    <xdr:colOff>514350</xdr:colOff>
                    <xdr:row>70</xdr:row>
                    <xdr:rowOff>19050</xdr:rowOff>
                  </to>
                </anchor>
              </controlPr>
            </control>
          </mc:Choice>
        </mc:AlternateContent>
        <mc:AlternateContent xmlns:mc="http://schemas.openxmlformats.org/markup-compatibility/2006">
          <mc:Choice Requires="x14">
            <control shapeId="1607" r:id="rId108" name="Check Box 583">
              <controlPr defaultSize="0" autoFill="0" autoLine="0" autoPict="0" altText="">
                <anchor moveWithCells="1">
                  <from>
                    <xdr:col>3</xdr:col>
                    <xdr:colOff>152400</xdr:colOff>
                    <xdr:row>52</xdr:row>
                    <xdr:rowOff>0</xdr:rowOff>
                  </from>
                  <to>
                    <xdr:col>3</xdr:col>
                    <xdr:colOff>514350</xdr:colOff>
                    <xdr:row>53</xdr:row>
                    <xdr:rowOff>0</xdr:rowOff>
                  </to>
                </anchor>
              </controlPr>
            </control>
          </mc:Choice>
        </mc:AlternateContent>
        <mc:AlternateContent xmlns:mc="http://schemas.openxmlformats.org/markup-compatibility/2006">
          <mc:Choice Requires="x14">
            <control shapeId="1608" r:id="rId109" name="Check Box 584">
              <controlPr defaultSize="0" autoFill="0" autoLine="0" autoPict="0" altText="">
                <anchor moveWithCells="1">
                  <from>
                    <xdr:col>3</xdr:col>
                    <xdr:colOff>152400</xdr:colOff>
                    <xdr:row>53</xdr:row>
                    <xdr:rowOff>0</xdr:rowOff>
                  </from>
                  <to>
                    <xdr:col>3</xdr:col>
                    <xdr:colOff>514350</xdr:colOff>
                    <xdr:row>54</xdr:row>
                    <xdr:rowOff>9525</xdr:rowOff>
                  </to>
                </anchor>
              </controlPr>
            </control>
          </mc:Choice>
        </mc:AlternateContent>
        <mc:AlternateContent xmlns:mc="http://schemas.openxmlformats.org/markup-compatibility/2006">
          <mc:Choice Requires="x14">
            <control shapeId="1609" r:id="rId110" name="Check Box 585">
              <controlPr defaultSize="0" autoFill="0" autoLine="0" autoPict="0" altText="">
                <anchor moveWithCells="1">
                  <from>
                    <xdr:col>3</xdr:col>
                    <xdr:colOff>152400</xdr:colOff>
                    <xdr:row>54</xdr:row>
                    <xdr:rowOff>0</xdr:rowOff>
                  </from>
                  <to>
                    <xdr:col>3</xdr:col>
                    <xdr:colOff>514350</xdr:colOff>
                    <xdr:row>55</xdr:row>
                    <xdr:rowOff>0</xdr:rowOff>
                  </to>
                </anchor>
              </controlPr>
            </control>
          </mc:Choice>
        </mc:AlternateContent>
        <mc:AlternateContent xmlns:mc="http://schemas.openxmlformats.org/markup-compatibility/2006">
          <mc:Choice Requires="x14">
            <control shapeId="1610" r:id="rId111" name="Check Box 586">
              <controlPr defaultSize="0" autoFill="0" autoLine="0" autoPict="0" altText="">
                <anchor moveWithCells="1">
                  <from>
                    <xdr:col>3</xdr:col>
                    <xdr:colOff>152400</xdr:colOff>
                    <xdr:row>75</xdr:row>
                    <xdr:rowOff>0</xdr:rowOff>
                  </from>
                  <to>
                    <xdr:col>3</xdr:col>
                    <xdr:colOff>514350</xdr:colOff>
                    <xdr:row>76</xdr:row>
                    <xdr:rowOff>0</xdr:rowOff>
                  </to>
                </anchor>
              </controlPr>
            </control>
          </mc:Choice>
        </mc:AlternateContent>
        <mc:AlternateContent xmlns:mc="http://schemas.openxmlformats.org/markup-compatibility/2006">
          <mc:Choice Requires="x14">
            <control shapeId="1611" r:id="rId112" name="Check Box 587">
              <controlPr defaultSize="0" autoFill="0" autoLine="0" autoPict="0" altText="">
                <anchor moveWithCells="1">
                  <from>
                    <xdr:col>3</xdr:col>
                    <xdr:colOff>152400</xdr:colOff>
                    <xdr:row>82</xdr:row>
                    <xdr:rowOff>0</xdr:rowOff>
                  </from>
                  <to>
                    <xdr:col>3</xdr:col>
                    <xdr:colOff>514350</xdr:colOff>
                    <xdr:row>83</xdr:row>
                    <xdr:rowOff>19050</xdr:rowOff>
                  </to>
                </anchor>
              </controlPr>
            </control>
          </mc:Choice>
        </mc:AlternateContent>
        <mc:AlternateContent xmlns:mc="http://schemas.openxmlformats.org/markup-compatibility/2006">
          <mc:Choice Requires="x14">
            <control shapeId="1612" r:id="rId113" name="Check Box 588">
              <controlPr defaultSize="0" autoFill="0" autoLine="0" autoPict="0" altText="">
                <anchor moveWithCells="1">
                  <from>
                    <xdr:col>3</xdr:col>
                    <xdr:colOff>152400</xdr:colOff>
                    <xdr:row>91</xdr:row>
                    <xdr:rowOff>0</xdr:rowOff>
                  </from>
                  <to>
                    <xdr:col>3</xdr:col>
                    <xdr:colOff>514350</xdr:colOff>
                    <xdr:row>92</xdr:row>
                    <xdr:rowOff>19050</xdr:rowOff>
                  </to>
                </anchor>
              </controlPr>
            </control>
          </mc:Choice>
        </mc:AlternateContent>
        <mc:AlternateContent xmlns:mc="http://schemas.openxmlformats.org/markup-compatibility/2006">
          <mc:Choice Requires="x14">
            <control shapeId="1613" r:id="rId114" name="Check Box 589">
              <controlPr defaultSize="0" autoFill="0" autoLine="0" autoPict="0" altText="">
                <anchor moveWithCells="1">
                  <from>
                    <xdr:col>3</xdr:col>
                    <xdr:colOff>152400</xdr:colOff>
                    <xdr:row>92</xdr:row>
                    <xdr:rowOff>0</xdr:rowOff>
                  </from>
                  <to>
                    <xdr:col>3</xdr:col>
                    <xdr:colOff>514350</xdr:colOff>
                    <xdr:row>93</xdr:row>
                    <xdr:rowOff>19050</xdr:rowOff>
                  </to>
                </anchor>
              </controlPr>
            </control>
          </mc:Choice>
        </mc:AlternateContent>
        <mc:AlternateContent xmlns:mc="http://schemas.openxmlformats.org/markup-compatibility/2006">
          <mc:Choice Requires="x14">
            <control shapeId="1614" r:id="rId115" name="Check Box 590">
              <controlPr defaultSize="0" autoFill="0" autoLine="0" autoPict="0" altText="">
                <anchor moveWithCells="1">
                  <from>
                    <xdr:col>3</xdr:col>
                    <xdr:colOff>152400</xdr:colOff>
                    <xdr:row>94</xdr:row>
                    <xdr:rowOff>0</xdr:rowOff>
                  </from>
                  <to>
                    <xdr:col>3</xdr:col>
                    <xdr:colOff>514350</xdr:colOff>
                    <xdr:row>95</xdr:row>
                    <xdr:rowOff>0</xdr:rowOff>
                  </to>
                </anchor>
              </controlPr>
            </control>
          </mc:Choice>
        </mc:AlternateContent>
        <mc:AlternateContent xmlns:mc="http://schemas.openxmlformats.org/markup-compatibility/2006">
          <mc:Choice Requires="x14">
            <control shapeId="1616" r:id="rId116" name="Check Box 592">
              <controlPr defaultSize="0" autoFill="0" autoLine="0" autoPict="0" altText="">
                <anchor moveWithCells="1">
                  <from>
                    <xdr:col>3</xdr:col>
                    <xdr:colOff>152400</xdr:colOff>
                    <xdr:row>141</xdr:row>
                    <xdr:rowOff>0</xdr:rowOff>
                  </from>
                  <to>
                    <xdr:col>3</xdr:col>
                    <xdr:colOff>514350</xdr:colOff>
                    <xdr:row>142</xdr:row>
                    <xdr:rowOff>0</xdr:rowOff>
                  </to>
                </anchor>
              </controlPr>
            </control>
          </mc:Choice>
        </mc:AlternateContent>
        <mc:AlternateContent xmlns:mc="http://schemas.openxmlformats.org/markup-compatibility/2006">
          <mc:Choice Requires="x14">
            <control shapeId="1617" r:id="rId117" name="Check Box 593">
              <controlPr defaultSize="0" autoFill="0" autoLine="0" autoPict="0" altText="">
                <anchor moveWithCells="1">
                  <from>
                    <xdr:col>3</xdr:col>
                    <xdr:colOff>152400</xdr:colOff>
                    <xdr:row>142</xdr:row>
                    <xdr:rowOff>0</xdr:rowOff>
                  </from>
                  <to>
                    <xdr:col>3</xdr:col>
                    <xdr:colOff>514350</xdr:colOff>
                    <xdr:row>143</xdr:row>
                    <xdr:rowOff>0</xdr:rowOff>
                  </to>
                </anchor>
              </controlPr>
            </control>
          </mc:Choice>
        </mc:AlternateContent>
        <mc:AlternateContent xmlns:mc="http://schemas.openxmlformats.org/markup-compatibility/2006">
          <mc:Choice Requires="x14">
            <control shapeId="1618" r:id="rId118" name="Check Box 594">
              <controlPr defaultSize="0" autoFill="0" autoLine="0" autoPict="0" altText="">
                <anchor moveWithCells="1">
                  <from>
                    <xdr:col>3</xdr:col>
                    <xdr:colOff>152400</xdr:colOff>
                    <xdr:row>143</xdr:row>
                    <xdr:rowOff>0</xdr:rowOff>
                  </from>
                  <to>
                    <xdr:col>3</xdr:col>
                    <xdr:colOff>514350</xdr:colOff>
                    <xdr:row>144</xdr:row>
                    <xdr:rowOff>0</xdr:rowOff>
                  </to>
                </anchor>
              </controlPr>
            </control>
          </mc:Choice>
        </mc:AlternateContent>
        <mc:AlternateContent xmlns:mc="http://schemas.openxmlformats.org/markup-compatibility/2006">
          <mc:Choice Requires="x14">
            <control shapeId="1619" r:id="rId119" name="Check Box 595">
              <controlPr defaultSize="0" autoFill="0" autoLine="0" autoPict="0" altText="">
                <anchor moveWithCells="1">
                  <from>
                    <xdr:col>3</xdr:col>
                    <xdr:colOff>152400</xdr:colOff>
                    <xdr:row>144</xdr:row>
                    <xdr:rowOff>0</xdr:rowOff>
                  </from>
                  <to>
                    <xdr:col>3</xdr:col>
                    <xdr:colOff>514350</xdr:colOff>
                    <xdr:row>145</xdr:row>
                    <xdr:rowOff>0</xdr:rowOff>
                  </to>
                </anchor>
              </controlPr>
            </control>
          </mc:Choice>
        </mc:AlternateContent>
        <mc:AlternateContent xmlns:mc="http://schemas.openxmlformats.org/markup-compatibility/2006">
          <mc:Choice Requires="x14">
            <control shapeId="1620" r:id="rId120" name="Check Box 596">
              <controlPr defaultSize="0" autoFill="0" autoLine="0" autoPict="0" altText="">
                <anchor moveWithCells="1">
                  <from>
                    <xdr:col>3</xdr:col>
                    <xdr:colOff>152400</xdr:colOff>
                    <xdr:row>89</xdr:row>
                    <xdr:rowOff>0</xdr:rowOff>
                  </from>
                  <to>
                    <xdr:col>3</xdr:col>
                    <xdr:colOff>514350</xdr:colOff>
                    <xdr:row>90</xdr:row>
                    <xdr:rowOff>19050</xdr:rowOff>
                  </to>
                </anchor>
              </controlPr>
            </control>
          </mc:Choice>
        </mc:AlternateContent>
        <mc:AlternateContent xmlns:mc="http://schemas.openxmlformats.org/markup-compatibility/2006">
          <mc:Choice Requires="x14">
            <control shapeId="1621" r:id="rId121" name="Check Box 597">
              <controlPr defaultSize="0" autoFill="0" autoLine="0" autoPict="0" altText="">
                <anchor moveWithCells="1">
                  <from>
                    <xdr:col>3</xdr:col>
                    <xdr:colOff>152400</xdr:colOff>
                    <xdr:row>89</xdr:row>
                    <xdr:rowOff>0</xdr:rowOff>
                  </from>
                  <to>
                    <xdr:col>3</xdr:col>
                    <xdr:colOff>514350</xdr:colOff>
                    <xdr:row>90</xdr:row>
                    <xdr:rowOff>19050</xdr:rowOff>
                  </to>
                </anchor>
              </controlPr>
            </control>
          </mc:Choice>
        </mc:AlternateContent>
        <mc:AlternateContent xmlns:mc="http://schemas.openxmlformats.org/markup-compatibility/2006">
          <mc:Choice Requires="x14">
            <control shapeId="1622" r:id="rId122" name="Check Box 598">
              <controlPr defaultSize="0" autoFill="0" autoLine="0" autoPict="0" altText="">
                <anchor moveWithCells="1">
                  <from>
                    <xdr:col>3</xdr:col>
                    <xdr:colOff>152400</xdr:colOff>
                    <xdr:row>133</xdr:row>
                    <xdr:rowOff>0</xdr:rowOff>
                  </from>
                  <to>
                    <xdr:col>3</xdr:col>
                    <xdr:colOff>514350</xdr:colOff>
                    <xdr:row>134</xdr:row>
                    <xdr:rowOff>0</xdr:rowOff>
                  </to>
                </anchor>
              </controlPr>
            </control>
          </mc:Choice>
        </mc:AlternateContent>
        <mc:AlternateContent xmlns:mc="http://schemas.openxmlformats.org/markup-compatibility/2006">
          <mc:Choice Requires="x14">
            <control shapeId="1623" r:id="rId123" name="Check Box 599">
              <controlPr defaultSize="0" autoFill="0" autoLine="0" autoPict="0" altText="">
                <anchor moveWithCells="1">
                  <from>
                    <xdr:col>3</xdr:col>
                    <xdr:colOff>152400</xdr:colOff>
                    <xdr:row>134</xdr:row>
                    <xdr:rowOff>0</xdr:rowOff>
                  </from>
                  <to>
                    <xdr:col>3</xdr:col>
                    <xdr:colOff>514350</xdr:colOff>
                    <xdr:row>135</xdr:row>
                    <xdr:rowOff>0</xdr:rowOff>
                  </to>
                </anchor>
              </controlPr>
            </control>
          </mc:Choice>
        </mc:AlternateContent>
        <mc:AlternateContent xmlns:mc="http://schemas.openxmlformats.org/markup-compatibility/2006">
          <mc:Choice Requires="x14">
            <control shapeId="1624" r:id="rId124" name="Check Box 600">
              <controlPr defaultSize="0" autoFill="0" autoLine="0" autoPict="0" altText="">
                <anchor moveWithCells="1">
                  <from>
                    <xdr:col>3</xdr:col>
                    <xdr:colOff>152400</xdr:colOff>
                    <xdr:row>135</xdr:row>
                    <xdr:rowOff>0</xdr:rowOff>
                  </from>
                  <to>
                    <xdr:col>3</xdr:col>
                    <xdr:colOff>514350</xdr:colOff>
                    <xdr:row>136</xdr:row>
                    <xdr:rowOff>0</xdr:rowOff>
                  </to>
                </anchor>
              </controlPr>
            </control>
          </mc:Choice>
        </mc:AlternateContent>
        <mc:AlternateContent xmlns:mc="http://schemas.openxmlformats.org/markup-compatibility/2006">
          <mc:Choice Requires="x14">
            <control shapeId="1625" r:id="rId125" name="Check Box 601">
              <controlPr defaultSize="0" autoFill="0" autoLine="0" autoPict="0" altText="">
                <anchor moveWithCells="1">
                  <from>
                    <xdr:col>3</xdr:col>
                    <xdr:colOff>152400</xdr:colOff>
                    <xdr:row>136</xdr:row>
                    <xdr:rowOff>0</xdr:rowOff>
                  </from>
                  <to>
                    <xdr:col>3</xdr:col>
                    <xdr:colOff>514350</xdr:colOff>
                    <xdr:row>137</xdr:row>
                    <xdr:rowOff>0</xdr:rowOff>
                  </to>
                </anchor>
              </controlPr>
            </control>
          </mc:Choice>
        </mc:AlternateContent>
        <mc:AlternateContent xmlns:mc="http://schemas.openxmlformats.org/markup-compatibility/2006">
          <mc:Choice Requires="x14">
            <control shapeId="1626" r:id="rId126" name="Check Box 602">
              <controlPr defaultSize="0" autoFill="0" autoLine="0" autoPict="0" altText="">
                <anchor moveWithCells="1">
                  <from>
                    <xdr:col>3</xdr:col>
                    <xdr:colOff>152400</xdr:colOff>
                    <xdr:row>137</xdr:row>
                    <xdr:rowOff>0</xdr:rowOff>
                  </from>
                  <to>
                    <xdr:col>3</xdr:col>
                    <xdr:colOff>514350</xdr:colOff>
                    <xdr:row>138</xdr:row>
                    <xdr:rowOff>0</xdr:rowOff>
                  </to>
                </anchor>
              </controlPr>
            </control>
          </mc:Choice>
        </mc:AlternateContent>
        <mc:AlternateContent xmlns:mc="http://schemas.openxmlformats.org/markup-compatibility/2006">
          <mc:Choice Requires="x14">
            <control shapeId="1627" r:id="rId127" name="Check Box 603">
              <controlPr defaultSize="0" autoFill="0" autoLine="0" autoPict="0" altText="">
                <anchor moveWithCells="1">
                  <from>
                    <xdr:col>3</xdr:col>
                    <xdr:colOff>152400</xdr:colOff>
                    <xdr:row>138</xdr:row>
                    <xdr:rowOff>0</xdr:rowOff>
                  </from>
                  <to>
                    <xdr:col>3</xdr:col>
                    <xdr:colOff>514350</xdr:colOff>
                    <xdr:row>139</xdr:row>
                    <xdr:rowOff>0</xdr:rowOff>
                  </to>
                </anchor>
              </controlPr>
            </control>
          </mc:Choice>
        </mc:AlternateContent>
        <mc:AlternateContent xmlns:mc="http://schemas.openxmlformats.org/markup-compatibility/2006">
          <mc:Choice Requires="x14">
            <control shapeId="1628" r:id="rId128" name="Check Box 604">
              <controlPr defaultSize="0" autoFill="0" autoLine="0" autoPict="0" altText="">
                <anchor moveWithCells="1">
                  <from>
                    <xdr:col>3</xdr:col>
                    <xdr:colOff>152400</xdr:colOff>
                    <xdr:row>139</xdr:row>
                    <xdr:rowOff>0</xdr:rowOff>
                  </from>
                  <to>
                    <xdr:col>3</xdr:col>
                    <xdr:colOff>514350</xdr:colOff>
                    <xdr:row>140</xdr:row>
                    <xdr:rowOff>0</xdr:rowOff>
                  </to>
                </anchor>
              </controlPr>
            </control>
          </mc:Choice>
        </mc:AlternateContent>
        <mc:AlternateContent xmlns:mc="http://schemas.openxmlformats.org/markup-compatibility/2006">
          <mc:Choice Requires="x14">
            <control shapeId="1629" r:id="rId129" name="Check Box 605">
              <controlPr defaultSize="0" autoFill="0" autoLine="0" autoPict="0" altText="">
                <anchor moveWithCells="1">
                  <from>
                    <xdr:col>3</xdr:col>
                    <xdr:colOff>152400</xdr:colOff>
                    <xdr:row>140</xdr:row>
                    <xdr:rowOff>0</xdr:rowOff>
                  </from>
                  <to>
                    <xdr:col>3</xdr:col>
                    <xdr:colOff>514350</xdr:colOff>
                    <xdr:row>141</xdr:row>
                    <xdr:rowOff>0</xdr:rowOff>
                  </to>
                </anchor>
              </controlPr>
            </control>
          </mc:Choice>
        </mc:AlternateContent>
        <mc:AlternateContent xmlns:mc="http://schemas.openxmlformats.org/markup-compatibility/2006">
          <mc:Choice Requires="x14">
            <control shapeId="1630" r:id="rId130" name="Check Box 606">
              <controlPr defaultSize="0" autoFill="0" autoLine="0" autoPict="0" altText="">
                <anchor moveWithCells="1">
                  <from>
                    <xdr:col>3</xdr:col>
                    <xdr:colOff>152400</xdr:colOff>
                    <xdr:row>141</xdr:row>
                    <xdr:rowOff>0</xdr:rowOff>
                  </from>
                  <to>
                    <xdr:col>3</xdr:col>
                    <xdr:colOff>514350</xdr:colOff>
                    <xdr:row>142</xdr:row>
                    <xdr:rowOff>0</xdr:rowOff>
                  </to>
                </anchor>
              </controlPr>
            </control>
          </mc:Choice>
        </mc:AlternateContent>
        <mc:AlternateContent xmlns:mc="http://schemas.openxmlformats.org/markup-compatibility/2006">
          <mc:Choice Requires="x14">
            <control shapeId="1631" r:id="rId131" name="Check Box 607">
              <controlPr defaultSize="0" autoFill="0" autoLine="0" autoPict="0" altText="">
                <anchor moveWithCells="1">
                  <from>
                    <xdr:col>3</xdr:col>
                    <xdr:colOff>152400</xdr:colOff>
                    <xdr:row>142</xdr:row>
                    <xdr:rowOff>0</xdr:rowOff>
                  </from>
                  <to>
                    <xdr:col>3</xdr:col>
                    <xdr:colOff>514350</xdr:colOff>
                    <xdr:row>143</xdr:row>
                    <xdr:rowOff>0</xdr:rowOff>
                  </to>
                </anchor>
              </controlPr>
            </control>
          </mc:Choice>
        </mc:AlternateContent>
        <mc:AlternateContent xmlns:mc="http://schemas.openxmlformats.org/markup-compatibility/2006">
          <mc:Choice Requires="x14">
            <control shapeId="1632" r:id="rId132" name="Check Box 608">
              <controlPr defaultSize="0" autoFill="0" autoLine="0" autoPict="0" altText="">
                <anchor moveWithCells="1">
                  <from>
                    <xdr:col>3</xdr:col>
                    <xdr:colOff>152400</xdr:colOff>
                    <xdr:row>143</xdr:row>
                    <xdr:rowOff>0</xdr:rowOff>
                  </from>
                  <to>
                    <xdr:col>3</xdr:col>
                    <xdr:colOff>514350</xdr:colOff>
                    <xdr:row>144</xdr:row>
                    <xdr:rowOff>0</xdr:rowOff>
                  </to>
                </anchor>
              </controlPr>
            </control>
          </mc:Choice>
        </mc:AlternateContent>
        <mc:AlternateContent xmlns:mc="http://schemas.openxmlformats.org/markup-compatibility/2006">
          <mc:Choice Requires="x14">
            <control shapeId="1633" r:id="rId133" name="Check Box 609">
              <controlPr defaultSize="0" autoFill="0" autoLine="0" autoPict="0" altText="">
                <anchor moveWithCells="1">
                  <from>
                    <xdr:col>3</xdr:col>
                    <xdr:colOff>152400</xdr:colOff>
                    <xdr:row>144</xdr:row>
                    <xdr:rowOff>0</xdr:rowOff>
                  </from>
                  <to>
                    <xdr:col>3</xdr:col>
                    <xdr:colOff>514350</xdr:colOff>
                    <xdr:row>145</xdr:row>
                    <xdr:rowOff>0</xdr:rowOff>
                  </to>
                </anchor>
              </controlPr>
            </control>
          </mc:Choice>
        </mc:AlternateContent>
        <mc:AlternateContent xmlns:mc="http://schemas.openxmlformats.org/markup-compatibility/2006">
          <mc:Choice Requires="x14">
            <control shapeId="1634" r:id="rId134" name="Check Box 610">
              <controlPr defaultSize="0" autoFill="0" autoLine="0" autoPict="0" altText="">
                <anchor moveWithCells="1">
                  <from>
                    <xdr:col>3</xdr:col>
                    <xdr:colOff>152400</xdr:colOff>
                    <xdr:row>145</xdr:row>
                    <xdr:rowOff>0</xdr:rowOff>
                  </from>
                  <to>
                    <xdr:col>3</xdr:col>
                    <xdr:colOff>514350</xdr:colOff>
                    <xdr:row>146</xdr:row>
                    <xdr:rowOff>0</xdr:rowOff>
                  </to>
                </anchor>
              </controlPr>
            </control>
          </mc:Choice>
        </mc:AlternateContent>
        <mc:AlternateContent xmlns:mc="http://schemas.openxmlformats.org/markup-compatibility/2006">
          <mc:Choice Requires="x14">
            <control shapeId="1635" r:id="rId135" name="Check Box 611">
              <controlPr defaultSize="0" autoFill="0" autoLine="0" autoPict="0" altText="">
                <anchor moveWithCells="1">
                  <from>
                    <xdr:col>3</xdr:col>
                    <xdr:colOff>152400</xdr:colOff>
                    <xdr:row>146</xdr:row>
                    <xdr:rowOff>0</xdr:rowOff>
                  </from>
                  <to>
                    <xdr:col>3</xdr:col>
                    <xdr:colOff>514350</xdr:colOff>
                    <xdr:row>147</xdr:row>
                    <xdr:rowOff>0</xdr:rowOff>
                  </to>
                </anchor>
              </controlPr>
            </control>
          </mc:Choice>
        </mc:AlternateContent>
        <mc:AlternateContent xmlns:mc="http://schemas.openxmlformats.org/markup-compatibility/2006">
          <mc:Choice Requires="x14">
            <control shapeId="1636" r:id="rId136" name="Check Box 612">
              <controlPr defaultSize="0" autoFill="0" autoLine="0" autoPict="0" altText="">
                <anchor moveWithCells="1">
                  <from>
                    <xdr:col>3</xdr:col>
                    <xdr:colOff>152400</xdr:colOff>
                    <xdr:row>147</xdr:row>
                    <xdr:rowOff>0</xdr:rowOff>
                  </from>
                  <to>
                    <xdr:col>3</xdr:col>
                    <xdr:colOff>514350</xdr:colOff>
                    <xdr:row>148</xdr:row>
                    <xdr:rowOff>0</xdr:rowOff>
                  </to>
                </anchor>
              </controlPr>
            </control>
          </mc:Choice>
        </mc:AlternateContent>
        <mc:AlternateContent xmlns:mc="http://schemas.openxmlformats.org/markup-compatibility/2006">
          <mc:Choice Requires="x14">
            <control shapeId="1637" r:id="rId137" name="Check Box 613">
              <controlPr defaultSize="0" autoFill="0" autoLine="0" autoPict="0" altText="">
                <anchor moveWithCells="1">
                  <from>
                    <xdr:col>3</xdr:col>
                    <xdr:colOff>152400</xdr:colOff>
                    <xdr:row>148</xdr:row>
                    <xdr:rowOff>0</xdr:rowOff>
                  </from>
                  <to>
                    <xdr:col>3</xdr:col>
                    <xdr:colOff>514350</xdr:colOff>
                    <xdr:row>149</xdr:row>
                    <xdr:rowOff>0</xdr:rowOff>
                  </to>
                </anchor>
              </controlPr>
            </control>
          </mc:Choice>
        </mc:AlternateContent>
        <mc:AlternateContent xmlns:mc="http://schemas.openxmlformats.org/markup-compatibility/2006">
          <mc:Choice Requires="x14">
            <control shapeId="1639" r:id="rId138" name="Check Box 615">
              <controlPr defaultSize="0" autoFill="0" autoLine="0" autoPict="0" altText="_x000a_">
                <anchor moveWithCells="1">
                  <from>
                    <xdr:col>3</xdr:col>
                    <xdr:colOff>152400</xdr:colOff>
                    <xdr:row>43</xdr:row>
                    <xdr:rowOff>0</xdr:rowOff>
                  </from>
                  <to>
                    <xdr:col>3</xdr:col>
                    <xdr:colOff>514350</xdr:colOff>
                    <xdr:row>44</xdr:row>
                    <xdr:rowOff>19050</xdr:rowOff>
                  </to>
                </anchor>
              </controlPr>
            </control>
          </mc:Choice>
        </mc:AlternateContent>
        <mc:AlternateContent xmlns:mc="http://schemas.openxmlformats.org/markup-compatibility/2006">
          <mc:Choice Requires="x14">
            <control shapeId="1640" r:id="rId139" name="Check Box 616">
              <controlPr defaultSize="0" autoFill="0" autoLine="0" autoPict="0" altText="_x000a_">
                <anchor moveWithCells="1">
                  <from>
                    <xdr:col>3</xdr:col>
                    <xdr:colOff>152400</xdr:colOff>
                    <xdr:row>44</xdr:row>
                    <xdr:rowOff>0</xdr:rowOff>
                  </from>
                  <to>
                    <xdr:col>3</xdr:col>
                    <xdr:colOff>514350</xdr:colOff>
                    <xdr:row>45</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3000000}">
          <x14:formula1>
            <xm:f>Støtteark!$H$4:$H$7</xm:f>
          </x14:formula1>
          <xm:sqref>H32:H33</xm:sqref>
        </x14:dataValidation>
        <x14:dataValidation type="list" allowBlank="1" showInputMessage="1" showErrorMessage="1" xr:uid="{00000000-0002-0000-0000-000004000000}">
          <x14:formula1>
            <xm:f>Støtteark!$E$4:$E$20</xm:f>
          </x14:formula1>
          <xm:sqref>H130:H149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2">
    <pageSetUpPr fitToPage="1"/>
  </sheetPr>
  <dimension ref="A1:H172"/>
  <sheetViews>
    <sheetView topLeftCell="B1" zoomScale="87" zoomScaleNormal="87" workbookViewId="0">
      <pane ySplit="3" topLeftCell="A4" activePane="bottomLeft" state="frozen"/>
      <selection activeCell="L4" sqref="L4"/>
      <selection pane="bottomLeft"/>
    </sheetView>
  </sheetViews>
  <sheetFormatPr defaultRowHeight="15" x14ac:dyDescent="0.25"/>
  <cols>
    <col min="1" max="1" width="5.85546875" bestFit="1" customWidth="1"/>
    <col min="2" max="2" width="28.42578125" bestFit="1" customWidth="1"/>
    <col min="3" max="3" width="45.7109375" customWidth="1"/>
    <col min="4" max="4" width="16" bestFit="1" customWidth="1"/>
    <col min="5" max="5" width="13.5703125" bestFit="1" customWidth="1"/>
    <col min="6" max="6" width="47.140625" bestFit="1" customWidth="1"/>
    <col min="7" max="7" width="63.42578125" bestFit="1" customWidth="1"/>
    <col min="8" max="8" width="46.7109375" customWidth="1"/>
  </cols>
  <sheetData>
    <row r="1" spans="1:8" s="16" customFormat="1" ht="15.75" thickBot="1" x14ac:dyDescent="0.3">
      <c r="A1" s="249" t="str">
        <f>Støtteark!$A$1</f>
        <v>SLA</v>
      </c>
      <c r="B1" s="249" t="str">
        <f>Støtteark!$B$1</f>
        <v>v. 1.3</v>
      </c>
      <c r="C1" s="249" t="str">
        <f>Støtteark!$C$1</f>
        <v>Init</v>
      </c>
      <c r="D1" s="249" t="str">
        <f>Støtteark!$C$4</f>
        <v>Kundenr.</v>
      </c>
      <c r="E1" s="249" t="str">
        <f>Støtteark!$C$5</f>
        <v>Ejendom</v>
      </c>
      <c r="F1" s="249" t="str">
        <f>Støtteark!$C$6</f>
        <v>Navn</v>
      </c>
      <c r="G1" s="249" t="str">
        <f>Støtteark!$C$7&amp;" "&amp;Støtteark!$C$8&amp;" "&amp;Støtteark!$C$9</f>
        <v>Adresse Postnr. By</v>
      </c>
    </row>
    <row r="2" spans="1:8" ht="15.75" thickBot="1" x14ac:dyDescent="0.3">
      <c r="A2" s="9"/>
      <c r="B2" s="9"/>
      <c r="C2" s="9"/>
      <c r="D2" s="54"/>
      <c r="E2" s="54"/>
      <c r="F2" s="12"/>
      <c r="G2" s="12"/>
      <c r="H2" s="22"/>
    </row>
    <row r="3" spans="1:8" ht="15.75" thickBot="1" x14ac:dyDescent="0.3">
      <c r="A3" s="249" t="str">
        <f>'FS Aftale'!A3</f>
        <v>Nr.</v>
      </c>
      <c r="B3" s="249" t="str">
        <f>'FS Aftale'!B3</f>
        <v>Gruppe</v>
      </c>
      <c r="C3" s="249" t="str">
        <f>Ydelser!C3</f>
        <v>Ydelse</v>
      </c>
      <c r="D3" s="249" t="str">
        <f>'FS Aftale'!E3</f>
        <v>DEAS type</v>
      </c>
      <c r="E3" s="249" t="str">
        <f>'FS Aftale'!F3</f>
        <v>Antal pr. år</v>
      </c>
      <c r="F3" s="249" t="s">
        <v>44</v>
      </c>
      <c r="G3" s="249" t="s">
        <v>0</v>
      </c>
    </row>
    <row r="4" spans="1:8" hidden="1" x14ac:dyDescent="0.25">
      <c r="A4" s="9"/>
      <c r="B4" s="9"/>
      <c r="C4" s="9"/>
      <c r="D4" s="12"/>
      <c r="E4" s="12"/>
      <c r="F4" s="12"/>
      <c r="G4" s="22"/>
    </row>
    <row r="5" spans="1:8" ht="26.25" hidden="1" thickBot="1" x14ac:dyDescent="0.3">
      <c r="A5" s="29">
        <f>Ydelser!A5</f>
        <v>100</v>
      </c>
      <c r="B5" s="7" t="str">
        <f>Ydelser!B5</f>
        <v>Tilsyn, drift og kvalitetssikring</v>
      </c>
      <c r="C5" s="51"/>
      <c r="D5" s="51"/>
      <c r="E5" s="51"/>
      <c r="F5" s="51"/>
      <c r="G5" s="51"/>
    </row>
    <row r="6" spans="1:8" ht="57.75" hidden="1" customHeight="1" thickBot="1" x14ac:dyDescent="0.3">
      <c r="A6" s="30">
        <f>Ydelser!A6</f>
        <v>101</v>
      </c>
      <c r="B6" s="5"/>
      <c r="C6" s="4" t="str">
        <f>Ydelser!C6</f>
        <v>Håndtering af forsikrings- og skadesager</v>
      </c>
      <c r="D6" s="26" t="str">
        <f>'FS Aftale'!E6</f>
        <v>Timeafregnet</v>
      </c>
      <c r="E6" s="26"/>
      <c r="F6" s="47" t="str">
        <f>Ydelser!D6</f>
        <v>Afhjælpning af forsikringsskader, indhentning af tilbud, koordinering, kontrol, fakturering og opgørelse udføres efter medgået tid.</v>
      </c>
      <c r="G6" s="6" t="str">
        <f>Ydelser!E6</f>
        <v>Forholdsordre, aftalegrundlag, oprettet sag i UB4.</v>
      </c>
    </row>
    <row r="7" spans="1:8" ht="20.25" hidden="1" customHeight="1" thickBot="1" x14ac:dyDescent="0.3">
      <c r="A7" s="30">
        <f>Ydelser!A7</f>
        <v>102</v>
      </c>
      <c r="B7" s="5"/>
      <c r="C7" s="4" t="str">
        <f>Ydelser!C7</f>
        <v>Håndtering af mindre byggesager</v>
      </c>
      <c r="D7" s="26" t="str">
        <f>'FS Aftale'!E7</f>
        <v>Timeafregnet</v>
      </c>
      <c r="E7" s="26"/>
      <c r="F7" s="47" t="str">
        <f>Ydelser!D7</f>
        <v>Udføres af inspektørteam.</v>
      </c>
      <c r="G7" s="6" t="str">
        <f>Ydelser!E7</f>
        <v>Beløbs- og tidsramme, udbudsform.</v>
      </c>
    </row>
    <row r="8" spans="1:8" ht="55.5" hidden="1" customHeight="1" thickBot="1" x14ac:dyDescent="0.3">
      <c r="A8" s="30">
        <f>Ydelser!A8</f>
        <v>103</v>
      </c>
      <c r="B8" s="5"/>
      <c r="C8" s="4" t="str">
        <f>Ydelser!C8</f>
        <v>Deltagelse i møder ud over driftsmøder</v>
      </c>
      <c r="D8" s="26" t="str">
        <f>'FS Aftale'!E8</f>
        <v>Timeafregnet</v>
      </c>
      <c r="E8" s="26"/>
      <c r="F8" s="47" t="str">
        <f>Ydelser!D8</f>
        <v>Definerede mødetyper, som ikke er driftsmøder.
Eksempelvis beboer-, bestyrelses-, nævns- og budgetmøder.</v>
      </c>
      <c r="G8" s="6" t="str">
        <f>Ydelser!E8</f>
        <v>Formål og agenda foreligger inden mødet.</v>
      </c>
    </row>
    <row r="9" spans="1:8" ht="15.75" thickBot="1" x14ac:dyDescent="0.3">
      <c r="A9" s="9"/>
      <c r="B9" s="9"/>
      <c r="C9" s="9"/>
      <c r="D9" s="12"/>
      <c r="E9" s="12"/>
      <c r="F9" s="12"/>
      <c r="G9" s="22"/>
    </row>
    <row r="10" spans="1:8" ht="15.75" thickBot="1" x14ac:dyDescent="0.3">
      <c r="A10" s="29">
        <f>Ydelser!A10</f>
        <v>200</v>
      </c>
      <c r="B10" s="7" t="str">
        <f>Ydelser!B10</f>
        <v>Service Center</v>
      </c>
      <c r="C10" s="51"/>
      <c r="D10" s="51"/>
      <c r="E10" s="51"/>
      <c r="F10" s="51"/>
      <c r="G10" s="51"/>
    </row>
    <row r="11" spans="1:8" ht="123.75" customHeight="1" thickBot="1" x14ac:dyDescent="0.3">
      <c r="A11" s="30">
        <f>Ydelser!A11</f>
        <v>201</v>
      </c>
      <c r="B11" s="5"/>
      <c r="C11" s="4" t="str">
        <f>Ydelser!C11</f>
        <v>Telefon og mail</v>
      </c>
      <c r="D11" s="26" t="s">
        <v>376</v>
      </c>
      <c r="E11" s="26"/>
      <c r="F11" s="47" t="str">
        <f>Ydelser!D11</f>
        <v xml:space="preserve">Besvarelse og behandling af indkomne telefonopkald og e-mails fra kunder i Service Centerets åbningstid. Service Centeret har åbent mandag til fredag fra 08.00-16.00. Tlf. 70 30 23 30 / e-mail: fs@deas.dk. Uden for Service Centerets åbningstid viderstilles opkaldet til BELFOR Skadesservice, som i akutte situationer skadesbegrænser på ejendommen. </v>
      </c>
      <c r="G11" s="6" t="str">
        <f>Ydelser!E11</f>
        <v>Forholdsordre for omfanget.</v>
      </c>
    </row>
    <row r="12" spans="1:8" ht="32.25" customHeight="1" thickBot="1" x14ac:dyDescent="0.3">
      <c r="A12" s="30">
        <f>Ydelser!A12</f>
        <v>202</v>
      </c>
      <c r="B12" s="5"/>
      <c r="C12" s="4" t="str">
        <f>Ydelser!C12</f>
        <v>Bestilling af håndværker</v>
      </c>
      <c r="D12" s="26" t="s">
        <v>376</v>
      </c>
      <c r="E12" s="26"/>
      <c r="F12" s="47" t="str">
        <f>Ydelser!D12</f>
        <v>Bestilling af arbejder hos prækvalificerede håndværkere.</v>
      </c>
      <c r="G12" s="6" t="str">
        <f>Ydelser!E12</f>
        <v>Aftalt forholdsordre med håndværkerliste.
Aftalt beløbsgrænse.</v>
      </c>
    </row>
    <row r="13" spans="1:8" ht="45.75" customHeight="1" thickBot="1" x14ac:dyDescent="0.3">
      <c r="A13" s="30">
        <f>Ydelser!A13</f>
        <v>203</v>
      </c>
      <c r="B13" s="5"/>
      <c r="C13" s="4" t="str">
        <f>Ydelser!C13</f>
        <v>Varebestilling</v>
      </c>
      <c r="D13" s="26" t="s">
        <v>376</v>
      </c>
      <c r="E13" s="26"/>
      <c r="F13" s="47" t="str">
        <f>Ydelser!D13</f>
        <v>Bestilling af forbrugsmaterialer til ejendommen, fx. lyskilder, batterier, rengøringsartikler, vaskemidler m.m.</v>
      </c>
      <c r="G13" s="6" t="str">
        <f>Ydelser!E13</f>
        <v>Forbrugsmaterialer faktureres særskilt.</v>
      </c>
    </row>
    <row r="14" spans="1:8" ht="59.25" customHeight="1" thickBot="1" x14ac:dyDescent="0.3">
      <c r="A14" s="30">
        <f>Ydelser!A14</f>
        <v>204</v>
      </c>
      <c r="B14" s="5"/>
      <c r="C14" s="4" t="str">
        <f>Ydelser!C14</f>
        <v>Anmeldelse og bestilling</v>
      </c>
      <c r="D14" s="26" t="s">
        <v>376</v>
      </c>
      <c r="E14" s="26"/>
      <c r="F14" s="47" t="str">
        <f>Ydelser!D14</f>
        <v>Anmeldelse af skadedyr, skaktstop, elevatorstop, ventilationsstop, ekstra tømning af affald, vaskeristop og andre tekniske driftsstop.</v>
      </c>
      <c r="G14" s="6" t="str">
        <f>Ydelser!E14</f>
        <v>Kontrakter, snitflader, omfang.</v>
      </c>
    </row>
    <row r="15" spans="1:8" ht="31.5" customHeight="1" thickBot="1" x14ac:dyDescent="0.3">
      <c r="A15" s="30">
        <f>Ydelser!A15</f>
        <v>205</v>
      </c>
      <c r="B15" s="5"/>
      <c r="C15" s="4" t="str">
        <f>Ydelser!C15</f>
        <v>Forsikringsanmeldelse</v>
      </c>
      <c r="D15" s="26" t="s">
        <v>376</v>
      </c>
      <c r="E15" s="26"/>
      <c r="F15" s="47" t="str">
        <f>Ydelser!D15</f>
        <v>Der hjælpes med skades- og evt. politianmeldelse.</v>
      </c>
      <c r="G15" s="6" t="str">
        <f>Ydelser!E15</f>
        <v>Kontrakt med ydelser: "blå" og "grå".</v>
      </c>
    </row>
    <row r="16" spans="1:8" ht="60" hidden="1" customHeight="1" thickBot="1" x14ac:dyDescent="0.3">
      <c r="A16" s="30">
        <f>Ydelser!A16</f>
        <v>206</v>
      </c>
      <c r="B16" s="5"/>
      <c r="C16" s="4" t="str">
        <f>Ydelser!C16</f>
        <v>Booking af fælleslokaler</v>
      </c>
      <c r="D16" s="26" t="s">
        <v>376</v>
      </c>
      <c r="E16" s="26"/>
      <c r="F16" s="47" t="str">
        <f>Ydelser!D16</f>
        <v>Booking af fællesrum, gæsteværelser, gildesal m.m. samt oprettelse af opgaver til servicemedarbejdere for håndtering af nøgler, rengøringstjek, leje.</v>
      </c>
      <c r="G16" s="6" t="str">
        <f>Ydelser!E16</f>
        <v>Rengøring, nøgler, inventar, service, udstyr i henhold til forholdsordre.</v>
      </c>
    </row>
    <row r="17" spans="1:7" ht="48" customHeight="1" thickBot="1" x14ac:dyDescent="0.3">
      <c r="A17" s="30">
        <f>Ydelser!A17</f>
        <v>207</v>
      </c>
      <c r="B17" s="5"/>
      <c r="C17" s="4" t="str">
        <f>Ydelser!C17</f>
        <v>Administration af cykeloprydning</v>
      </c>
      <c r="D17" s="26" t="s">
        <v>376</v>
      </c>
      <c r="E17" s="26"/>
      <c r="F17" s="47" t="str">
        <f>Ydelser!D17</f>
        <v>Standard varslingsbrev udarbejdes og omdeles til lejerne 3 uger før.</v>
      </c>
      <c r="G17" s="6" t="str">
        <f>Ydelser!E17</f>
        <v xml:space="preserve">Lovgrundlag er defineret af kontraktpart og valideres af jura.
Forbrugsmaterialer faktureres særskilt.
</v>
      </c>
    </row>
    <row r="18" spans="1:7" ht="46.5" hidden="1" customHeight="1" thickBot="1" x14ac:dyDescent="0.3">
      <c r="A18" s="30">
        <f>Ydelser!A18</f>
        <v>208</v>
      </c>
      <c r="B18" s="5"/>
      <c r="C18" s="4" t="str">
        <f>Ydelser!C18</f>
        <v>Nøgle- og kortadministration</v>
      </c>
      <c r="D18" s="26" t="s">
        <v>376</v>
      </c>
      <c r="E18" s="26"/>
      <c r="F18" s="47" t="str">
        <f>Ydelser!D18</f>
        <v>Administration og bestilling af nøgler, adgangskort, brik-systemer, P-ordninger og vaskekort.</v>
      </c>
      <c r="G18" s="6" t="str">
        <f>Ydelser!E18</f>
        <v>Jf. forholdsordre. Fuldmagter.</v>
      </c>
    </row>
    <row r="19" spans="1:7" ht="49.5" hidden="1" customHeight="1" thickBot="1" x14ac:dyDescent="0.3">
      <c r="A19" s="30">
        <f>Ydelser!A19</f>
        <v>209</v>
      </c>
      <c r="B19" s="5"/>
      <c r="C19" s="4" t="str">
        <f>Ydelser!C19</f>
        <v>Leveringsgodkendelse</v>
      </c>
      <c r="D19" s="26" t="s">
        <v>376</v>
      </c>
      <c r="E19" s="26"/>
      <c r="F19" s="47" t="str">
        <f>Ydelser!D19</f>
        <v>Leveringsgodkendelse af indkomne fakturaer på opgaver, som er bestilt af DEAS FS på kundens vegne.</v>
      </c>
      <c r="G19" s="6" t="str">
        <f>Ydelser!E19</f>
        <v>Aftalt forholdsordre.</v>
      </c>
    </row>
    <row r="20" spans="1:7" ht="15.75" thickBot="1" x14ac:dyDescent="0.3">
      <c r="A20" s="9"/>
      <c r="B20" s="9"/>
      <c r="C20" s="9"/>
      <c r="D20" s="12"/>
      <c r="E20" s="12"/>
      <c r="F20" s="12"/>
      <c r="G20" s="22"/>
    </row>
    <row r="21" spans="1:7" ht="15.75" thickBot="1" x14ac:dyDescent="0.3">
      <c r="A21" s="29">
        <f>Ydelser!A21</f>
        <v>300</v>
      </c>
      <c r="B21" s="7" t="str">
        <f>Ydelser!B21</f>
        <v>Blå ydelser</v>
      </c>
      <c r="C21" s="51"/>
      <c r="D21" s="51"/>
      <c r="E21" s="51"/>
      <c r="F21" s="51"/>
      <c r="G21" s="51"/>
    </row>
    <row r="22" spans="1:7" ht="61.5" customHeight="1" thickBot="1" x14ac:dyDescent="0.3">
      <c r="A22" s="30">
        <f>Ydelser!A22</f>
        <v>301</v>
      </c>
      <c r="B22" s="5"/>
      <c r="C22" s="4" t="str">
        <f>Ydelser!C22</f>
        <v>Kontortid</v>
      </c>
      <c r="D22" s="26" t="s">
        <v>376</v>
      </c>
      <c r="E22" s="26">
        <f>'FS Aftale'!F22</f>
        <v>52</v>
      </c>
      <c r="F22" s="47" t="str">
        <f>Ydelser!D22</f>
        <v>Kontortid afholdes på ejendommen.</v>
      </c>
      <c r="G22" s="6" t="str">
        <f>Ydelser!E22</f>
        <v>Kunden stiller kontor, møbler, PC og internetforbindelse samt alt materiale til rådighed. Arbejdstilsynets krav til kontorer skal være overholdt.</v>
      </c>
    </row>
    <row r="23" spans="1:7" ht="97.5" customHeight="1" thickBot="1" x14ac:dyDescent="0.3">
      <c r="A23" s="30">
        <f>Ydelser!A23</f>
        <v>302</v>
      </c>
      <c r="B23" s="5"/>
      <c r="C23" s="4" t="str">
        <f>Ydelser!C23</f>
        <v>Beboerservice - Afklaring</v>
      </c>
      <c r="D23" s="26" t="s">
        <v>376</v>
      </c>
      <c r="E23" s="26"/>
      <c r="F23" s="47" t="str">
        <f>Ydelser!D23</f>
        <v>Afklaring af problemets omfang med fx elinstallation, fælles belysning, brugsvand, varme, inventar, hårde hvidevarer, fugtproblemer, utætte eller defekte vinduer og døre, vaskerimaskiner og betalingsanlæg, parkeringsanlæg, elevator og affald.</v>
      </c>
      <c r="G23" s="6" t="str">
        <f>Ydelser!E23</f>
        <v>Kontrakt med ydelser: "blå" og "grå" samt tilgang til kontraktoverblik.</v>
      </c>
    </row>
    <row r="24" spans="1:7" ht="45" customHeight="1" thickBot="1" x14ac:dyDescent="0.3">
      <c r="A24" s="30">
        <f>Ydelser!A24</f>
        <v>303</v>
      </c>
      <c r="B24" s="5"/>
      <c r="C24" s="4" t="str">
        <f>Ydelser!C24</f>
        <v>Oplukning og adgang</v>
      </c>
      <c r="D24" s="26" t="s">
        <v>376</v>
      </c>
      <c r="E24" s="26"/>
      <c r="F24" s="47" t="str">
        <f>Ydelser!D24</f>
        <v>Oplukning og adgang for servicemontører og håndværkere i forbindelse med arbejder på ejendommen.</v>
      </c>
      <c r="G24" s="6" t="str">
        <f>Ydelser!E24</f>
        <v>Opgaven skal være målbar, i modsat fald faktureres efter medgået tid.</v>
      </c>
    </row>
    <row r="25" spans="1:7" ht="46.5" customHeight="1" thickBot="1" x14ac:dyDescent="0.3">
      <c r="A25" s="30">
        <f>Ydelser!A25</f>
        <v>304</v>
      </c>
      <c r="B25" s="5"/>
      <c r="C25" s="4" t="str">
        <f>Ydelser!C25</f>
        <v>Services for lejere eller ejendom</v>
      </c>
      <c r="D25" s="26" t="s">
        <v>376</v>
      </c>
      <c r="E25" s="26"/>
      <c r="F25" s="47" t="str">
        <f>Ydelser!D25</f>
        <v>Ikke autorisationskrævende opgaver, f. eks. ringeklokke, tryk, ændring af navneskilt osv.</v>
      </c>
      <c r="G25" s="6" t="str">
        <f>Ydelser!E25</f>
        <v>Opgaven skal være målbar, i modsat fald faktureres efter medgået tid.</v>
      </c>
    </row>
    <row r="26" spans="1:7" ht="45" hidden="1" customHeight="1" thickBot="1" x14ac:dyDescent="0.3">
      <c r="A26" s="30">
        <f>Ydelser!A26</f>
        <v>305</v>
      </c>
      <c r="B26" s="5"/>
      <c r="C26" s="4" t="str">
        <f>Ydelser!C26</f>
        <v>Deltagelse i møder</v>
      </c>
      <c r="D26" s="26" t="s">
        <v>376</v>
      </c>
      <c r="E26" s="26"/>
      <c r="F26" s="47" t="str">
        <f>Ydelser!D26</f>
        <v>Definerede mødetyper.
Eksempelvis beboer-, bestyrelses-, nævns- og budgetmøder.</v>
      </c>
      <c r="G26" s="6" t="str">
        <f>Ydelser!E26</f>
        <v>Formål og agenda foreligger inden mødet.</v>
      </c>
    </row>
    <row r="27" spans="1:7" ht="71.25" customHeight="1" thickBot="1" x14ac:dyDescent="0.3">
      <c r="A27" s="30">
        <f>Ydelser!A27</f>
        <v>306</v>
      </c>
      <c r="B27" s="5"/>
      <c r="C27" s="4" t="str">
        <f>Ydelser!C27</f>
        <v>Tilsyn med tomgangslejemål</v>
      </c>
      <c r="D27" s="26" t="s">
        <v>376</v>
      </c>
      <c r="E27" s="26"/>
      <c r="F27" s="47" t="str">
        <f>Ydelser!D27</f>
        <v>Visuelt tilsyn for sikring af at lejemålet er i umiddelbar funktion. Herunder tilsyn med forsyningsanlæg, fyldning af vandlåse og toiletter.</v>
      </c>
      <c r="G27" s="6" t="str">
        <f>Ydelser!E27</f>
        <v>Boliglejemål, maks. 10%
Niveau for tomgangsstatus skal være beskrevet af kontraktpart. Kan have periodisk indvirkning på pris (tillæg/fradrag beregnes ad hoc).</v>
      </c>
    </row>
    <row r="28" spans="1:7" ht="15.75" hidden="1" thickBot="1" x14ac:dyDescent="0.3">
      <c r="A28" s="30">
        <f>Ydelser!A28</f>
        <v>307</v>
      </c>
      <c r="B28" s="3" t="str">
        <f>Ydelser!B28</f>
        <v>Aflæsninger</v>
      </c>
      <c r="C28" s="153"/>
      <c r="D28" s="154"/>
      <c r="E28" s="154"/>
      <c r="F28" s="43"/>
      <c r="G28" s="44"/>
    </row>
    <row r="29" spans="1:7" ht="58.5" customHeight="1" thickBot="1" x14ac:dyDescent="0.3">
      <c r="A29" s="30">
        <f>Ydelser!A29</f>
        <v>308</v>
      </c>
      <c r="B29" s="5"/>
      <c r="C29" s="4" t="str">
        <f>Ydelser!C29</f>
        <v>Måleraflæsning</v>
      </c>
      <c r="D29" s="26" t="s">
        <v>376</v>
      </c>
      <c r="E29" s="26">
        <f>'FS Aftale'!F29</f>
        <v>12</v>
      </c>
      <c r="F29" s="47" t="str">
        <f>Ydelser!D29</f>
        <v>Aflæsning af Ejendommens hoved- og evt. bimålere.
Evt. indberetning i MinEnergi portalen.</v>
      </c>
      <c r="G29" s="6" t="str">
        <f>Ydelser!E29</f>
        <v>Aflæsningskort – aflæsning og indberetning.
Aflæsningsdata opbevares tilgængeligt i varmecentralen og afleveres til administrator.</v>
      </c>
    </row>
    <row r="30" spans="1:7" ht="51.75" hidden="1" thickBot="1" x14ac:dyDescent="0.3">
      <c r="A30" s="30">
        <f>Ydelser!A30</f>
        <v>309</v>
      </c>
      <c r="B30" s="5"/>
      <c r="C30" s="4" t="str">
        <f>Ydelser!C30</f>
        <v>Årsaflæsning</v>
      </c>
      <c r="D30" s="26" t="str">
        <f>'FS Aftale'!E30</f>
        <v>Indeholdt</v>
      </c>
      <c r="E30" s="26"/>
      <c r="F30" s="47" t="str">
        <f>Ydelser!D30</f>
        <v>Aflæsning af Ejendommens hoved- og evt. bimålere.
Indberetning til energiselskabet.</v>
      </c>
      <c r="G30" s="6" t="str">
        <f>Ydelser!E30</f>
        <v>Aflæsningskort – aflæsning og indberetning.
Aflæsningsdata opbevares tilgængeligt i varmecentralen og afleveres til administrator.</v>
      </c>
    </row>
    <row r="31" spans="1:7" ht="15.75" hidden="1" thickBot="1" x14ac:dyDescent="0.3">
      <c r="A31" s="30">
        <f>Ydelser!A31</f>
        <v>310</v>
      </c>
      <c r="B31" s="4" t="str">
        <f>Ydelser!B31</f>
        <v>Kontrol og tilsyn</v>
      </c>
      <c r="C31" s="153"/>
      <c r="D31" s="154"/>
      <c r="E31" s="154"/>
      <c r="F31" s="43"/>
      <c r="G31" s="44"/>
    </row>
    <row r="32" spans="1:7" ht="87.75" customHeight="1" thickBot="1" x14ac:dyDescent="0.3">
      <c r="A32" s="30">
        <f>Ydelser!A32</f>
        <v>311</v>
      </c>
      <c r="B32" s="5"/>
      <c r="C32" s="4" t="str">
        <f>Ydelser!C32</f>
        <v>CTS - vagtordning</v>
      </c>
      <c r="D32" s="26" t="s">
        <v>376</v>
      </c>
      <c r="E32" s="26">
        <f>'FS Aftale'!F32</f>
        <v>12</v>
      </c>
      <c r="F32" s="47" t="str">
        <f>Ydelser!D32</f>
        <v>Overvågning af anlæg uden for normal arbejdstid via fjernstyring af CTS-programmet inkl. fejlretninger, der kan klares på distancen.
24x7 afstilling af alarmer eller videresendelse af disse til håndtering.</v>
      </c>
      <c r="G32" s="6" t="str">
        <f>Ydelser!E32</f>
        <v>Alle udkald uden for almindelig arbejdstid afregnes særskilt.</v>
      </c>
    </row>
    <row r="33" spans="1:7" ht="45.75" customHeight="1" thickBot="1" x14ac:dyDescent="0.3">
      <c r="A33" s="30">
        <f>Ydelser!A33</f>
        <v>312</v>
      </c>
      <c r="B33" s="5"/>
      <c r="C33" s="4" t="str">
        <f>Ydelser!C33</f>
        <v>Tilsyn med CTS</v>
      </c>
      <c r="D33" s="26" t="s">
        <v>376</v>
      </c>
      <c r="E33" s="26">
        <f>'FS Aftale'!F33</f>
        <v>250</v>
      </c>
      <c r="F33" s="47" t="str">
        <f>Ydelser!D33</f>
        <v>Daglig visuel kontrol af skærmbillede, check af evt. fejlmeddelelser, evt. rekvirere servicetekniker.</v>
      </c>
      <c r="G33" s="6" t="str">
        <f>Ydelser!E33</f>
        <v>Inden for normal arbejdstid.</v>
      </c>
    </row>
    <row r="34" spans="1:7" ht="57.75" customHeight="1" thickBot="1" x14ac:dyDescent="0.3">
      <c r="A34" s="30">
        <f>Ydelser!A34</f>
        <v>313</v>
      </c>
      <c r="B34" s="5"/>
      <c r="C34" s="4" t="str">
        <f>Ydelser!C34</f>
        <v>Tilsyn med ventiler, pumper og varmeanlæg</v>
      </c>
      <c r="D34" s="26" t="s">
        <v>376</v>
      </c>
      <c r="E34" s="26">
        <f>'FS Aftale'!F34</f>
        <v>52</v>
      </c>
      <c r="F34" s="47" t="str">
        <f>Ydelser!D34</f>
        <v>Umiddelbar, visuel kontrol af installationer og anlæg, evt. lækager eller andre synlige defekter.</v>
      </c>
      <c r="G34" s="6" t="str">
        <f>Ydelser!E34</f>
        <v>Kontrakter, snitflader, omfang.Kontrakter, snitflader, omfang.
Registreres i et kontrolskema i MicroBizz og rapporteres.</v>
      </c>
    </row>
    <row r="35" spans="1:7" ht="57.75" hidden="1" customHeight="1" thickBot="1" x14ac:dyDescent="0.3">
      <c r="A35" s="30">
        <f>Ydelser!A35</f>
        <v>314</v>
      </c>
      <c r="B35" s="5"/>
      <c r="C35" s="4" t="str">
        <f>Ydelser!C35</f>
        <v>Tilsyn med pumpebrønde</v>
      </c>
      <c r="D35" s="26" t="s">
        <v>376</v>
      </c>
      <c r="E35" s="26">
        <f>'FS Aftale'!F35</f>
        <v>12</v>
      </c>
      <c r="F35" s="47" t="str">
        <f>Ydelser!D35</f>
        <v>Umiddelbar, visuel kontrol af tilgængelige og på forhånd anviste pumpebrønde.</v>
      </c>
      <c r="G35" s="6" t="str">
        <f>Ydelser!E35</f>
        <v>Kontrakter, snitflader, omfang.Kontrakter, snitflader, omfang.
Registreres i et kontrolskema i MicroBizz og rapporteres.</v>
      </c>
    </row>
    <row r="36" spans="1:7" ht="59.25" hidden="1" customHeight="1" thickBot="1" x14ac:dyDescent="0.3">
      <c r="A36" s="30">
        <f>Ydelser!A36</f>
        <v>315</v>
      </c>
      <c r="B36" s="5"/>
      <c r="C36" s="4" t="str">
        <f>Ydelser!C36</f>
        <v>Tilsyn med ventilationsanlæg</v>
      </c>
      <c r="D36" s="26" t="s">
        <v>376</v>
      </c>
      <c r="E36" s="26">
        <f>'FS Aftale'!F36</f>
        <v>12</v>
      </c>
      <c r="F36" s="47" t="str">
        <f>Ydelser!D36</f>
        <v>Umiddelbar, visuel kontrol af ventilationsanlæg. Evt. bestilling af servicetekniker.</v>
      </c>
      <c r="G36" s="6" t="str">
        <f>Ydelser!E36</f>
        <v>Kontrakter, snitflader, omfang.Kontrakter, snitflader, omfang.
Registreres i et kontrolskema i MicroBizz og rapporteres.</v>
      </c>
    </row>
    <row r="37" spans="1:7" ht="19.5" hidden="1" customHeight="1" thickBot="1" x14ac:dyDescent="0.3">
      <c r="A37" s="30">
        <f>Ydelser!A37</f>
        <v>316</v>
      </c>
      <c r="B37" s="5"/>
      <c r="C37" s="4" t="str">
        <f>Ydelser!C37</f>
        <v>Udslamning af varmtvandsbeholder</v>
      </c>
      <c r="D37" s="26" t="s">
        <v>376</v>
      </c>
      <c r="E37" s="26">
        <f>'FS Aftale'!F37</f>
        <v>12</v>
      </c>
      <c r="F37" s="47" t="str">
        <f>Ydelser!D37</f>
        <v>Udslamning af varmtvandsbeholder.</v>
      </c>
      <c r="G37" s="6" t="str">
        <f>Ydelser!E37</f>
        <v/>
      </c>
    </row>
    <row r="38" spans="1:7" ht="33.75" hidden="1" customHeight="1" thickBot="1" x14ac:dyDescent="0.3">
      <c r="A38" s="30">
        <f>Ydelser!A38</f>
        <v>317</v>
      </c>
      <c r="B38" s="5"/>
      <c r="C38" s="4" t="str">
        <f>Ydelser!C38</f>
        <v>Omdelinger</v>
      </c>
      <c r="D38" s="26" t="s">
        <v>376</v>
      </c>
      <c r="E38" s="26">
        <f>'FS Aftale'!F38</f>
        <v>4</v>
      </c>
      <c r="F38" s="47" t="str">
        <f>Ydelser!D38</f>
        <v>Breve, varslinger, informationsskrivelser etc.</v>
      </c>
      <c r="G38" s="6" t="str">
        <f>Ydelser!E38</f>
        <v>Omdeles/ophænges jf. aftalt deadline.</v>
      </c>
    </row>
    <row r="39" spans="1:7" ht="46.5" hidden="1" customHeight="1" thickBot="1" x14ac:dyDescent="0.3">
      <c r="A39" s="30">
        <f>Ydelser!A39</f>
        <v>318</v>
      </c>
      <c r="B39" s="5"/>
      <c r="C39" s="4" t="str">
        <f>Ydelser!C39</f>
        <v>Erhverv - Periodisk tilsyn med tomgangslejemål</v>
      </c>
      <c r="D39" s="26" t="s">
        <v>376</v>
      </c>
      <c r="E39" s="26">
        <f>'FS Aftale'!F39</f>
        <v>12</v>
      </c>
      <c r="F39" s="47" t="str">
        <f>Ydelser!D39</f>
        <v>Umiddelbar, visuel kontrol af afløb, døre og vinduer, vand, varme, ventilation. Til sikring af funktion og undgåelse af lugtgener.</v>
      </c>
      <c r="G39" s="6" t="str">
        <f>Ydelser!E39</f>
        <v>Jf. forholdsordre.</v>
      </c>
    </row>
    <row r="40" spans="1:7" ht="59.25" hidden="1" customHeight="1" thickBot="1" x14ac:dyDescent="0.3">
      <c r="A40" s="30">
        <f>Ydelser!A40</f>
        <v>319</v>
      </c>
      <c r="B40" s="5"/>
      <c r="C40" s="4" t="str">
        <f>Ydelser!C40</f>
        <v>Betalingsautomater i vaskerier</v>
      </c>
      <c r="D40" s="26" t="s">
        <v>376</v>
      </c>
      <c r="E40" s="26">
        <f>'FS Aftale'!F40</f>
        <v>12</v>
      </c>
      <c r="F40" s="47" t="str">
        <f>Ydelser!D40</f>
        <v>Tømning og administration af betalingsautomater. Arbejdet omfatter tømning, veksling og indsættelse på konto i pengeinstitut.</v>
      </c>
      <c r="G40" s="6" t="str">
        <f>Ydelser!E40</f>
        <v>Efter aftalte retningslinjer og prokura-regler.</v>
      </c>
    </row>
    <row r="41" spans="1:7" ht="45" hidden="1" customHeight="1" thickBot="1" x14ac:dyDescent="0.3">
      <c r="A41" s="30">
        <f>Ydelser!A41</f>
        <v>320</v>
      </c>
      <c r="B41" s="5"/>
      <c r="C41" s="4" t="str">
        <f>Ydelser!C41</f>
        <v>Opfyldning af vaskerimaskiner</v>
      </c>
      <c r="D41" s="26" t="s">
        <v>376</v>
      </c>
      <c r="E41" s="26">
        <f>'FS Aftale'!F41</f>
        <v>52</v>
      </c>
      <c r="F41" s="47" t="str">
        <f>Ydelser!D41</f>
        <v>Opfyldning af sæbe, skyllemiddel mv. af vaskerimaskiner.</v>
      </c>
      <c r="G41" s="6" t="str">
        <f>Ydelser!E41</f>
        <v>Beskrivelse af de ønskede forbrugsmaterialer. Forbrugsmaterialer faktureres særskilt.</v>
      </c>
    </row>
    <row r="42" spans="1:7" ht="33.75" hidden="1" customHeight="1" thickBot="1" x14ac:dyDescent="0.3">
      <c r="A42" s="30">
        <f>Ydelser!A42</f>
        <v>321</v>
      </c>
      <c r="B42" s="5"/>
      <c r="C42" s="4" t="str">
        <f>Ydelser!C42</f>
        <v>Kontrol af ABA kontrol</v>
      </c>
      <c r="D42" s="26" t="s">
        <v>376</v>
      </c>
      <c r="E42" s="26">
        <f>'FS Aftale'!F42</f>
        <v>12</v>
      </c>
      <c r="F42" s="47" t="str">
        <f>Ydelser!D42</f>
        <v>Kontrol af ABA (Automatisk Brandalarm Anlæg).</v>
      </c>
      <c r="G42" s="6" t="str">
        <f>Ydelser!E42</f>
        <v>I henhold til vejledning.</v>
      </c>
    </row>
    <row r="43" spans="1:7" ht="239.25" hidden="1" customHeight="1" thickBot="1" x14ac:dyDescent="0.3">
      <c r="A43" s="30">
        <f>Ydelser!A43</f>
        <v>322</v>
      </c>
      <c r="B43" s="5"/>
      <c r="C43" s="4" t="str">
        <f>Ydelser!C43</f>
        <v>Kontrol af AVS</v>
      </c>
      <c r="D43" s="26" t="s">
        <v>376</v>
      </c>
      <c r="E43" s="26">
        <f>'FS Aftale'!F43</f>
        <v>12</v>
      </c>
      <c r="F43" s="47" t="str">
        <f>Ydelser!D43</f>
        <v>Kontrol af AVS (Automatisk Sprinkleranlæg).Afprøvning af AVS (Automatisk Sprinkleranlæg) jf. DBI’s vejledning og kontrolskema anført i ”DBI retningslinie 005”. 
Fremgangsmåde (”normal” anlæg):
Afmelding af alarm – brandstation
Slavisk gennemgang af kontrolskema:
- Tjek ventiler (over- &amp; underbar)
- Tjek tryk i tank (bar)
- Tjek opstart af pumpe El/diesel (ved korrekt tryk – bar)
- Tjek alarmklokke
- Tjek alarm til brandvæsen
- Tjek vandstand (tryktank/reservoir) 
Efter endt afprøvning tilkobles alarmen igen via brandstation.</v>
      </c>
      <c r="G43" s="6" t="str">
        <f>Ydelser!E43</f>
        <v>I henhold til vejledning og instruktion fra installationsfirma. DBI retningslinie 005 samt brugerkursus i brandforebyggelse og forebyggelse af uønskede alarmer.</v>
      </c>
    </row>
    <row r="44" spans="1:7" ht="30.75" hidden="1" customHeight="1" thickBot="1" x14ac:dyDescent="0.3">
      <c r="A44" s="30">
        <f>Ydelser!A44</f>
        <v>323</v>
      </c>
      <c r="B44" s="5"/>
      <c r="C44" s="4" t="str">
        <f>Ydelser!C44</f>
        <v>Kontrol af ABV</v>
      </c>
      <c r="D44" s="26" t="s">
        <v>376</v>
      </c>
      <c r="E44" s="26">
        <f>'FS Aftale'!F44</f>
        <v>12</v>
      </c>
      <c r="F44" s="47" t="str">
        <f>Ydelser!D44</f>
        <v>Kontrol af ABV (Automatisk Brandventilation).</v>
      </c>
      <c r="G44" s="6" t="str">
        <f>Ydelser!E44</f>
        <v>I henhold til vejledning.</v>
      </c>
    </row>
    <row r="45" spans="1:7" ht="31.5" hidden="1" customHeight="1" thickBot="1" x14ac:dyDescent="0.3">
      <c r="A45" s="30">
        <f>Ydelser!A45</f>
        <v>324</v>
      </c>
      <c r="B45" s="5"/>
      <c r="C45" s="4" t="str">
        <f>Ydelser!C45</f>
        <v>Kontrol af ABDL</v>
      </c>
      <c r="D45" s="26" t="s">
        <v>376</v>
      </c>
      <c r="E45" s="26">
        <f>'FS Aftale'!F45</f>
        <v>12</v>
      </c>
      <c r="F45" s="47" t="str">
        <f>Ydelser!D45</f>
        <v>Kontrol af ABDL (Automatisk Branddørslukning).</v>
      </c>
      <c r="G45" s="6" t="str">
        <f>Ydelser!E45</f>
        <v>I henhold til vejledning.</v>
      </c>
    </row>
    <row r="46" spans="1:7" ht="32.25" hidden="1" customHeight="1" thickBot="1" x14ac:dyDescent="0.3">
      <c r="A46" s="30">
        <f>Ydelser!A46</f>
        <v>325</v>
      </c>
      <c r="B46" s="5"/>
      <c r="C46" s="4" t="str">
        <f>Ydelser!C46</f>
        <v>Kontrol af AIA</v>
      </c>
      <c r="D46" s="26" t="s">
        <v>376</v>
      </c>
      <c r="E46" s="26">
        <f>'FS Aftale'!F46</f>
        <v>52</v>
      </c>
      <c r="F46" s="47" t="str">
        <f>Ydelser!D46</f>
        <v>Kontrol af AIA (Automatisk Indbruds Alarm).</v>
      </c>
      <c r="G46" s="6" t="str">
        <f>Ydelser!E46</f>
        <v>I henhold til vejledning.</v>
      </c>
    </row>
    <row r="47" spans="1:7" ht="15.75" thickBot="1" x14ac:dyDescent="0.3">
      <c r="A47" s="9"/>
      <c r="B47" s="9"/>
      <c r="C47" s="9"/>
      <c r="D47" s="12"/>
      <c r="E47" s="12"/>
      <c r="F47" s="12"/>
      <c r="G47" s="22"/>
    </row>
    <row r="48" spans="1:7" ht="15.75" thickBot="1" x14ac:dyDescent="0.3">
      <c r="A48" s="29">
        <f>Ydelser!A48</f>
        <v>400</v>
      </c>
      <c r="B48" s="7" t="str">
        <f>Ydelser!B48</f>
        <v>Grå ydelser</v>
      </c>
      <c r="C48" s="51"/>
      <c r="D48" s="51"/>
      <c r="E48" s="51"/>
      <c r="F48" s="51"/>
      <c r="G48" s="51"/>
    </row>
    <row r="49" spans="1:7" ht="97.5" customHeight="1" thickBot="1" x14ac:dyDescent="0.3">
      <c r="A49" s="30">
        <f>Ydelser!A49</f>
        <v>401</v>
      </c>
      <c r="B49" s="5"/>
      <c r="C49" s="4" t="str">
        <f>Ydelser!C49</f>
        <v>Gennemgang samt udskiftning af lyskilder</v>
      </c>
      <c r="D49" s="26" t="s">
        <v>376</v>
      </c>
      <c r="E49" s="26">
        <f>'FS Aftale'!F49</f>
        <v>52</v>
      </c>
      <c r="F49" s="47" t="str">
        <f>Ydelser!D49</f>
        <v>Funktionskontrol af almindelige og tilgængelige lyskilder. Udskiftning af defekte lyskilder.</v>
      </c>
      <c r="G49" s="6" t="str">
        <f>Ydelser!E49</f>
        <v>AT-vejledning B.3.1.1-3:
Arbejde fra stige må normalt ikke udføres i større højde end 5 m målt fra underlaget til det trin, man står på. Det kan dog i særlige tilfælde tillades, at der udføres let arbejde i større højde, fx når en pære skal udskiftes.
Lyskilder faktureres særskilt.</v>
      </c>
    </row>
    <row r="50" spans="1:7" ht="88.5" customHeight="1" thickBot="1" x14ac:dyDescent="0.3">
      <c r="A50" s="30">
        <f>Ydelser!A50</f>
        <v>402</v>
      </c>
      <c r="B50" s="5"/>
      <c r="C50" s="4" t="str">
        <f>Ydelser!C50</f>
        <v>Aftørring af lamper i forbindelse med lyskildeskift</v>
      </c>
      <c r="D50" s="26" t="s">
        <v>376</v>
      </c>
      <c r="E50" s="26">
        <f>'FS Aftale'!F50</f>
        <v>52</v>
      </c>
      <c r="F50" s="47" t="str">
        <f>Ydelser!D50</f>
        <v>Aftørring med tør klud.</v>
      </c>
      <c r="G50" s="6" t="str">
        <f>Ydelser!E50</f>
        <v>AT-vejledning B.3.1.1-3:
Arbejde fra stige må normalt ikke udføres i større højde end 5 m målt fra underlaget til det trin, man står på. Det kan dog i særlige tilfælde tillades, at der udføres let arbejde i større højde, fx når en pære skal udskiftes.</v>
      </c>
    </row>
    <row r="51" spans="1:7" ht="45.75" customHeight="1" thickBot="1" x14ac:dyDescent="0.3">
      <c r="A51" s="30">
        <f>Ydelser!A51</f>
        <v>403</v>
      </c>
      <c r="B51" s="5"/>
      <c r="C51" s="4" t="str">
        <f>Ydelser!C51</f>
        <v>Løbende tilsyn af legeplads om behov for istandsættelser</v>
      </c>
      <c r="D51" s="26" t="s">
        <v>376</v>
      </c>
      <c r="E51" s="26">
        <f>'FS Aftale'!F51</f>
        <v>52</v>
      </c>
      <c r="F51" s="47" t="str">
        <f>Ydelser!D51</f>
        <v>Vurdering af stand for umiddelbare justeringer, samt affald, efterladenskaber, sandkasse, faldunderlag etc.</v>
      </c>
      <c r="G51" s="6" t="str">
        <f>Ydelser!E51</f>
        <v>Udfaldskrav jf. beskrivelsen i ”Drift af grønne områder”.</v>
      </c>
    </row>
    <row r="52" spans="1:7" ht="34.5" customHeight="1" thickBot="1" x14ac:dyDescent="0.3">
      <c r="A52" s="30">
        <f>Ydelser!A52</f>
        <v>404</v>
      </c>
      <c r="B52" s="5"/>
      <c r="C52" s="4" t="str">
        <f>Ydelser!C52</f>
        <v>Fejning med feje-/sugemaskine på befæstede arealer</v>
      </c>
      <c r="D52" s="26" t="s">
        <v>376</v>
      </c>
      <c r="E52" s="26">
        <f>'FS Aftale'!F52</f>
        <v>2</v>
      </c>
      <c r="F52" s="47" t="str">
        <f>Ydelser!D52</f>
        <v>Fejning på fællesarealer i fx fortove, pladser, veje, stier, parkeringsarealer m.m.</v>
      </c>
      <c r="G52" s="6" t="str">
        <f>Ydelser!E52</f>
        <v>Nærmere defineret afgrænsning.</v>
      </c>
    </row>
    <row r="53" spans="1:7" ht="19.5" hidden="1" customHeight="1" thickBot="1" x14ac:dyDescent="0.3">
      <c r="A53" s="30">
        <f>Ydelser!A53</f>
        <v>405</v>
      </c>
      <c r="B53" s="5"/>
      <c r="C53" s="4" t="str">
        <f>Ydelser!C53</f>
        <v>Vask af P-kælder</v>
      </c>
      <c r="D53" s="26" t="s">
        <v>376</v>
      </c>
      <c r="E53" s="26">
        <f>'FS Aftale'!F53</f>
        <v>9</v>
      </c>
      <c r="F53" s="47" t="str">
        <f>Ydelser!D53</f>
        <v>Maskinfejning og vask.</v>
      </c>
      <c r="G53" s="6" t="str">
        <f>Ydelser!E53</f>
        <v>Tilgængelighed.</v>
      </c>
    </row>
    <row r="54" spans="1:7" ht="72" hidden="1" customHeight="1" thickBot="1" x14ac:dyDescent="0.3">
      <c r="A54" s="30">
        <f>Ydelser!A54</f>
        <v>406</v>
      </c>
      <c r="B54" s="5"/>
      <c r="C54" s="4" t="str">
        <f>Ydelser!C54</f>
        <v>Opsamling og udvendig renholdelse af arealer for affald (renholdsniveau/udfaldskrav 1, 2, eller 3 - se forudsætninger)</v>
      </c>
      <c r="D54" s="26" t="s">
        <v>376</v>
      </c>
      <c r="E54" s="26">
        <f>'FS Aftale'!F54</f>
        <v>52</v>
      </c>
      <c r="F54" s="47" t="str">
        <f>Ydelser!D54</f>
        <v>Foretages på eksempelvis fortove, pladser, grønne områder, veje, stier, svalegange, parkeringsarealer, udvendige trapper o.l.</v>
      </c>
      <c r="G54" s="6" t="str">
        <f>Ydelser!E54</f>
        <v>RENHOLD 2:
Spredt mindre affald accepteres. Let og større affald samt mindre affald i bunker må ikke skæmme helheden</v>
      </c>
    </row>
    <row r="55" spans="1:7" ht="69.75" hidden="1" customHeight="1" thickBot="1" x14ac:dyDescent="0.3">
      <c r="A55" s="30">
        <f>Ydelser!A55</f>
        <v>407</v>
      </c>
      <c r="B55" s="5"/>
      <c r="C55" s="4" t="str">
        <f>Ydelser!C55</f>
        <v>Partiel fejning af udvendige befæstede arealer, renhold for småt affald</v>
      </c>
      <c r="D55" s="26" t="s">
        <v>376</v>
      </c>
      <c r="E55" s="26">
        <f>'FS Aftale'!F55</f>
        <v>104</v>
      </c>
      <c r="F55" s="47" t="str">
        <f>Ydelser!D55</f>
        <v>Partiel fejning på fællesarealer, fx fortove, pladser, veje, stier, svalegange, parkeringsarealer, udvendige trapper m.m. Udføres altid i forbindelse med ydelserne i pkt. 406.</v>
      </c>
      <c r="G55" s="6"/>
    </row>
    <row r="56" spans="1:7" ht="69.75" hidden="1" customHeight="1" thickBot="1" x14ac:dyDescent="0.3">
      <c r="A56" s="30">
        <f>Ydelser!A56</f>
        <v>408</v>
      </c>
      <c r="B56" s="5"/>
      <c r="C56" s="4" t="str">
        <f>Ydelser!C56</f>
        <v>Renhold af lyskasser</v>
      </c>
      <c r="D56" s="26" t="s">
        <v>376</v>
      </c>
      <c r="E56" s="26">
        <f>'FS Aftale'!F56</f>
        <v>12</v>
      </c>
      <c r="F56" s="47" t="str">
        <f>Ydelser!D56</f>
        <v>Oprensning af lyskasser.</v>
      </c>
      <c r="G56" s="6" t="str">
        <f>Ydelser!E56</f>
        <v>Lyskasserne skal være umiddelbart tilgængelige uden brug af værktøj. Øvrige forhold i henhold til Arbejdstilsynets vejledning AT-meddelelse nr. 4.05.3, marts 1998.</v>
      </c>
    </row>
    <row r="57" spans="1:7" ht="33" hidden="1" customHeight="1" thickBot="1" x14ac:dyDescent="0.3">
      <c r="A57" s="30">
        <f>Ydelser!A57</f>
        <v>409</v>
      </c>
      <c r="B57" s="5"/>
      <c r="C57" s="4" t="str">
        <f>Ydelser!C57</f>
        <v>Renholdelse af cykelskur / cykelrum</v>
      </c>
      <c r="D57" s="26" t="s">
        <v>376</v>
      </c>
      <c r="E57" s="26">
        <f>'FS Aftale'!F57</f>
        <v>12</v>
      </c>
      <c r="F57" s="47" t="str">
        <f>Ydelser!D57</f>
        <v>Fejning og renholdelse af frie arealer i cykelskur og cykelrum.</v>
      </c>
      <c r="G57" s="6"/>
    </row>
    <row r="58" spans="1:7" ht="45" hidden="1" customHeight="1" thickBot="1" x14ac:dyDescent="0.3">
      <c r="A58" s="30">
        <f>Ydelser!A58</f>
        <v>410</v>
      </c>
      <c r="B58" s="5"/>
      <c r="C58" s="4" t="str">
        <f>Ydelser!C58</f>
        <v>Renholdelse affaldsrum, containergård, skaktrum</v>
      </c>
      <c r="D58" s="26" t="s">
        <v>376</v>
      </c>
      <c r="E58" s="26">
        <f>'FS Aftale'!F58</f>
        <v>52</v>
      </c>
      <c r="F58" s="47" t="str">
        <f>Ydelser!D58</f>
        <v>Fejning og renholdelse af affaldsrum, containergård og skaktrum.</v>
      </c>
      <c r="G58" s="6" t="str">
        <f>Ydelser!E58</f>
        <v>Inden for arbejdsmiljølovens rammer.
Håndtering af fejlsortering, oprydning og bortkørsel faktureres efter medgået tid.</v>
      </c>
    </row>
    <row r="59" spans="1:7" ht="46.5" hidden="1" customHeight="1" thickBot="1" x14ac:dyDescent="0.3">
      <c r="A59" s="30">
        <f>Ydelser!A59</f>
        <v>411</v>
      </c>
      <c r="B59" s="5"/>
      <c r="C59" s="4" t="str">
        <f>Ydelser!C59</f>
        <v>Renholdelse af storskraldsrum.</v>
      </c>
      <c r="D59" s="26" t="s">
        <v>376</v>
      </c>
      <c r="E59" s="26">
        <f>'FS Aftale'!F59</f>
        <v>52</v>
      </c>
      <c r="F59" s="47" t="str">
        <f>Ydelser!D59</f>
        <v>Fejning og renholdelse af storskraldsrum, inden for arbejdsmiljølovens rammer.</v>
      </c>
      <c r="G59" s="6" t="str">
        <f>Ydelser!E59</f>
        <v>Inden for arbejdsmiljølovens rammer.
Håndtering af fejlsortering, oprydning og bortkørsel faktureres efter medgået tid.</v>
      </c>
    </row>
    <row r="60" spans="1:7" ht="70.5" hidden="1" customHeight="1" thickBot="1" x14ac:dyDescent="0.3">
      <c r="A60" s="30">
        <f>Ydelser!A60</f>
        <v>412</v>
      </c>
      <c r="B60" s="5"/>
      <c r="C60" s="4" t="str">
        <f>Ydelser!C60</f>
        <v>Affaldshåndtering</v>
      </c>
      <c r="D60" s="26" t="s">
        <v>376</v>
      </c>
      <c r="E60" s="26">
        <f>'FS Aftale'!F60</f>
        <v>156</v>
      </c>
      <c r="F60" s="47" t="str">
        <f>Ydelser!D60</f>
        <v>Flytte containere frem og tilbage og flytte sække fra nedfaldsskakte m.m. i forbindelse med tømning.</v>
      </c>
      <c r="G60" s="6" t="str">
        <f>Ydelser!E60</f>
        <v>Inden for arbejdsmiljølovens rammer.
Inden for normal arbejdstid, efter nærmere defineret afgrænsning.
Arbejde uden for normal arbejdstid faktureres efter medgået tid.</v>
      </c>
    </row>
    <row r="61" spans="1:7" ht="45.75" hidden="1" customHeight="1" thickBot="1" x14ac:dyDescent="0.3">
      <c r="A61" s="30">
        <f>Ydelser!A61</f>
        <v>413</v>
      </c>
      <c r="B61" s="5"/>
      <c r="C61" s="4" t="str">
        <f>Ydelser!C61</f>
        <v>Oprensning af regnvandsbrønde</v>
      </c>
      <c r="D61" s="26" t="s">
        <v>376</v>
      </c>
      <c r="E61" s="26">
        <f>'FS Aftale'!F61</f>
        <v>12</v>
      </c>
      <c r="F61" s="47" t="str">
        <f>Ydelser!D61</f>
        <v>Oprensning af regnvandsbrønde og aquadræn i terræn.</v>
      </c>
      <c r="G61" s="6" t="str">
        <f>Ydelser!E61</f>
        <v xml:space="preserve">Brøndene skal være synlige og frit tilgængelige uden brug af værktøj, ellers vil de ikke blive oprenset. </v>
      </c>
    </row>
    <row r="62" spans="1:7" ht="48.75" hidden="1" customHeight="1" thickBot="1" x14ac:dyDescent="0.3">
      <c r="A62" s="30">
        <f>Ydelser!A62</f>
        <v>414</v>
      </c>
      <c r="B62" s="5"/>
      <c r="C62" s="4" t="str">
        <f>Ydelser!C62</f>
        <v>Oprensning af vejbrønde</v>
      </c>
      <c r="D62" s="26" t="s">
        <v>376</v>
      </c>
      <c r="E62" s="26">
        <f>'FS Aftale'!F62</f>
        <v>12</v>
      </c>
      <c r="F62" s="47" t="str">
        <f>Ydelser!D62</f>
        <v>Oprensning af vejbrønde i terræn og parkeringshuse.</v>
      </c>
      <c r="G62" s="6" t="str">
        <f>Ydelser!E62</f>
        <v xml:space="preserve">Brøndene skal være synlige og frit tilgængelige uden brug af værktøj, ellers vil de ikke blive oprenset. </v>
      </c>
    </row>
    <row r="63" spans="1:7" ht="48.75" hidden="1" customHeight="1" thickBot="1" x14ac:dyDescent="0.3">
      <c r="A63" s="30">
        <f>Ydelser!A63</f>
        <v>415</v>
      </c>
      <c r="B63" s="5"/>
      <c r="C63" s="4" t="str">
        <f>Ydelser!C63</f>
        <v>Rensning af tagrender</v>
      </c>
      <c r="D63" s="26" t="s">
        <v>376</v>
      </c>
      <c r="E63" s="26">
        <f>'FS Aftale'!F63</f>
        <v>12</v>
      </c>
      <c r="F63" s="47" t="str">
        <f>Ydelser!D63</f>
        <v>Oprensning af tagrender, inkl. lift.</v>
      </c>
      <c r="G63" s="6" t="str">
        <f>Ydelser!E63</f>
        <v xml:space="preserve">Arbejdets udførelse er betinget af, at det er muligt at arbejde fra lift hele vejen rundt om bygningen. </v>
      </c>
    </row>
    <row r="64" spans="1:7" ht="30.75" hidden="1" customHeight="1" thickBot="1" x14ac:dyDescent="0.3">
      <c r="A64" s="30">
        <f>Ydelser!A64</f>
        <v>416</v>
      </c>
      <c r="B64" s="5"/>
      <c r="C64" s="4" t="str">
        <f>Ydelser!C64</f>
        <v>Rensning af tagbrønde</v>
      </c>
      <c r="D64" s="26" t="s">
        <v>376</v>
      </c>
      <c r="E64" s="26">
        <f>'FS Aftale'!F64</f>
        <v>12</v>
      </c>
      <c r="F64" s="47" t="str">
        <f>Ydelser!D64</f>
        <v>Oprensning af synlige og tilgængelige tagbrønde uden brug af værktøj.</v>
      </c>
      <c r="G64" s="6" t="str">
        <f>Ydelser!E64</f>
        <v>Arbejdstilsynets krav skal være opfyldt for adgang og håndtering.</v>
      </c>
    </row>
    <row r="65" spans="1:7" ht="32.25" hidden="1" customHeight="1" thickBot="1" x14ac:dyDescent="0.3">
      <c r="A65" s="30">
        <f>Ydelser!A65</f>
        <v>417</v>
      </c>
      <c r="B65" s="5"/>
      <c r="C65" s="4" t="str">
        <f>Ydelser!C65</f>
        <v>Renhold af fællesarealer loft</v>
      </c>
      <c r="D65" s="26" t="s">
        <v>376</v>
      </c>
      <c r="E65" s="26">
        <f>'FS Aftale'!F65</f>
        <v>12</v>
      </c>
      <c r="F65" s="47" t="str">
        <f>Ydelser!D65</f>
        <v>Støvsugning af fællesarealer i tagrum og loftgange mv.</v>
      </c>
      <c r="G65" s="6" t="str">
        <f>Ydelser!E65</f>
        <v>Under forudsætning af tilgængelighed og nødvendig elforsyning.</v>
      </c>
    </row>
    <row r="66" spans="1:7" ht="32.25" hidden="1" customHeight="1" thickBot="1" x14ac:dyDescent="0.3">
      <c r="A66" s="30">
        <f>Ydelser!A66</f>
        <v>418</v>
      </c>
      <c r="B66" s="5"/>
      <c r="C66" s="4" t="str">
        <f>Ydelser!C66</f>
        <v>Renhold af fællesarealer kælder</v>
      </c>
      <c r="D66" s="26" t="s">
        <v>376</v>
      </c>
      <c r="E66" s="26">
        <f>'FS Aftale'!F66</f>
        <v>2</v>
      </c>
      <c r="F66" s="47" t="str">
        <f>Ydelser!D66</f>
        <v>Støvsugning af fællesarealer i kælder.</v>
      </c>
      <c r="G66" s="6" t="str">
        <f>Ydelser!E66</f>
        <v>Under forudsætning af tilgængelighed og nødvendig elforsyning.</v>
      </c>
    </row>
    <row r="67" spans="1:7" ht="31.5" hidden="1" customHeight="1" thickBot="1" x14ac:dyDescent="0.3">
      <c r="A67" s="30">
        <f>Ydelser!A67</f>
        <v>419</v>
      </c>
      <c r="B67" s="5"/>
      <c r="C67" s="4" t="str">
        <f>Ydelser!C67</f>
        <v>Udlevering og afhentning af nøgler til fælleslokaler</v>
      </c>
      <c r="D67" s="26" t="s">
        <v>376</v>
      </c>
      <c r="E67" s="26">
        <f>'FS Aftale'!F67</f>
        <v>12</v>
      </c>
      <c r="F67" s="47" t="str">
        <f>Ydelser!D67</f>
        <v>Udlevering og afhentning af nøgler til fælleshus og gæsteværelse.</v>
      </c>
      <c r="G67" s="6" t="str">
        <f>Ydelser!E67</f>
        <v>Aftalt forholdsordre.</v>
      </c>
    </row>
    <row r="68" spans="1:7" ht="58.5" customHeight="1" thickBot="1" x14ac:dyDescent="0.3">
      <c r="A68" s="30">
        <f>Ydelser!A68</f>
        <v>420</v>
      </c>
      <c r="B68" s="5"/>
      <c r="C68" s="4" t="str">
        <f>Ydelser!C68</f>
        <v>Cykeloprydning</v>
      </c>
      <c r="D68" s="26" t="s">
        <v>376</v>
      </c>
      <c r="E68" s="26">
        <f>'FS Aftale'!F68</f>
        <v>1</v>
      </c>
      <c r="F68" s="47" t="str">
        <f>Ydelser!D68</f>
        <v>Cyklerne opmærkes. Efter 2 uger fjernes cykler med mærke og sættes i ejendommens aflåste depot i 12 uger, hvorefter de køres til skrot.</v>
      </c>
      <c r="G68" s="6" t="str">
        <f>G17</f>
        <v xml:space="preserve">Lovgrundlag er defineret af kontraktpart og valideres af jura.
Forbrugsmaterialer faktureres særskilt.
</v>
      </c>
    </row>
    <row r="69" spans="1:7" ht="15.75" hidden="1" thickBot="1" x14ac:dyDescent="0.3">
      <c r="A69" s="30">
        <f>Ydelser!A69</f>
        <v>421</v>
      </c>
      <c r="B69" s="3" t="str">
        <f>Ydelser!B69</f>
        <v>Ukrudtsbekæmpelse</v>
      </c>
      <c r="C69" s="153"/>
      <c r="D69" s="154"/>
      <c r="E69" s="154"/>
      <c r="F69" s="43"/>
      <c r="G69" s="44"/>
    </row>
    <row r="70" spans="1:7" ht="31.5" hidden="1" customHeight="1" thickBot="1" x14ac:dyDescent="0.3">
      <c r="A70" s="30">
        <f>Ydelser!A70</f>
        <v>422</v>
      </c>
      <c r="B70" s="5"/>
      <c r="C70" s="4" t="str">
        <f>Ydelser!C70</f>
        <v>Ukrudtsbekæmpelse befæstede arealer</v>
      </c>
      <c r="D70" s="26" t="s">
        <v>376</v>
      </c>
      <c r="E70" s="26">
        <f>'FS Aftale'!F70</f>
        <v>13</v>
      </c>
      <c r="F70" s="47" t="str">
        <f>Ydelser!D70</f>
        <v>Bekæmpelse af ukrudt på arealer i henhold til udførelseskrav (se vejledning).</v>
      </c>
      <c r="G70" s="6" t="str">
        <f>Ydelser!E70</f>
        <v>Nærmere defineret afgrænsning. - se SBA.</v>
      </c>
    </row>
    <row r="71" spans="1:7" ht="45" hidden="1" customHeight="1" thickBot="1" x14ac:dyDescent="0.3">
      <c r="A71" s="30">
        <f>Ydelser!A71</f>
        <v>423</v>
      </c>
      <c r="B71" s="5"/>
      <c r="C71" s="4" t="str">
        <f>Ydelser!C71</f>
        <v>Håndbrænding</v>
      </c>
      <c r="D71" s="26" t="s">
        <v>376</v>
      </c>
      <c r="E71" s="26">
        <f>'FS Aftale'!F71</f>
        <v>13</v>
      </c>
      <c r="F71" s="47" t="str">
        <f>Ydelser!D71</f>
        <v>Brænding med håndholdt gasbrænder.</v>
      </c>
      <c r="G71" s="6" t="str">
        <f>Ydelser!E71</f>
        <v>Tilgængelighed og sikkerhedsregler, herunder kommunale periodiske restriktioner.</v>
      </c>
    </row>
    <row r="72" spans="1:7" ht="43.5" hidden="1" customHeight="1" thickBot="1" x14ac:dyDescent="0.3">
      <c r="A72" s="30">
        <f>Ydelser!A72</f>
        <v>424</v>
      </c>
      <c r="B72" s="5"/>
      <c r="C72" s="4" t="str">
        <f>Ydelser!C72</f>
        <v>Maskine med manuel fremføring</v>
      </c>
      <c r="D72" s="26" t="s">
        <v>376</v>
      </c>
      <c r="E72" s="26">
        <f>'FS Aftale'!F72</f>
        <v>9</v>
      </c>
      <c r="F72" s="47" t="str">
        <f>Ydelser!D72</f>
        <v>Brænding med mindre fladebrænder.</v>
      </c>
      <c r="G72" s="6" t="str">
        <f>Ydelser!E72</f>
        <v>Tilgængelighed og sikkerhedsregler, herunder kommunale periodiske restriktioner.</v>
      </c>
    </row>
    <row r="73" spans="1:7" ht="44.25" hidden="1" customHeight="1" thickBot="1" x14ac:dyDescent="0.3">
      <c r="A73" s="30">
        <f>Ydelser!A73</f>
        <v>425</v>
      </c>
      <c r="B73" s="5"/>
      <c r="C73" s="4" t="str">
        <f>Ydelser!C73</f>
        <v>Traktor og fladebrænder</v>
      </c>
      <c r="D73" s="26" t="s">
        <v>376</v>
      </c>
      <c r="E73" s="26">
        <f>'FS Aftale'!F73</f>
        <v>9</v>
      </c>
      <c r="F73" s="47" t="str">
        <f>Ydelser!D73</f>
        <v>Brænding med traktorbåren fladebrænder.</v>
      </c>
      <c r="G73" s="6" t="str">
        <f>Ydelser!E73</f>
        <v>Tilgængelighed og sikkerhedsregler, herunder kommunale periodiske restriktioner.</v>
      </c>
    </row>
    <row r="74" spans="1:7" ht="15.75" thickBot="1" x14ac:dyDescent="0.3">
      <c r="A74" s="9"/>
      <c r="B74" s="9"/>
      <c r="C74" s="9"/>
      <c r="D74" s="12"/>
      <c r="E74" s="12"/>
      <c r="F74" s="12"/>
      <c r="G74" s="22"/>
    </row>
    <row r="75" spans="1:7" ht="15.75" thickBot="1" x14ac:dyDescent="0.3">
      <c r="A75" s="29">
        <f>Ydelser!A75</f>
        <v>500</v>
      </c>
      <c r="B75" s="7" t="str">
        <f>Ydelser!B75</f>
        <v>Grønne ydelser</v>
      </c>
      <c r="C75" s="51"/>
      <c r="D75" s="51"/>
      <c r="E75" s="51"/>
      <c r="F75" s="51"/>
      <c r="G75" s="51"/>
    </row>
    <row r="76" spans="1:7" ht="47.25" hidden="1" customHeight="1" thickBot="1" x14ac:dyDescent="0.3">
      <c r="A76" s="30">
        <f>Ydelser!A76</f>
        <v>501</v>
      </c>
      <c r="B76" s="5"/>
      <c r="C76" s="4" t="str">
        <f>Ydelser!C76</f>
        <v>Algebekæmpelse</v>
      </c>
      <c r="D76" s="26" t="str">
        <f>'FS Aftale'!E76</f>
        <v>1/4-30/9</v>
      </c>
      <c r="E76" s="26">
        <f>'FS Aftale'!F76</f>
        <v>9</v>
      </c>
      <c r="F76" s="47" t="str">
        <f>Ydelser!D76</f>
        <v>Algebehandling af befæstede arealer, facader, udvendige trapper, tagflader, tagterrasser.</v>
      </c>
      <c r="G76" s="6" t="str">
        <f>Ydelser!E76</f>
        <v>I henhold til opmåling og tilbud.</v>
      </c>
    </row>
    <row r="77" spans="1:7" ht="33.75" hidden="1" customHeight="1" thickBot="1" x14ac:dyDescent="0.3">
      <c r="A77" s="30">
        <f>Ydelser!A77</f>
        <v>502</v>
      </c>
      <c r="B77" s="5"/>
      <c r="C77" s="4" t="str">
        <f>Ydelser!C77</f>
        <v>Tilbageskæring af hække/pur</v>
      </c>
      <c r="D77" s="26" t="str">
        <f>'FS Aftale'!E77</f>
        <v>1/4-30/9</v>
      </c>
      <c r="E77" s="26">
        <f>'FS Aftale'!F77</f>
        <v>9</v>
      </c>
      <c r="F77" s="47" t="str">
        <f>Ydelser!D77</f>
        <v>I henhold til opmåling og tilbud.</v>
      </c>
      <c r="G77" s="6" t="str">
        <f>Ydelser!E77</f>
        <v>Ifølge aftale. (under hensyntagen til fredning og lokalplaner).</v>
      </c>
    </row>
    <row r="78" spans="1:7" ht="33" hidden="1" customHeight="1" thickBot="1" x14ac:dyDescent="0.3">
      <c r="A78" s="30">
        <f>Ydelser!A78</f>
        <v>503</v>
      </c>
      <c r="B78" s="5"/>
      <c r="C78" s="4" t="str">
        <f>Ydelser!C78</f>
        <v>Fældninger, kronereduktion og stubfræsning</v>
      </c>
      <c r="D78" s="26" t="str">
        <f>'FS Aftale'!E78</f>
        <v>1/4-30/9</v>
      </c>
      <c r="E78" s="26">
        <f>'FS Aftale'!F78</f>
        <v>9</v>
      </c>
      <c r="F78" s="47" t="str">
        <f>Ydelser!D78</f>
        <v>I henhold til opmåling og tilbud.</v>
      </c>
      <c r="G78" s="6" t="str">
        <f>Ydelser!E78</f>
        <v>Ifølge aftale. (under hensyntagen til fredning og lokalplaner).</v>
      </c>
    </row>
    <row r="79" spans="1:7" ht="31.5" hidden="1" customHeight="1" thickBot="1" x14ac:dyDescent="0.3">
      <c r="A79" s="30">
        <f>Ydelser!A79</f>
        <v>504</v>
      </c>
      <c r="B79" s="5"/>
      <c r="C79" s="4" t="str">
        <f>Ydelser!C79</f>
        <v>Opsætning og nedtagning af snehegn (inkl. leje)</v>
      </c>
      <c r="D79" s="26" t="str">
        <f>'FS Aftale'!E79</f>
        <v>1/4-30/9</v>
      </c>
      <c r="E79" s="26">
        <f>'FS Aftale'!F79</f>
        <v>9</v>
      </c>
      <c r="F79" s="47" t="str">
        <f>Ydelser!D79</f>
        <v>I henhold til opmåling og tilbud.</v>
      </c>
      <c r="G79" s="6" t="str">
        <f>Ydelser!E79</f>
        <v>Ifølge aftale.</v>
      </c>
    </row>
    <row r="80" spans="1:7" ht="26.25" hidden="1" thickBot="1" x14ac:dyDescent="0.3">
      <c r="A80" s="30">
        <f>Ydelser!A80</f>
        <v>505</v>
      </c>
      <c r="B80" s="3" t="str">
        <f>Ydelser!B80</f>
        <v>Renhold og pasning af bede</v>
      </c>
      <c r="C80" s="153"/>
      <c r="D80" s="154"/>
      <c r="E80" s="154"/>
      <c r="F80" s="43"/>
      <c r="G80" s="44"/>
    </row>
    <row r="81" spans="1:7" ht="30.75" customHeight="1" thickBot="1" x14ac:dyDescent="0.3">
      <c r="A81" s="30">
        <f>Ydelser!A81</f>
        <v>506</v>
      </c>
      <c r="B81" s="5"/>
      <c r="C81" s="4" t="str">
        <f>Ydelser!C81</f>
        <v>Håndlugning</v>
      </c>
      <c r="D81" s="26" t="str">
        <f>'FS Aftale'!E81</f>
        <v>1/4-30/9</v>
      </c>
      <c r="E81" s="26">
        <f>'FS Aftale'!F81</f>
        <v>9</v>
      </c>
      <c r="F81" s="47" t="str">
        <f>Ydelser!D81</f>
        <v>Manuel ukrudtsbekæmpelse i bede.</v>
      </c>
      <c r="G81" s="6" t="str">
        <f>Ydelser!E81</f>
        <v>På baggrund af opdateret vedligeholdelsesniveau.</v>
      </c>
    </row>
    <row r="82" spans="1:7" ht="30.75" customHeight="1" thickBot="1" x14ac:dyDescent="0.3">
      <c r="A82" s="30">
        <f>Ydelser!A82</f>
        <v>507</v>
      </c>
      <c r="B82" s="5"/>
      <c r="C82" s="4" t="str">
        <f>Ydelser!C82</f>
        <v>Kultivering</v>
      </c>
      <c r="D82" s="26" t="str">
        <f>'FS Aftale'!E82</f>
        <v>1/4-30/9</v>
      </c>
      <c r="E82" s="26">
        <f>'FS Aftale'!F82</f>
        <v>9</v>
      </c>
      <c r="F82" s="47" t="str">
        <f>Ydelser!D82</f>
        <v>Manuel kultivering i bede.</v>
      </c>
      <c r="G82" s="6" t="str">
        <f>Ydelser!E82</f>
        <v>På baggrund af opdateret vedligeholdelsesniveau.</v>
      </c>
    </row>
    <row r="83" spans="1:7" ht="19.5" customHeight="1" thickBot="1" x14ac:dyDescent="0.3">
      <c r="A83" s="30">
        <f>Ydelser!A83</f>
        <v>508</v>
      </c>
      <c r="B83" s="5"/>
      <c r="C83" s="4" t="str">
        <f>Ydelser!C83</f>
        <v>Fræsning</v>
      </c>
      <c r="D83" s="26" t="str">
        <f>'FS Aftale'!E83</f>
        <v>1/4-30/9</v>
      </c>
      <c r="E83" s="26">
        <f>'FS Aftale'!F83</f>
        <v>9</v>
      </c>
      <c r="F83" s="47" t="str">
        <f>Ydelser!D83</f>
        <v>Maskinel bearbejdning.</v>
      </c>
      <c r="G83" s="6" t="str">
        <f>Ydelser!E83</f>
        <v>Efter aftalt plan.</v>
      </c>
    </row>
    <row r="84" spans="1:7" ht="20.25" customHeight="1" thickBot="1" x14ac:dyDescent="0.3">
      <c r="A84" s="30">
        <f>Ydelser!A84</f>
        <v>509</v>
      </c>
      <c r="B84" s="5"/>
      <c r="C84" s="4" t="str">
        <f>Ydelser!C84</f>
        <v>Gødskning</v>
      </c>
      <c r="D84" s="26" t="str">
        <f>'FS Aftale'!E84</f>
        <v>1/4-30/9</v>
      </c>
      <c r="E84" s="26">
        <f>'FS Aftale'!F84</f>
        <v>9</v>
      </c>
      <c r="F84" s="47" t="str">
        <f>Ydelser!D84</f>
        <v/>
      </c>
      <c r="G84" s="6" t="str">
        <f>Ydelser!E84</f>
        <v>Efter aftalt plan.</v>
      </c>
    </row>
    <row r="85" spans="1:7" ht="20.25" customHeight="1" thickBot="1" x14ac:dyDescent="0.3">
      <c r="A85" s="30">
        <f>Ydelser!A85</f>
        <v>510</v>
      </c>
      <c r="B85" s="5"/>
      <c r="C85" s="4" t="str">
        <f>Ydelser!C85</f>
        <v>Vanding</v>
      </c>
      <c r="D85" s="26" t="str">
        <f>'FS Aftale'!E85</f>
        <v>1/4-30/9</v>
      </c>
      <c r="E85" s="26">
        <f>'FS Aftale'!F85</f>
        <v>9</v>
      </c>
      <c r="F85" s="47" t="str">
        <f>Ydelser!D85</f>
        <v/>
      </c>
      <c r="G85" s="6" t="str">
        <f>Ydelser!E85</f>
        <v>Efter aftalt plan.</v>
      </c>
    </row>
    <row r="86" spans="1:7" ht="49.5" hidden="1" customHeight="1" thickBot="1" x14ac:dyDescent="0.3">
      <c r="A86" s="30">
        <f>Ydelser!A86</f>
        <v>511</v>
      </c>
      <c r="B86" s="5"/>
      <c r="C86" s="4" t="str">
        <f>Ydelser!C86</f>
        <v>Planter og stauder</v>
      </c>
      <c r="D86" s="26" t="str">
        <f>'FS Aftale'!E86</f>
        <v>1/4-30/9</v>
      </c>
      <c r="E86" s="26">
        <f>'FS Aftale'!F86</f>
        <v>9</v>
      </c>
      <c r="F86" s="47" t="str">
        <f>Ydelser!D86</f>
        <v>Beskæring af planter, stauder, roser og lign. i op til 2 meters højde inkl. bortskaffelse.</v>
      </c>
      <c r="G86" s="6" t="str">
        <f>Ydelser!E86</f>
        <v>Efter aftalt plan.</v>
      </c>
    </row>
    <row r="87" spans="1:7" ht="15.75" hidden="1" thickBot="1" x14ac:dyDescent="0.3">
      <c r="A87" s="30">
        <f>Ydelser!A87</f>
        <v>512</v>
      </c>
      <c r="B87" s="3" t="str">
        <f>Ydelser!B87</f>
        <v>Græspasning</v>
      </c>
      <c r="C87" s="153"/>
      <c r="D87" s="154"/>
      <c r="E87" s="154"/>
      <c r="F87" s="43"/>
      <c r="G87" s="44"/>
    </row>
    <row r="88" spans="1:7" ht="60" hidden="1" customHeight="1" thickBot="1" x14ac:dyDescent="0.3">
      <c r="A88" s="30">
        <f>Ydelser!A88</f>
        <v>513</v>
      </c>
      <c r="B88" s="5"/>
      <c r="C88" s="4" t="str">
        <f>Ydelser!C88</f>
        <v>Græsslåning</v>
      </c>
      <c r="D88" s="26" t="str">
        <f>'FS Aftale'!E88</f>
        <v>1/4-30/9</v>
      </c>
      <c r="E88" s="26">
        <f>'FS Aftale'!F88</f>
        <v>26</v>
      </c>
      <c r="F88" s="47" t="str">
        <f>Ydelser!D88</f>
        <v>Frekvent slåning af græsarealer (i vækstperioden 26-28 gange).</v>
      </c>
      <c r="G88" s="6" t="str">
        <f>Ydelser!E88</f>
        <v>Tilgængelighed, ryddelige plæner klar til minimum 3-leds rotorklip.
Bemærk at aftalt frekvens har indflydelse på græshøjden. Areal er defineret.</v>
      </c>
    </row>
    <row r="89" spans="1:7" ht="45.75" hidden="1" customHeight="1" thickBot="1" x14ac:dyDescent="0.3">
      <c r="A89" s="30">
        <f>Ydelser!A89</f>
        <v>514</v>
      </c>
      <c r="B89" s="5"/>
      <c r="C89" s="4" t="str">
        <f>Ydelser!C89</f>
        <v>Slåning af græskanter</v>
      </c>
      <c r="D89" s="26" t="str">
        <f>'FS Aftale'!E89</f>
        <v>1/4-30/9</v>
      </c>
      <c r="E89" s="26">
        <f>'FS Aftale'!F89</f>
        <v>9</v>
      </c>
      <c r="F89" s="47" t="str">
        <f>Ydelser!D89</f>
        <v>"Piskning", trimning omkring træer, kanter samt mod facade og lign. (i vækstperioden hver 3. uge).</v>
      </c>
      <c r="G89" s="6" t="str">
        <f>Ydelser!E89</f>
        <v>Efter aftalt plan.</v>
      </c>
    </row>
    <row r="90" spans="1:7" ht="31.5" hidden="1" customHeight="1" thickBot="1" x14ac:dyDescent="0.3">
      <c r="A90" s="30">
        <f>Ydelser!A90</f>
        <v>515</v>
      </c>
      <c r="B90" s="5"/>
      <c r="C90" s="4" t="str">
        <f>Ydelser!C90</f>
        <v>Skæring af græskanter</v>
      </c>
      <c r="D90" s="26" t="str">
        <f>'FS Aftale'!E90</f>
        <v>1/4-30/9</v>
      </c>
      <c r="E90" s="26">
        <f>'FS Aftale'!F90</f>
        <v>1</v>
      </c>
      <c r="F90" s="47" t="str">
        <f>Ydelser!D90</f>
        <v xml:space="preserve">Skæring og afretning af græskanter inkl. bortskaffelse. </v>
      </c>
      <c r="G90" s="6" t="str">
        <f>Ydelser!E90</f>
        <v>Efter aftalt plan.</v>
      </c>
    </row>
    <row r="91" spans="1:7" ht="21" hidden="1" customHeight="1" thickBot="1" x14ac:dyDescent="0.3">
      <c r="A91" s="30">
        <f>Ydelser!A91</f>
        <v>516</v>
      </c>
      <c r="B91" s="5"/>
      <c r="C91" s="4" t="str">
        <f>Ydelser!C91</f>
        <v>Gødskning af plæner</v>
      </c>
      <c r="D91" s="26" t="str">
        <f>'FS Aftale'!E91</f>
        <v>1/4-30/9</v>
      </c>
      <c r="E91" s="26">
        <f>'FS Aftale'!F91</f>
        <v>9</v>
      </c>
      <c r="F91" s="47" t="str">
        <f>Ydelser!D91</f>
        <v/>
      </c>
      <c r="G91" s="6" t="str">
        <f>Ydelser!E91</f>
        <v>Efter aftalt plan.</v>
      </c>
    </row>
    <row r="92" spans="1:7" ht="20.25" hidden="1" customHeight="1" thickBot="1" x14ac:dyDescent="0.3">
      <c r="A92" s="30">
        <f>Ydelser!A92</f>
        <v>517</v>
      </c>
      <c r="B92" s="5"/>
      <c r="C92" s="4" t="str">
        <f>Ydelser!C92</f>
        <v>Vanding</v>
      </c>
      <c r="D92" s="26" t="str">
        <f>'FS Aftale'!E92</f>
        <v>1/4-30/9</v>
      </c>
      <c r="E92" s="26">
        <f>'FS Aftale'!F92</f>
        <v>9</v>
      </c>
      <c r="F92" s="47" t="str">
        <f>Ydelser!D92</f>
        <v/>
      </c>
      <c r="G92" s="6" t="str">
        <f>Ydelser!E92</f>
        <v>Efter aftalt plan.</v>
      </c>
    </row>
    <row r="93" spans="1:7" ht="30.75" hidden="1" customHeight="1" thickBot="1" x14ac:dyDescent="0.3">
      <c r="A93" s="30">
        <f>Ydelser!A93</f>
        <v>518</v>
      </c>
      <c r="B93" s="5"/>
      <c r="C93" s="4" t="str">
        <f>Ydelser!C93</f>
        <v>Græshøstning</v>
      </c>
      <c r="D93" s="26" t="str">
        <f>'FS Aftale'!E93</f>
        <v>1/4-30/9</v>
      </c>
      <c r="E93" s="26">
        <f>'FS Aftale'!F93</f>
        <v>9</v>
      </c>
      <c r="F93" s="47" t="str">
        <f>Ydelser!D93</f>
        <v xml:space="preserve">Slagleslåning af højt græs på engarealer, skråninger o. lign. inkl. bortskaffelse. </v>
      </c>
      <c r="G93" s="6" t="str">
        <f>Ydelser!E93</f>
        <v>Efter bevoksningstype og aftalt plan.</v>
      </c>
    </row>
    <row r="94" spans="1:7" ht="26.25" hidden="1" thickBot="1" x14ac:dyDescent="0.3">
      <c r="A94" s="30">
        <f>Ydelser!A94</f>
        <v>519</v>
      </c>
      <c r="B94" s="3" t="str">
        <f>Ydelser!B94</f>
        <v>Pasning af busketter, hække og træer</v>
      </c>
      <c r="C94" s="153"/>
      <c r="D94" s="154"/>
      <c r="E94" s="154"/>
      <c r="F94" s="43"/>
      <c r="G94" s="44"/>
    </row>
    <row r="95" spans="1:7" ht="59.25" hidden="1" customHeight="1" thickBot="1" x14ac:dyDescent="0.3">
      <c r="A95" s="30">
        <f>Ydelser!A95</f>
        <v>520</v>
      </c>
      <c r="B95" s="5"/>
      <c r="C95" s="4" t="str">
        <f>Ydelser!C95</f>
        <v>Hækkeklipning</v>
      </c>
      <c r="D95" s="26" t="str">
        <f>'FS Aftale'!E95</f>
        <v>1/4-30/9</v>
      </c>
      <c r="E95" s="26">
        <f>'FS Aftale'!F95</f>
        <v>2</v>
      </c>
      <c r="F95" s="47" t="str">
        <f>Ydelser!D95</f>
        <v>Klipning af hæk og pur i op til 2 meters højde inkl. bortskaffelse.</v>
      </c>
      <c r="G95" s="6" t="str">
        <f>Ydelser!E95</f>
        <v>Specielle krav til beskæring, eksisterende lokalplaner, vedtægter eller lign., skal være fremskaffet af Kunden inden aftalens indgåelse.</v>
      </c>
    </row>
    <row r="96" spans="1:7" ht="57.75" hidden="1" customHeight="1" thickBot="1" x14ac:dyDescent="0.3">
      <c r="A96" s="30">
        <f>Ydelser!A96</f>
        <v>521</v>
      </c>
      <c r="B96" s="5"/>
      <c r="C96" s="4" t="str">
        <f>Ydelser!C96</f>
        <v>Træer, beskæring</v>
      </c>
      <c r="D96" s="26" t="str">
        <f>'FS Aftale'!E96</f>
        <v>1/4-30/9</v>
      </c>
      <c r="E96" s="26">
        <f>'FS Aftale'!F96</f>
        <v>1</v>
      </c>
      <c r="F96" s="47" t="str">
        <f>Ydelser!D96</f>
        <v>Beskæring af træer i op til 4 meters højde, inkl. bortskaffelse.</v>
      </c>
      <c r="G96" s="6" t="str">
        <f>Ydelser!E96</f>
        <v>Specielle krav til beskæring, eksisterende lokalplaner, vedtægter eller lign., skal være fremskaffet af kunden inden aftalens indgåelse.</v>
      </c>
    </row>
    <row r="97" spans="1:7" ht="57.75" hidden="1" customHeight="1" thickBot="1" x14ac:dyDescent="0.3">
      <c r="A97" s="30">
        <f>Ydelser!A97</f>
        <v>522</v>
      </c>
      <c r="B97" s="5"/>
      <c r="C97" s="4" t="str">
        <f>Ydelser!C97</f>
        <v>Busket, partiel beskæring</v>
      </c>
      <c r="D97" s="26" t="str">
        <f>'FS Aftale'!E97</f>
        <v>1/4-30/9</v>
      </c>
      <c r="E97" s="26">
        <f>'FS Aftale'!F97</f>
        <v>1</v>
      </c>
      <c r="F97" s="47" t="str">
        <f>Ydelser!D97</f>
        <v>Beskæring af buske i op til 2 meters højde inkl. bortskaffelse.</v>
      </c>
      <c r="G97" s="6" t="str">
        <f>Ydelser!E97</f>
        <v>Specielle krav til beskæring, eksisterende lokalplaner, vedtægter eller lign., skal være fremskaffet af kunden inden aftalens indgåelse.</v>
      </c>
    </row>
    <row r="98" spans="1:7" ht="19.5" hidden="1" customHeight="1" thickBot="1" x14ac:dyDescent="0.3">
      <c r="A98" s="30">
        <f>Ydelser!A98</f>
        <v>523</v>
      </c>
      <c r="B98" s="5"/>
      <c r="C98" s="4" t="str">
        <f>Ydelser!C98</f>
        <v>Gødskning</v>
      </c>
      <c r="D98" s="26" t="str">
        <f>'FS Aftale'!E98</f>
        <v>1/4-30/9</v>
      </c>
      <c r="E98" s="26">
        <f>'FS Aftale'!F98</f>
        <v>9</v>
      </c>
      <c r="F98" s="47" t="str">
        <f>Ydelser!D98</f>
        <v/>
      </c>
      <c r="G98" s="6" t="str">
        <f>Ydelser!E98</f>
        <v>Efter aftalt plan.</v>
      </c>
    </row>
    <row r="99" spans="1:7" ht="21.75" hidden="1" customHeight="1" thickBot="1" x14ac:dyDescent="0.3">
      <c r="A99" s="30">
        <f>Ydelser!A99</f>
        <v>524</v>
      </c>
      <c r="B99" s="5"/>
      <c r="C99" s="4" t="str">
        <f>Ydelser!C99</f>
        <v>Vanding</v>
      </c>
      <c r="D99" s="26" t="str">
        <f>'FS Aftale'!E99</f>
        <v>1/4-30/9</v>
      </c>
      <c r="E99" s="26">
        <f>'FS Aftale'!F99</f>
        <v>9</v>
      </c>
      <c r="F99" s="47" t="str">
        <f>Ydelser!D99</f>
        <v>Vanding af træer, kummer og lign.</v>
      </c>
      <c r="G99" s="6" t="str">
        <f>Ydelser!E99</f>
        <v>Efter aftalt plan.</v>
      </c>
    </row>
    <row r="100" spans="1:7" hidden="1" x14ac:dyDescent="0.25">
      <c r="A100" s="9"/>
      <c r="B100" s="9"/>
      <c r="C100" s="9"/>
      <c r="D100" s="12"/>
      <c r="E100" s="12"/>
      <c r="F100" s="12"/>
      <c r="G100" s="22"/>
    </row>
    <row r="101" spans="1:7" ht="15.75" hidden="1" thickBot="1" x14ac:dyDescent="0.3">
      <c r="A101" s="29">
        <f>Ydelser!A101</f>
        <v>600</v>
      </c>
      <c r="B101" s="7" t="str">
        <f>Ydelser!B101</f>
        <v>Vinter - DEAS</v>
      </c>
      <c r="C101" s="51"/>
      <c r="D101" s="51"/>
      <c r="E101" s="51"/>
      <c r="F101" s="51"/>
      <c r="G101" s="51"/>
    </row>
    <row r="102" spans="1:7" ht="19.5" hidden="1" customHeight="1" thickBot="1" x14ac:dyDescent="0.3">
      <c r="A102" s="30">
        <f>Ydelser!A102</f>
        <v>601</v>
      </c>
      <c r="B102" s="5"/>
      <c r="C102" s="4" t="str">
        <f>Ydelser!C102</f>
        <v>Saltning</v>
      </c>
      <c r="D102" s="26" t="str">
        <f>'FS Aftale'!E102</f>
        <v>Enhedspris</v>
      </c>
      <c r="E102" s="26"/>
      <c r="F102" s="47" t="str">
        <f>Ydelser!D102</f>
        <v>Saltning af område.</v>
      </c>
      <c r="G102" s="6" t="str">
        <f>Ydelser!E102</f>
        <v>Efter aftalt plan.</v>
      </c>
    </row>
    <row r="103" spans="1:7" ht="31.5" hidden="1" customHeight="1" thickBot="1" x14ac:dyDescent="0.3">
      <c r="A103" s="30">
        <f>Ydelser!A103</f>
        <v>602</v>
      </c>
      <c r="B103" s="5"/>
      <c r="C103" s="4" t="str">
        <f>Ydelser!C103</f>
        <v>Snerydning inkl. saltning</v>
      </c>
      <c r="D103" s="26" t="str">
        <f>'FS Aftale'!E103</f>
        <v>Enhedspris</v>
      </c>
      <c r="E103" s="26"/>
      <c r="F103" s="47" t="str">
        <f>Ydelser!D103</f>
        <v>Snerydning inkl. saltning af område.</v>
      </c>
      <c r="G103" s="6" t="str">
        <f>Ydelser!E103</f>
        <v>Efter aftalt plan. Flytning af sne til anvist deponi på matriklen.</v>
      </c>
    </row>
    <row r="104" spans="1:7" ht="45.75" hidden="1" customHeight="1" thickBot="1" x14ac:dyDescent="0.3">
      <c r="A104" s="30">
        <f>Ydelser!A104</f>
        <v>603</v>
      </c>
      <c r="B104" s="5"/>
      <c r="C104" s="4" t="str">
        <f>Ydelser!C104</f>
        <v>Sæsonovervågning</v>
      </c>
      <c r="D104" s="26" t="str">
        <f>'FS Aftale'!E104</f>
        <v>Enhedspris</v>
      </c>
      <c r="E104" s="26"/>
      <c r="F104" s="47" t="str">
        <f>Ydelser!D104</f>
        <v>Forestå overvågning af DMI's og vintertjenestens varsler. Effektuere udkald.</v>
      </c>
      <c r="G104" s="6" t="str">
        <f>Ydelser!E104</f>
        <v>Efter aftalt plan.</v>
      </c>
    </row>
    <row r="105" spans="1:7" ht="15.75" thickBot="1" x14ac:dyDescent="0.3">
      <c r="A105" s="9"/>
      <c r="B105" s="9"/>
      <c r="C105" s="9"/>
      <c r="D105" s="12"/>
      <c r="E105" s="12"/>
      <c r="F105" s="12"/>
      <c r="G105" s="22"/>
    </row>
    <row r="106" spans="1:7" ht="15.75" thickBot="1" x14ac:dyDescent="0.3">
      <c r="A106" s="29">
        <f>Ydelser!A106</f>
        <v>700</v>
      </c>
      <c r="B106" s="7" t="str">
        <f>Ydelser!B106</f>
        <v>Flytninger</v>
      </c>
      <c r="C106" s="51"/>
      <c r="D106" s="51"/>
      <c r="E106" s="51"/>
      <c r="F106" s="51"/>
      <c r="G106" s="51"/>
    </row>
    <row r="107" spans="1:7" ht="31.5" customHeight="1" thickBot="1" x14ac:dyDescent="0.3">
      <c r="A107" s="30">
        <f>Ydelser!A107</f>
        <v>701</v>
      </c>
      <c r="B107" s="5"/>
      <c r="C107" s="4" t="str">
        <f>Ydelser!C107</f>
        <v>Fremvisning</v>
      </c>
      <c r="D107" s="26" t="str">
        <f>'FS Aftale'!E107</f>
        <v>Enhedspris</v>
      </c>
      <c r="E107" s="26"/>
      <c r="F107" s="47" t="str">
        <f>Ydelser!D107</f>
        <v>Planlægning af fremvisning.
Fremvisning af lejemål.</v>
      </c>
      <c r="G107" s="6"/>
    </row>
    <row r="108" spans="1:7" ht="162.75" customHeight="1" thickBot="1" x14ac:dyDescent="0.3">
      <c r="A108" s="30">
        <f>Ydelser!A108</f>
        <v>702</v>
      </c>
      <c r="B108" s="5"/>
      <c r="C108" s="4" t="str">
        <f>Ydelser!C108</f>
        <v>Indflytning</v>
      </c>
      <c r="D108" s="26" t="str">
        <f>'FS Aftale'!E108</f>
        <v>Enhedspris</v>
      </c>
      <c r="E108" s="26"/>
      <c r="F108" s="47" t="str">
        <f>Ydelser!D108</f>
        <v>Planlægning af flyttesyn, 14. dages gennemgang.
Udførelse med relevante måleraflæsninger og returnering af flyttesynsdokumenter og måleraflæsninger til kunden.
Udlevering af nøgler, beboermappe m.m. Gennemgang af indflytningsrapport og bestilling af mangelafhjælpning samt 14-dages gennemgang med lejer.
Ændring af navneskilte, navn på dør, postkasse, dørtelefon m.m. (ekskl. materialer).</v>
      </c>
      <c r="G108" s="6" t="str">
        <f>Ydelser!E108</f>
        <v>Registreres i iSyn med forud definerede flyttesynsdage.
Kunden leverer de nødvendige dokumenter med frist.
Navneskilt(e), nøgler, P-kort, vaskekort, kælder-/loftsrum, beboermappe.
Hvidvask.
Måleraflæsninger, relevans jf. lejeloven, og rapportering.
Flytterapport og dokumenter.
Produkt- og leveringsomkostninger faktureres særskilt.</v>
      </c>
    </row>
    <row r="109" spans="1:7" ht="59.25" customHeight="1" thickBot="1" x14ac:dyDescent="0.3">
      <c r="A109" s="30">
        <f>Ydelser!A109</f>
        <v>703</v>
      </c>
      <c r="B109" s="5"/>
      <c r="C109" s="4" t="str">
        <f>Ydelser!C109</f>
        <v>Fraflytning</v>
      </c>
      <c r="D109" s="26" t="str">
        <f>'FS Aftale'!E109</f>
        <v>Enhedspris</v>
      </c>
      <c r="E109" s="26"/>
      <c r="F109" s="47" t="str">
        <f>Ydelser!D109</f>
        <v>Planlægning af forsyn, flyttesyn, hjemtagelse af tilbud, igangsætning af istandsættelse, måleraflæsning, kvalitetssikring, fakturering og opgørelse.</v>
      </c>
      <c r="G109" s="6" t="str">
        <f>Ydelser!E109</f>
        <v xml:space="preserve">Registreres i iSyn med forud definerede flyttesynsdage.
I tomgangsperioden isættes flyttecylinder.
</v>
      </c>
    </row>
    <row r="110" spans="1:7" ht="45.75" customHeight="1" thickBot="1" x14ac:dyDescent="0.3">
      <c r="A110" s="30">
        <f>Ydelser!A110</f>
        <v>704</v>
      </c>
      <c r="B110" s="5"/>
      <c r="C110" s="4" t="str">
        <f>Ydelser!C110</f>
        <v>Bestillinger</v>
      </c>
      <c r="D110" s="26" t="str">
        <f>'FS Aftale'!E110</f>
        <v>Enhedspris</v>
      </c>
      <c r="E110" s="26"/>
      <c r="F110" s="47" t="str">
        <f>Ydelser!D110</f>
        <v>Bestilling af ekstra nøgler, vaskekort, nøglebrikker, omkodning af samme, P-tilladelser m.m.</v>
      </c>
      <c r="G110" s="6" t="str">
        <f>Ydelser!E110</f>
        <v>I henhold til forholdsordre.
Produkt- og leveringsomkostninger faktureres særskilt.</v>
      </c>
    </row>
    <row r="111" spans="1:7" hidden="1" x14ac:dyDescent="0.25">
      <c r="A111" s="9"/>
      <c r="B111" s="9"/>
      <c r="C111" s="9"/>
      <c r="D111" s="12"/>
      <c r="E111" s="12"/>
      <c r="F111" s="12"/>
      <c r="G111" s="22"/>
    </row>
    <row r="112" spans="1:7" ht="28.5" hidden="1" customHeight="1" thickBot="1" x14ac:dyDescent="0.3">
      <c r="A112" s="29">
        <f>Ydelser!A112</f>
        <v>800</v>
      </c>
      <c r="B112" s="7" t="str">
        <f>Ydelser!B112</f>
        <v>Udføres af samarbejdspartner</v>
      </c>
      <c r="C112" s="51"/>
      <c r="D112" s="51"/>
      <c r="E112" s="51"/>
      <c r="F112" s="51"/>
      <c r="G112" s="51"/>
    </row>
    <row r="113" spans="1:7" ht="15.75" hidden="1" thickBot="1" x14ac:dyDescent="0.3">
      <c r="A113" s="30">
        <f>Ydelser!A113</f>
        <v>801</v>
      </c>
      <c r="B113" s="3" t="str">
        <f>Ydelser!B113</f>
        <v>Teknik og serviceaftaler</v>
      </c>
      <c r="C113" s="153"/>
      <c r="D113" s="154"/>
      <c r="E113" s="154"/>
      <c r="F113" s="43"/>
      <c r="G113" s="44"/>
    </row>
    <row r="114" spans="1:7" ht="31.5" hidden="1" customHeight="1" thickBot="1" x14ac:dyDescent="0.3">
      <c r="A114" s="30">
        <f>Ydelser!A114</f>
        <v>802</v>
      </c>
      <c r="B114" s="5"/>
      <c r="C114" s="4" t="str">
        <f>Ydelser!C114</f>
        <v>Årligt, lovpligtigt eftersyn af legeplads</v>
      </c>
      <c r="D114" s="26" t="s">
        <v>376</v>
      </c>
      <c r="E114" s="26"/>
      <c r="F114" s="47" t="str">
        <f>Ydelser!D114</f>
        <v>Årlig kontrol af legeplads i henhold til lovkrav.</v>
      </c>
      <c r="G114" s="6" t="str">
        <f>Ydelser!E114</f>
        <v>Lovgrundlag.</v>
      </c>
    </row>
    <row r="115" spans="1:7" ht="19.5" hidden="1" customHeight="1" thickBot="1" x14ac:dyDescent="0.3">
      <c r="A115" s="30">
        <f>Ydelser!A115</f>
        <v>803</v>
      </c>
      <c r="B115" s="5"/>
      <c r="C115" s="4" t="str">
        <f>Ydelser!C115</f>
        <v>Hjertestarter</v>
      </c>
      <c r="D115" s="26" t="s">
        <v>376</v>
      </c>
      <c r="E115" s="26"/>
      <c r="F115" s="47" t="str">
        <f>Ydelser!D115</f>
        <v>Jf. vedlagte bilag med ydelsesbeskrivelse.</v>
      </c>
      <c r="G115" s="6" t="str">
        <f>Ydelser!E115</f>
        <v/>
      </c>
    </row>
    <row r="116" spans="1:7" ht="18" hidden="1" customHeight="1" thickBot="1" x14ac:dyDescent="0.3">
      <c r="A116" s="30">
        <f>Ydelser!A116</f>
        <v>804</v>
      </c>
      <c r="B116" s="5"/>
      <c r="C116" s="4" t="str">
        <f>Ydelser!C116</f>
        <v>Brandudstyr</v>
      </c>
      <c r="D116" s="26" t="s">
        <v>376</v>
      </c>
      <c r="E116" s="26"/>
      <c r="F116" s="47" t="str">
        <f>Ydelser!D116</f>
        <v>Jf. vedlagte bilag med ydelsesbeskrivelse.</v>
      </c>
      <c r="G116" s="6" t="str">
        <f>Ydelser!E116</f>
        <v>Lovgrundlag.</v>
      </c>
    </row>
    <row r="117" spans="1:7" ht="32.25" hidden="1" customHeight="1" thickBot="1" x14ac:dyDescent="0.3">
      <c r="A117" s="30">
        <f>Ydelser!A117</f>
        <v>805</v>
      </c>
      <c r="B117" s="5"/>
      <c r="C117" s="4" t="str">
        <f>Ydelser!C117</f>
        <v>"ABx udstyr" (almindelige brandtekniske anlæg)</v>
      </c>
      <c r="D117" s="26" t="s">
        <v>376</v>
      </c>
      <c r="E117" s="26"/>
      <c r="F117" s="47" t="str">
        <f>Ydelser!D117</f>
        <v>Jf. vedlagte bilag med ydelsesbeskrivelse.</v>
      </c>
      <c r="G117" s="6" t="str">
        <f>Ydelser!E117</f>
        <v>Lovgrundlag.</v>
      </c>
    </row>
    <row r="118" spans="1:7" ht="30.75" hidden="1" customHeight="1" thickBot="1" x14ac:dyDescent="0.3">
      <c r="A118" s="30">
        <f>Ydelser!A118</f>
        <v>806</v>
      </c>
      <c r="B118" s="5"/>
      <c r="C118" s="4" t="str">
        <f>Ydelser!C118</f>
        <v>Sikring (alarm, AIA, overvågning og vagt)</v>
      </c>
      <c r="D118" s="26" t="s">
        <v>376</v>
      </c>
      <c r="E118" s="26"/>
      <c r="F118" s="47" t="str">
        <f>Ydelser!D118</f>
        <v>Jf. vedlagte bilag med ydelsesbeskrivelse.</v>
      </c>
      <c r="G118" s="6" t="str">
        <f>Ydelser!E118</f>
        <v/>
      </c>
    </row>
    <row r="119" spans="1:7" ht="15.75" hidden="1" thickBot="1" x14ac:dyDescent="0.3">
      <c r="A119" s="30">
        <f>Ydelser!A119</f>
        <v>807</v>
      </c>
      <c r="B119" s="3" t="str">
        <f>Ydelser!B119</f>
        <v>Renhold</v>
      </c>
      <c r="C119" s="153"/>
      <c r="D119" s="154"/>
      <c r="E119" s="154"/>
      <c r="F119" s="43"/>
      <c r="G119" s="44"/>
    </row>
    <row r="120" spans="1:7" ht="21" hidden="1" customHeight="1" thickBot="1" x14ac:dyDescent="0.3">
      <c r="A120" s="30">
        <f>Ydelser!A120</f>
        <v>808</v>
      </c>
      <c r="B120" s="5"/>
      <c r="C120" s="4" t="str">
        <f>Ydelser!C120</f>
        <v>Graffitirens</v>
      </c>
      <c r="D120" s="26" t="s">
        <v>376</v>
      </c>
      <c r="E120" s="26"/>
      <c r="F120" s="47" t="str">
        <f>Ydelser!D120</f>
        <v>Jf. vedlagte bilag med ydelsesbeskrivelse.</v>
      </c>
      <c r="G120" s="6" t="str">
        <f>Ydelser!E120</f>
        <v/>
      </c>
    </row>
    <row r="121" spans="1:7" ht="17.25" hidden="1" customHeight="1" thickBot="1" x14ac:dyDescent="0.3">
      <c r="A121" s="30">
        <f>Ydelser!A121</f>
        <v>809</v>
      </c>
      <c r="B121" s="5"/>
      <c r="C121" s="4" t="str">
        <f>Ydelser!C121</f>
        <v>Containervask</v>
      </c>
      <c r="D121" s="26" t="s">
        <v>376</v>
      </c>
      <c r="E121" s="26"/>
      <c r="F121" s="47" t="str">
        <f>Ydelser!D121</f>
        <v>Jf. vedlagte bilag med ydelsesbeskrivelse.</v>
      </c>
      <c r="G121" s="6" t="str">
        <f>Ydelser!E121</f>
        <v/>
      </c>
    </row>
    <row r="122" spans="1:7" ht="19.5" hidden="1" customHeight="1" thickBot="1" x14ac:dyDescent="0.3">
      <c r="A122" s="30">
        <f>Ydelser!A122</f>
        <v>810</v>
      </c>
      <c r="B122" s="5"/>
      <c r="C122" s="4" t="str">
        <f>Ydelser!C122</f>
        <v>Vask af P-kælder</v>
      </c>
      <c r="D122" s="26" t="s">
        <v>376</v>
      </c>
      <c r="E122" s="26"/>
      <c r="F122" s="47" t="str">
        <f>Ydelser!D122</f>
        <v>Jf. vedlagte bilag med ydelsesbeskrivelse.</v>
      </c>
      <c r="G122" s="6" t="str">
        <f>Ydelser!E122</f>
        <v/>
      </c>
    </row>
    <row r="123" spans="1:7" ht="19.5" hidden="1" customHeight="1" thickBot="1" x14ac:dyDescent="0.3">
      <c r="A123" s="30">
        <f>Ydelser!A123</f>
        <v>811</v>
      </c>
      <c r="B123" s="5"/>
      <c r="C123" s="4" t="str">
        <f>Ydelser!C123</f>
        <v>Rengøring</v>
      </c>
      <c r="D123" s="26" t="s">
        <v>376</v>
      </c>
      <c r="E123" s="26"/>
      <c r="F123" s="47" t="str">
        <f>Ydelser!D123</f>
        <v>Jf. vedlagte bilag med ydelsesbeskrivelse.</v>
      </c>
      <c r="G123" s="6" t="str">
        <f>Ydelser!E123</f>
        <v>Trappevask, vinduespolering …</v>
      </c>
    </row>
    <row r="124" spans="1:7" ht="15.75" hidden="1" thickBot="1" x14ac:dyDescent="0.3">
      <c r="A124" s="30">
        <f>Ydelser!A124</f>
        <v>812</v>
      </c>
      <c r="B124" s="3" t="str">
        <f>Ydelser!B124</f>
        <v>Vinter</v>
      </c>
      <c r="C124" s="153"/>
      <c r="D124" s="154"/>
      <c r="E124" s="154"/>
      <c r="F124" s="43"/>
      <c r="G124" s="44"/>
    </row>
    <row r="125" spans="1:7" ht="30" hidden="1" customHeight="1" thickBot="1" x14ac:dyDescent="0.3">
      <c r="A125" s="30">
        <f>Ydelser!A125</f>
        <v>813</v>
      </c>
      <c r="B125" s="5"/>
      <c r="C125" s="4" t="str">
        <f>Ydelser!C125</f>
        <v>Saltning</v>
      </c>
      <c r="D125" s="26" t="str">
        <f>'FS Aftale'!E125</f>
        <v>Enhedspris</v>
      </c>
      <c r="E125" s="26"/>
      <c r="F125" s="47" t="str">
        <f>Ydelser!D125</f>
        <v xml:space="preserve">Saltning af område. Jf. vedlagte bilag med kort </v>
      </c>
      <c r="G125" s="6" t="str">
        <f>Ydelser!E125</f>
        <v>Efter aftalt plan.</v>
      </c>
    </row>
    <row r="126" spans="1:7" ht="31.5" hidden="1" customHeight="1" thickBot="1" x14ac:dyDescent="0.3">
      <c r="A126" s="30">
        <f>Ydelser!A126</f>
        <v>814</v>
      </c>
      <c r="B126" s="5"/>
      <c r="C126" s="4" t="str">
        <f>Ydelser!C126</f>
        <v>Snerydning inkl. saltning</v>
      </c>
      <c r="D126" s="26" t="str">
        <f>'FS Aftale'!E126</f>
        <v>Enhedspris</v>
      </c>
      <c r="E126" s="26"/>
      <c r="F126" s="47" t="str">
        <f>Ydelser!D126</f>
        <v>Saltning af område. Jf. vedlagte bilag med kort</v>
      </c>
      <c r="G126" s="6" t="str">
        <f>Ydelser!E126</f>
        <v>Efter aftalt plan. Flytning af sne til anvist deponi på matriklen.</v>
      </c>
    </row>
    <row r="127" spans="1:7" ht="31.5" hidden="1" customHeight="1" thickBot="1" x14ac:dyDescent="0.3">
      <c r="A127" s="30">
        <f>Ydelser!A127</f>
        <v>815</v>
      </c>
      <c r="B127" s="5"/>
      <c r="C127" s="4" t="str">
        <f>Ydelser!C127</f>
        <v>Sæsonovervågning</v>
      </c>
      <c r="D127" s="26" t="s">
        <v>376</v>
      </c>
      <c r="E127" s="26"/>
      <c r="F127" s="47" t="str">
        <f>Ydelser!D127</f>
        <v>Kvalitetssikring og tilsyn med underentreprenør (UE) ydelse.</v>
      </c>
      <c r="G127" s="6" t="str">
        <f>Ydelser!E127</f>
        <v>Efter aftalt plan.</v>
      </c>
    </row>
    <row r="128" spans="1:7" hidden="1" x14ac:dyDescent="0.25">
      <c r="A128" s="9"/>
      <c r="B128" s="9"/>
      <c r="C128" s="9"/>
      <c r="D128" s="12"/>
      <c r="E128" s="12"/>
      <c r="F128" s="12"/>
      <c r="G128" s="22"/>
    </row>
    <row r="129" spans="1:7" ht="31.5" hidden="1" customHeight="1" thickBot="1" x14ac:dyDescent="0.3">
      <c r="A129" s="29">
        <f>Ydelser!A129</f>
        <v>900</v>
      </c>
      <c r="B129" s="7" t="str">
        <f>Ydelser!B129</f>
        <v>Kundespecifikke ydelser</v>
      </c>
      <c r="C129" s="51"/>
      <c r="D129" s="51"/>
      <c r="E129" s="51"/>
      <c r="F129" s="51"/>
      <c r="G129" s="51"/>
    </row>
    <row r="130" spans="1:7" ht="15.75" hidden="1" thickBot="1" x14ac:dyDescent="0.3">
      <c r="A130" s="30">
        <f>Ydelser!A130</f>
        <v>901</v>
      </c>
      <c r="B130" s="5"/>
      <c r="C130" s="4" t="str">
        <f>Ydelser!C130</f>
        <v>Kundespecifik ydelse 1</v>
      </c>
      <c r="D130" s="26" t="str">
        <f>'FS Aftale'!E130</f>
        <v>Månedligt</v>
      </c>
      <c r="E130" s="26">
        <f>'FS Aftale'!F130</f>
        <v>12</v>
      </c>
      <c r="F130" s="47" t="str">
        <f>Ydelser!D130</f>
        <v>Beskrivelse.</v>
      </c>
      <c r="G130" s="6" t="str">
        <f>Ydelser!E130</f>
        <v>Efter medgået tid.</v>
      </c>
    </row>
    <row r="131" spans="1:7" ht="15.75" hidden="1" thickBot="1" x14ac:dyDescent="0.3">
      <c r="A131" s="30">
        <f>Ydelser!A131</f>
        <v>902</v>
      </c>
      <c r="B131" s="5"/>
      <c r="C131" s="4" t="str">
        <f>Ydelser!C131</f>
        <v>Kundespecifik ydelse 2</v>
      </c>
      <c r="D131" s="26" t="str">
        <f>'FS Aftale'!E131</f>
        <v>Månedligt</v>
      </c>
      <c r="E131" s="26">
        <f>'FS Aftale'!F131</f>
        <v>12</v>
      </c>
      <c r="F131" s="47" t="str">
        <f>Ydelser!D131</f>
        <v>Beskrivelse.</v>
      </c>
      <c r="G131" s="6" t="str">
        <f>Ydelser!E131</f>
        <v>Efter medgået tid.</v>
      </c>
    </row>
    <row r="132" spans="1:7" ht="15.75" hidden="1" thickBot="1" x14ac:dyDescent="0.3">
      <c r="A132" s="30">
        <f>Ydelser!A132</f>
        <v>903</v>
      </c>
      <c r="B132" s="5"/>
      <c r="C132" s="4" t="str">
        <f>Ydelser!C132</f>
        <v>Kundespecifik ydelse 3</v>
      </c>
      <c r="D132" s="26" t="str">
        <f>'FS Aftale'!E132</f>
        <v>Månedligt</v>
      </c>
      <c r="E132" s="26">
        <f>'FS Aftale'!F132</f>
        <v>12</v>
      </c>
      <c r="F132" s="47" t="str">
        <f>Ydelser!D132</f>
        <v>Beskrivelse.</v>
      </c>
      <c r="G132" s="6" t="str">
        <f>Ydelser!E132</f>
        <v>Efter medgået tid.</v>
      </c>
    </row>
    <row r="133" spans="1:7" ht="15.75" hidden="1" thickBot="1" x14ac:dyDescent="0.3">
      <c r="A133" s="30">
        <f>Ydelser!A133</f>
        <v>904</v>
      </c>
      <c r="B133" s="5"/>
      <c r="C133" s="4" t="str">
        <f>Ydelser!C133</f>
        <v>Kundespecifik ydelse 4</v>
      </c>
      <c r="D133" s="26" t="str">
        <f>'FS Aftale'!E133</f>
        <v>Månedligt</v>
      </c>
      <c r="E133" s="26">
        <f>'FS Aftale'!F133</f>
        <v>12</v>
      </c>
      <c r="F133" s="47" t="str">
        <f>Ydelser!D133</f>
        <v>Beskrivelse.</v>
      </c>
      <c r="G133" s="6" t="str">
        <f>Ydelser!E133</f>
        <v>Efter medgået tid.</v>
      </c>
    </row>
    <row r="134" spans="1:7" ht="15.75" hidden="1" thickBot="1" x14ac:dyDescent="0.3">
      <c r="A134" s="30">
        <f>Ydelser!A134</f>
        <v>905</v>
      </c>
      <c r="B134" s="5"/>
      <c r="C134" s="4" t="str">
        <f>Ydelser!C134</f>
        <v>Kundespecifik ydelse 5</v>
      </c>
      <c r="D134" s="26" t="str">
        <f>'FS Aftale'!E134</f>
        <v>Månedligt</v>
      </c>
      <c r="E134" s="26">
        <f>'FS Aftale'!F134</f>
        <v>12</v>
      </c>
      <c r="F134" s="47" t="str">
        <f>Ydelser!D134</f>
        <v>Beskrivelse.</v>
      </c>
      <c r="G134" s="6" t="str">
        <f>Ydelser!E134</f>
        <v>Efter medgået tid.</v>
      </c>
    </row>
    <row r="135" spans="1:7" ht="15.75" hidden="1" thickBot="1" x14ac:dyDescent="0.3">
      <c r="A135" s="30">
        <f>Ydelser!A135</f>
        <v>906</v>
      </c>
      <c r="B135" s="5"/>
      <c r="C135" s="4" t="str">
        <f>Ydelser!C135</f>
        <v>Kundespecifik ydelse 6</v>
      </c>
      <c r="D135" s="26" t="str">
        <f>'FS Aftale'!E135</f>
        <v>Månedligt</v>
      </c>
      <c r="E135" s="26">
        <f>'FS Aftale'!F135</f>
        <v>12</v>
      </c>
      <c r="F135" s="47" t="str">
        <f>Ydelser!D135</f>
        <v>Beskrivelse.</v>
      </c>
      <c r="G135" s="6" t="str">
        <f>Ydelser!E135</f>
        <v>Efter medgået tid.</v>
      </c>
    </row>
    <row r="136" spans="1:7" ht="15.75" hidden="1" thickBot="1" x14ac:dyDescent="0.3">
      <c r="A136" s="30">
        <f>Ydelser!A136</f>
        <v>907</v>
      </c>
      <c r="B136" s="5"/>
      <c r="C136" s="4" t="str">
        <f>Ydelser!C136</f>
        <v>Kundespecifik ydelse 7</v>
      </c>
      <c r="D136" s="26" t="str">
        <f>'FS Aftale'!E136</f>
        <v>Månedligt</v>
      </c>
      <c r="E136" s="26">
        <f>'FS Aftale'!F136</f>
        <v>12</v>
      </c>
      <c r="F136" s="47" t="str">
        <f>Ydelser!D136</f>
        <v>Beskrivelse.</v>
      </c>
      <c r="G136" s="6" t="str">
        <f>Ydelser!E136</f>
        <v>Efter medgået tid.</v>
      </c>
    </row>
    <row r="137" spans="1:7" ht="15.75" hidden="1" thickBot="1" x14ac:dyDescent="0.3">
      <c r="A137" s="30">
        <f>Ydelser!A137</f>
        <v>908</v>
      </c>
      <c r="B137" s="5"/>
      <c r="C137" s="4" t="str">
        <f>Ydelser!C137</f>
        <v>Kundespecifik ydelse 8</v>
      </c>
      <c r="D137" s="26" t="str">
        <f>'FS Aftale'!E137</f>
        <v>Månedligt</v>
      </c>
      <c r="E137" s="26">
        <f>'FS Aftale'!F137</f>
        <v>12</v>
      </c>
      <c r="F137" s="47" t="str">
        <f>Ydelser!D137</f>
        <v>Beskrivelse.</v>
      </c>
      <c r="G137" s="6" t="str">
        <f>Ydelser!E137</f>
        <v>Efter medgået tid.</v>
      </c>
    </row>
    <row r="138" spans="1:7" ht="15.75" hidden="1" thickBot="1" x14ac:dyDescent="0.3">
      <c r="A138" s="30">
        <f>Ydelser!A138</f>
        <v>909</v>
      </c>
      <c r="B138" s="5"/>
      <c r="C138" s="4" t="str">
        <f>Ydelser!C138</f>
        <v>Kundespecifik ydelse 9</v>
      </c>
      <c r="D138" s="26" t="str">
        <f>'FS Aftale'!E138</f>
        <v>Månedligt</v>
      </c>
      <c r="E138" s="26">
        <f>'FS Aftale'!F138</f>
        <v>12</v>
      </c>
      <c r="F138" s="47" t="str">
        <f>Ydelser!D138</f>
        <v>Beskrivelse.</v>
      </c>
      <c r="G138" s="6" t="str">
        <f>Ydelser!E138</f>
        <v>Efter medgået tid.</v>
      </c>
    </row>
    <row r="139" spans="1:7" ht="15.75" hidden="1" thickBot="1" x14ac:dyDescent="0.3">
      <c r="A139" s="30">
        <f>Ydelser!A139</f>
        <v>910</v>
      </c>
      <c r="B139" s="5"/>
      <c r="C139" s="4" t="str">
        <f>Ydelser!C139</f>
        <v>Kundespecifik ydelse 10</v>
      </c>
      <c r="D139" s="26" t="str">
        <f>'FS Aftale'!E139</f>
        <v>Månedligt</v>
      </c>
      <c r="E139" s="26">
        <f>'FS Aftale'!F139</f>
        <v>12</v>
      </c>
      <c r="F139" s="47" t="str">
        <f>Ydelser!D139</f>
        <v>Beskrivelse.</v>
      </c>
      <c r="G139" s="6" t="str">
        <f>Ydelser!E139</f>
        <v>Efter medgået tid.</v>
      </c>
    </row>
    <row r="140" spans="1:7" ht="15.75" hidden="1" thickBot="1" x14ac:dyDescent="0.3">
      <c r="A140" s="30">
        <f>Ydelser!A140</f>
        <v>911</v>
      </c>
      <c r="B140" s="5"/>
      <c r="C140" s="4" t="str">
        <f>Ydelser!C140</f>
        <v>Kundespecifik ydelse 11</v>
      </c>
      <c r="D140" s="26" t="str">
        <f>'FS Aftale'!E140</f>
        <v>Månedligt</v>
      </c>
      <c r="E140" s="26">
        <f>'FS Aftale'!F140</f>
        <v>12</v>
      </c>
      <c r="F140" s="47" t="str">
        <f>Ydelser!D140</f>
        <v>Beskrivelse.</v>
      </c>
      <c r="G140" s="6" t="str">
        <f>Ydelser!E140</f>
        <v>Efter medgået tid.</v>
      </c>
    </row>
    <row r="141" spans="1:7" ht="15.75" hidden="1" thickBot="1" x14ac:dyDescent="0.3">
      <c r="A141" s="30">
        <f>Ydelser!A141</f>
        <v>912</v>
      </c>
      <c r="B141" s="5"/>
      <c r="C141" s="4" t="str">
        <f>Ydelser!C141</f>
        <v>Kundespecifik ydelse 12</v>
      </c>
      <c r="D141" s="26" t="str">
        <f>'FS Aftale'!E141</f>
        <v>Månedligt</v>
      </c>
      <c r="E141" s="26">
        <f>'FS Aftale'!F141</f>
        <v>12</v>
      </c>
      <c r="F141" s="47" t="str">
        <f>Ydelser!D141</f>
        <v>Beskrivelse.</v>
      </c>
      <c r="G141" s="6" t="str">
        <f>Ydelser!E141</f>
        <v>Efter medgået tid.</v>
      </c>
    </row>
    <row r="142" spans="1:7" ht="15.75" hidden="1" thickBot="1" x14ac:dyDescent="0.3">
      <c r="A142" s="30">
        <f>Ydelser!A142</f>
        <v>913</v>
      </c>
      <c r="B142" s="5"/>
      <c r="C142" s="4" t="str">
        <f>Ydelser!C142</f>
        <v>Kundespecifik ydelse 13</v>
      </c>
      <c r="D142" s="26" t="str">
        <f>'FS Aftale'!E142</f>
        <v>Månedligt</v>
      </c>
      <c r="E142" s="26">
        <f>'FS Aftale'!F142</f>
        <v>12</v>
      </c>
      <c r="F142" s="47" t="str">
        <f>Ydelser!D142</f>
        <v>Beskrivelse.</v>
      </c>
      <c r="G142" s="6" t="str">
        <f>Ydelser!E142</f>
        <v>Efter medgået tid.</v>
      </c>
    </row>
    <row r="143" spans="1:7" ht="15.75" hidden="1" thickBot="1" x14ac:dyDescent="0.3">
      <c r="A143" s="30">
        <f>Ydelser!A143</f>
        <v>914</v>
      </c>
      <c r="B143" s="5"/>
      <c r="C143" s="4" t="str">
        <f>Ydelser!C143</f>
        <v>Kundespecifik ydelse 14</v>
      </c>
      <c r="D143" s="26" t="str">
        <f>'FS Aftale'!E143</f>
        <v>Månedligt</v>
      </c>
      <c r="E143" s="26">
        <f>'FS Aftale'!F143</f>
        <v>12</v>
      </c>
      <c r="F143" s="47" t="str">
        <f>Ydelser!D143</f>
        <v>Beskrivelse.</v>
      </c>
      <c r="G143" s="6" t="str">
        <f>Ydelser!E143</f>
        <v>Efter medgået tid.</v>
      </c>
    </row>
    <row r="144" spans="1:7" ht="15.75" hidden="1" thickBot="1" x14ac:dyDescent="0.3">
      <c r="A144" s="30">
        <f>Ydelser!A144</f>
        <v>915</v>
      </c>
      <c r="B144" s="5"/>
      <c r="C144" s="4" t="str">
        <f>Ydelser!C144</f>
        <v>Kundespecifik ydelse 15</v>
      </c>
      <c r="D144" s="26" t="str">
        <f>'FS Aftale'!E144</f>
        <v>Månedligt</v>
      </c>
      <c r="E144" s="26">
        <f>'FS Aftale'!F144</f>
        <v>12</v>
      </c>
      <c r="F144" s="47" t="str">
        <f>Ydelser!D144</f>
        <v>Beskrivelse.</v>
      </c>
      <c r="G144" s="6" t="str">
        <f>Ydelser!E144</f>
        <v>Efter medgået tid.</v>
      </c>
    </row>
    <row r="145" spans="1:8" ht="15.75" hidden="1" thickBot="1" x14ac:dyDescent="0.3">
      <c r="A145" s="30">
        <f>Ydelser!A145</f>
        <v>916</v>
      </c>
      <c r="B145" s="5"/>
      <c r="C145" s="4" t="str">
        <f>Ydelser!C145</f>
        <v>Kundespecifik ydelse 16</v>
      </c>
      <c r="D145" s="26" t="str">
        <f>'FS Aftale'!E145</f>
        <v>Månedligt</v>
      </c>
      <c r="E145" s="26">
        <f>'FS Aftale'!F145</f>
        <v>12</v>
      </c>
      <c r="F145" s="47" t="str">
        <f>Ydelser!D145</f>
        <v>Beskrivelse.</v>
      </c>
      <c r="G145" s="6" t="str">
        <f>Ydelser!E145</f>
        <v>Efter medgået tid.</v>
      </c>
    </row>
    <row r="146" spans="1:8" ht="15.75" hidden="1" thickBot="1" x14ac:dyDescent="0.3">
      <c r="A146" s="30">
        <f>Ydelser!A146</f>
        <v>917</v>
      </c>
      <c r="B146" s="5"/>
      <c r="C146" s="4" t="str">
        <f>Ydelser!C146</f>
        <v>Kundespecifik ydelse 17</v>
      </c>
      <c r="D146" s="26" t="str">
        <f>'FS Aftale'!E146</f>
        <v>Månedligt</v>
      </c>
      <c r="E146" s="26">
        <f>'FS Aftale'!F146</f>
        <v>12</v>
      </c>
      <c r="F146" s="47" t="str">
        <f>Ydelser!D146</f>
        <v>Beskrivelse.</v>
      </c>
      <c r="G146" s="6" t="str">
        <f>Ydelser!E146</f>
        <v>Efter medgået tid.</v>
      </c>
    </row>
    <row r="147" spans="1:8" ht="15.75" hidden="1" thickBot="1" x14ac:dyDescent="0.3">
      <c r="A147" s="30">
        <f>Ydelser!A147</f>
        <v>918</v>
      </c>
      <c r="B147" s="5"/>
      <c r="C147" s="4" t="str">
        <f>Ydelser!C147</f>
        <v>Kundespecifik ydelse 18</v>
      </c>
      <c r="D147" s="26" t="str">
        <f>'FS Aftale'!E147</f>
        <v>Månedligt</v>
      </c>
      <c r="E147" s="26">
        <f>'FS Aftale'!F147</f>
        <v>12</v>
      </c>
      <c r="F147" s="47" t="str">
        <f>Ydelser!D147</f>
        <v>Beskrivelse.</v>
      </c>
      <c r="G147" s="6" t="str">
        <f>Ydelser!E147</f>
        <v>Efter medgået tid.</v>
      </c>
    </row>
    <row r="148" spans="1:8" ht="15.75" hidden="1" thickBot="1" x14ac:dyDescent="0.3">
      <c r="A148" s="30">
        <f>Ydelser!A148</f>
        <v>919</v>
      </c>
      <c r="B148" s="5"/>
      <c r="C148" s="4" t="str">
        <f>Ydelser!C148</f>
        <v>Kundespecifik ydelse 19</v>
      </c>
      <c r="D148" s="26" t="str">
        <f>'FS Aftale'!E148</f>
        <v>Månedligt</v>
      </c>
      <c r="E148" s="26">
        <f>'FS Aftale'!F148</f>
        <v>12</v>
      </c>
      <c r="F148" s="47" t="str">
        <f>Ydelser!D148</f>
        <v>Beskrivelse.</v>
      </c>
      <c r="G148" s="6" t="str">
        <f>Ydelser!E148</f>
        <v>Efter medgået tid.</v>
      </c>
    </row>
    <row r="149" spans="1:8" ht="15.75" hidden="1" thickBot="1" x14ac:dyDescent="0.3">
      <c r="A149" s="30">
        <f>Ydelser!A149</f>
        <v>920</v>
      </c>
      <c r="B149" s="5"/>
      <c r="C149" s="4" t="str">
        <f>Ydelser!C149</f>
        <v>Kundespecifik ydelse 20</v>
      </c>
      <c r="D149" s="26" t="str">
        <f>'FS Aftale'!E149</f>
        <v>Månedligt</v>
      </c>
      <c r="E149" s="26">
        <f>'FS Aftale'!F149</f>
        <v>12</v>
      </c>
      <c r="F149" s="47" t="str">
        <f>Ydelser!D149</f>
        <v>Beskrivelse.</v>
      </c>
      <c r="G149" s="6" t="str">
        <f>Ydelser!E149</f>
        <v>Efter medgået tid.</v>
      </c>
    </row>
    <row r="150" spans="1:8" hidden="1" x14ac:dyDescent="0.25">
      <c r="A150" s="9"/>
      <c r="B150" s="9"/>
      <c r="C150" s="9"/>
      <c r="D150" s="12"/>
      <c r="E150" s="12"/>
      <c r="F150" s="12"/>
      <c r="G150" s="12"/>
      <c r="H150" s="57"/>
    </row>
    <row r="151" spans="1:8" ht="15.75" hidden="1" thickBot="1" x14ac:dyDescent="0.3">
      <c r="A151" s="9"/>
      <c r="C151" s="51"/>
      <c r="D151" s="7" t="str">
        <f>'FS Aftale'!F153</f>
        <v>Årspris</v>
      </c>
      <c r="E151" s="7"/>
      <c r="F151" s="7"/>
      <c r="G151" s="105" t="str">
        <f>'FS Aftale'!H153</f>
        <v>Månedspris</v>
      </c>
      <c r="H151" s="57"/>
    </row>
    <row r="152" spans="1:8" ht="15.75" hidden="1" thickBot="1" x14ac:dyDescent="0.3">
      <c r="A152" s="9"/>
      <c r="C152" s="136" t="str">
        <f>'FS Aftale'!E154</f>
        <v>Aftalepris</v>
      </c>
      <c r="D152" s="41">
        <f>'FS Aftale'!F154</f>
        <v>246742.5</v>
      </c>
      <c r="E152" s="233"/>
      <c r="F152" s="16"/>
      <c r="G152" s="84">
        <f>'FS Aftale'!H154</f>
        <v>20561.875</v>
      </c>
      <c r="H152" s="57"/>
    </row>
    <row r="153" spans="1:8" ht="15.75" hidden="1" thickBot="1" x14ac:dyDescent="0.3">
      <c r="A153" s="9"/>
      <c r="C153" s="136" t="str">
        <f>'FS Aftale'!E155</f>
        <v>Moms</v>
      </c>
      <c r="D153" s="23">
        <f>'FS Aftale'!F155</f>
        <v>61685.625</v>
      </c>
      <c r="E153" s="23"/>
      <c r="F153" s="16"/>
      <c r="G153" s="83">
        <f>'FS Aftale'!H155</f>
        <v>5140.46875</v>
      </c>
      <c r="H153" s="57"/>
    </row>
    <row r="154" spans="1:8" ht="15.75" hidden="1" thickBot="1" x14ac:dyDescent="0.3">
      <c r="A154" s="9"/>
      <c r="C154" s="136" t="str">
        <f>'FS Aftale'!E156</f>
        <v>I alt</v>
      </c>
      <c r="D154" s="123">
        <f>'FS Aftale'!F156</f>
        <v>308428.125</v>
      </c>
      <c r="E154" s="123"/>
      <c r="F154" s="123"/>
      <c r="G154" s="131">
        <f>'FS Aftale'!H156</f>
        <v>25702.34375</v>
      </c>
      <c r="H154" s="57"/>
    </row>
    <row r="155" spans="1:8" ht="15.75" thickBot="1" x14ac:dyDescent="0.3">
      <c r="A155" s="9"/>
      <c r="B155" s="9"/>
      <c r="C155" s="9"/>
      <c r="D155" s="12"/>
      <c r="E155" s="12"/>
      <c r="F155" s="12"/>
      <c r="G155" s="12"/>
      <c r="H155" s="58"/>
    </row>
    <row r="156" spans="1:8" ht="15.75" thickBot="1" x14ac:dyDescent="0.3">
      <c r="A156" s="134"/>
      <c r="B156" s="268" t="str">
        <f>'FS Aftale'!B158</f>
        <v>Variable omkostninger</v>
      </c>
      <c r="C156" s="269"/>
      <c r="D156" s="136" t="str">
        <f>'FS Aftale'!E158</f>
        <v>Aftalepris</v>
      </c>
      <c r="E156" s="136" t="str">
        <f>'FS Aftale'!F158</f>
        <v>Moms</v>
      </c>
      <c r="F156" s="136" t="str">
        <f>'FS Aftale'!G158</f>
        <v>I alt</v>
      </c>
      <c r="G156" s="105" t="str">
        <f>'FS Aftale'!H158</f>
        <v>DEAS type</v>
      </c>
    </row>
    <row r="157" spans="1:8" hidden="1" x14ac:dyDescent="0.25">
      <c r="A157" s="16"/>
      <c r="B157" s="16"/>
      <c r="C157" s="16"/>
      <c r="D157" s="12"/>
      <c r="E157" s="12"/>
      <c r="F157" s="25"/>
      <c r="G157" s="37"/>
    </row>
    <row r="158" spans="1:8" ht="15.75" hidden="1" thickBot="1" x14ac:dyDescent="0.3">
      <c r="A158" s="29">
        <f>'FS Aftale'!A160</f>
        <v>600</v>
      </c>
      <c r="B158" s="7" t="str">
        <f>'FS Aftale'!B160</f>
        <v>Vinter - DEAS</v>
      </c>
      <c r="C158" s="51"/>
      <c r="D158" s="51"/>
      <c r="E158" s="51"/>
      <c r="F158" s="51"/>
      <c r="G158" s="51"/>
    </row>
    <row r="159" spans="1:8" ht="15.75" hidden="1" thickBot="1" x14ac:dyDescent="0.3">
      <c r="A159" s="30">
        <f>'FS Aftale'!A161</f>
        <v>601</v>
      </c>
      <c r="B159" s="5"/>
      <c r="C159" s="4" t="str">
        <f>'FS Aftale'!C161</f>
        <v>Saltning</v>
      </c>
      <c r="D159" s="48">
        <f>'FS Aftale'!E161</f>
        <v>325</v>
      </c>
      <c r="E159" s="48">
        <f>'FS Aftale'!F161</f>
        <v>81.25</v>
      </c>
      <c r="F159" s="48">
        <f>'FS Aftale'!G161</f>
        <v>406.25</v>
      </c>
      <c r="G159" s="48" t="str">
        <f>'FS Aftale'!H161</f>
        <v>Enhedspris</v>
      </c>
    </row>
    <row r="160" spans="1:8" ht="15.75" hidden="1" thickBot="1" x14ac:dyDescent="0.3">
      <c r="A160" s="30">
        <f>'FS Aftale'!A162</f>
        <v>602</v>
      </c>
      <c r="B160" s="5"/>
      <c r="C160" s="4" t="str">
        <f>'FS Aftale'!C162</f>
        <v>Snerydning inkl. saltning</v>
      </c>
      <c r="D160" s="48">
        <f>'FS Aftale'!E162</f>
        <v>475</v>
      </c>
      <c r="E160" s="48">
        <f>'FS Aftale'!F162</f>
        <v>118.75</v>
      </c>
      <c r="F160" s="48">
        <f>'FS Aftale'!G162</f>
        <v>593.75</v>
      </c>
      <c r="G160" s="48" t="str">
        <f>'FS Aftale'!H162</f>
        <v>Enhedspris</v>
      </c>
    </row>
    <row r="161" spans="1:7" ht="15.75" hidden="1" thickBot="1" x14ac:dyDescent="0.3">
      <c r="A161" s="30">
        <f>'FS Aftale'!A163</f>
        <v>603</v>
      </c>
      <c r="B161" s="5"/>
      <c r="C161" s="4" t="str">
        <f>'FS Aftale'!C163</f>
        <v>Sæsonovervågning</v>
      </c>
      <c r="D161" s="48">
        <f>'FS Aftale'!E163</f>
        <v>5000</v>
      </c>
      <c r="E161" s="48">
        <f>'FS Aftale'!F163</f>
        <v>1250</v>
      </c>
      <c r="F161" s="48">
        <f>'FS Aftale'!G163</f>
        <v>6250</v>
      </c>
      <c r="G161" s="48" t="str">
        <f>'FS Aftale'!H163</f>
        <v>Enhedspris</v>
      </c>
    </row>
    <row r="162" spans="1:7" ht="15.75" thickBot="1" x14ac:dyDescent="0.3">
      <c r="A162" s="16"/>
      <c r="B162" s="16"/>
      <c r="C162" s="16"/>
      <c r="D162" s="12"/>
      <c r="E162" s="12"/>
      <c r="F162" s="25"/>
      <c r="G162" s="12"/>
    </row>
    <row r="163" spans="1:7" ht="15.75" thickBot="1" x14ac:dyDescent="0.3">
      <c r="A163" s="29">
        <f>'FS Aftale'!A165</f>
        <v>700</v>
      </c>
      <c r="B163" s="7" t="str">
        <f>'FS Aftale'!B165</f>
        <v>Flytninger</v>
      </c>
      <c r="C163" s="51"/>
      <c r="D163" s="51"/>
      <c r="E163" s="51"/>
      <c r="F163" s="51"/>
      <c r="G163" s="51"/>
    </row>
    <row r="164" spans="1:7" ht="15.75" thickBot="1" x14ac:dyDescent="0.3">
      <c r="A164" s="30">
        <f>'FS Aftale'!A166</f>
        <v>701</v>
      </c>
      <c r="B164" s="5"/>
      <c r="C164" s="4" t="str">
        <f>'FS Aftale'!C166</f>
        <v>Fremvisning</v>
      </c>
      <c r="D164" s="48">
        <f>'FS Aftale'!E166</f>
        <v>365</v>
      </c>
      <c r="E164" s="48">
        <f>'FS Aftale'!F166</f>
        <v>91.25</v>
      </c>
      <c r="F164" s="48">
        <f>'FS Aftale'!G166</f>
        <v>456.25</v>
      </c>
      <c r="G164" s="48" t="str">
        <f>'FS Aftale'!H166</f>
        <v>Enhedspris</v>
      </c>
    </row>
    <row r="165" spans="1:7" ht="15.75" thickBot="1" x14ac:dyDescent="0.3">
      <c r="A165" s="30">
        <f>'FS Aftale'!A167</f>
        <v>702</v>
      </c>
      <c r="B165" s="5"/>
      <c r="C165" s="4" t="str">
        <f>'FS Aftale'!C167</f>
        <v>Indflytning</v>
      </c>
      <c r="D165" s="48">
        <f>'FS Aftale'!E167</f>
        <v>1495</v>
      </c>
      <c r="E165" s="48">
        <f>'FS Aftale'!F167</f>
        <v>373.75</v>
      </c>
      <c r="F165" s="48">
        <f>'FS Aftale'!G167</f>
        <v>1868.75</v>
      </c>
      <c r="G165" s="48" t="str">
        <f>'FS Aftale'!H167</f>
        <v>Enhedspris</v>
      </c>
    </row>
    <row r="166" spans="1:7" ht="15.75" thickBot="1" x14ac:dyDescent="0.3">
      <c r="A166" s="30">
        <f>'FS Aftale'!A168</f>
        <v>703</v>
      </c>
      <c r="B166" s="5"/>
      <c r="C166" s="4" t="str">
        <f>'FS Aftale'!C168</f>
        <v>Fraflytning</v>
      </c>
      <c r="D166" s="48">
        <f>'FS Aftale'!E168</f>
        <v>2895</v>
      </c>
      <c r="E166" s="48">
        <f>'FS Aftale'!F168</f>
        <v>723.75</v>
      </c>
      <c r="F166" s="48">
        <f>'FS Aftale'!G168</f>
        <v>3618.75</v>
      </c>
      <c r="G166" s="48" t="str">
        <f>'FS Aftale'!H168</f>
        <v>Enhedspris</v>
      </c>
    </row>
    <row r="167" spans="1:7" ht="15.75" thickBot="1" x14ac:dyDescent="0.3">
      <c r="A167" s="30">
        <f>'FS Aftale'!A169</f>
        <v>704</v>
      </c>
      <c r="B167" s="5"/>
      <c r="C167" s="4" t="str">
        <f>'FS Aftale'!C169</f>
        <v>Bestillinger</v>
      </c>
      <c r="D167" s="48">
        <f>'FS Aftale'!E169</f>
        <v>600</v>
      </c>
      <c r="E167" s="48">
        <f>'FS Aftale'!F169</f>
        <v>150</v>
      </c>
      <c r="F167" s="48">
        <f>'FS Aftale'!G169</f>
        <v>750</v>
      </c>
      <c r="G167" s="48" t="str">
        <f>'FS Aftale'!H169</f>
        <v>Enhedspris</v>
      </c>
    </row>
    <row r="168" spans="1:7" hidden="1" x14ac:dyDescent="0.25">
      <c r="A168" s="16"/>
      <c r="B168" s="16"/>
      <c r="C168" s="16"/>
      <c r="D168" s="12"/>
      <c r="E168" s="12"/>
      <c r="F168" s="25"/>
      <c r="G168" s="12"/>
    </row>
    <row r="169" spans="1:7" ht="15.75" hidden="1" thickBot="1" x14ac:dyDescent="0.3">
      <c r="A169" s="29">
        <f>'FS Aftale'!A171</f>
        <v>812</v>
      </c>
      <c r="B169" s="7" t="str">
        <f>'FS Aftale'!B171</f>
        <v>Vinter</v>
      </c>
      <c r="C169" s="51"/>
      <c r="D169" s="51"/>
      <c r="E169" s="51"/>
      <c r="F169" s="51"/>
      <c r="G169" s="51"/>
    </row>
    <row r="170" spans="1:7" ht="15.75" hidden="1" thickBot="1" x14ac:dyDescent="0.3">
      <c r="A170" s="30">
        <f>'FS Aftale'!A172</f>
        <v>813</v>
      </c>
      <c r="B170" s="5"/>
      <c r="C170" s="4" t="str">
        <f>'FS Aftale'!C172</f>
        <v>Saltning</v>
      </c>
      <c r="D170" s="48">
        <f>'FS Aftale'!E172</f>
        <v>450</v>
      </c>
      <c r="E170" s="48">
        <f>'FS Aftale'!F172</f>
        <v>112.5</v>
      </c>
      <c r="F170" s="48">
        <f>'FS Aftale'!G172</f>
        <v>562.5</v>
      </c>
      <c r="G170" s="48" t="str">
        <f>'FS Aftale'!H172</f>
        <v>Enhedspris</v>
      </c>
    </row>
    <row r="171" spans="1:7" ht="15.75" hidden="1" thickBot="1" x14ac:dyDescent="0.3">
      <c r="A171" s="30">
        <f>'FS Aftale'!A173</f>
        <v>814</v>
      </c>
      <c r="B171" s="5"/>
      <c r="C171" s="4" t="str">
        <f>'FS Aftale'!C173</f>
        <v>Snerydning inkl. saltning</v>
      </c>
      <c r="D171" s="48">
        <f>'FS Aftale'!E173</f>
        <v>625</v>
      </c>
      <c r="E171" s="48">
        <f>'FS Aftale'!F173</f>
        <v>156.25</v>
      </c>
      <c r="F171" s="48">
        <f>'FS Aftale'!G173</f>
        <v>781.25</v>
      </c>
      <c r="G171" s="48" t="str">
        <f>'FS Aftale'!H173</f>
        <v>Enhedspris</v>
      </c>
    </row>
    <row r="172" spans="1:7" ht="15.75" hidden="1" thickBot="1" x14ac:dyDescent="0.3">
      <c r="A172" s="30">
        <f>'FS Aftale'!A174</f>
        <v>815</v>
      </c>
      <c r="B172" s="5"/>
      <c r="C172" s="4" t="str">
        <f>'FS Aftale'!C174</f>
        <v>Sæsonovervågning</v>
      </c>
      <c r="D172" s="48">
        <f>'FS Aftale'!E174</f>
        <v>5000</v>
      </c>
      <c r="E172" s="48">
        <f>'FS Aftale'!F174</f>
        <v>1250</v>
      </c>
      <c r="F172" s="48">
        <f>'FS Aftale'!G174</f>
        <v>6250</v>
      </c>
      <c r="G172" s="48" t="str">
        <f>'FS Aftale'!H174</f>
        <v>Enhedspris</v>
      </c>
    </row>
  </sheetData>
  <mergeCells count="1">
    <mergeCell ref="B156:C156"/>
  </mergeCells>
  <pageMargins left="0.70866141732283472" right="0.70866141732283472" top="0.74803149606299213" bottom="0.74803149606299213" header="0.31496062992125984" footer="0.31496062992125984"/>
  <pageSetup paperSize="9" scale="5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G149"/>
  <sheetViews>
    <sheetView topLeftCell="B1" zoomScale="108" zoomScaleNormal="108" workbookViewId="0">
      <pane ySplit="3" topLeftCell="A4" activePane="bottomLeft" state="frozen"/>
      <selection activeCell="L4" sqref="L4"/>
      <selection pane="bottomLeft"/>
    </sheetView>
  </sheetViews>
  <sheetFormatPr defaultRowHeight="15" x14ac:dyDescent="0.25"/>
  <cols>
    <col min="1" max="1" width="5.140625" customWidth="1"/>
    <col min="2" max="2" width="19.7109375" customWidth="1"/>
    <col min="3" max="3" width="63.85546875" bestFit="1" customWidth="1"/>
    <col min="4" max="4" width="64.7109375" customWidth="1"/>
    <col min="5" max="5" width="64.5703125" bestFit="1" customWidth="1"/>
    <col min="6" max="6" width="26.7109375" customWidth="1"/>
    <col min="7" max="7" width="9.7109375" customWidth="1"/>
  </cols>
  <sheetData>
    <row r="1" spans="1:7" ht="39" thickBot="1" x14ac:dyDescent="0.3">
      <c r="A1" s="249" t="str">
        <f>Støtteark!$A$1</f>
        <v>SLA</v>
      </c>
      <c r="B1" s="249" t="str">
        <f>Støtteark!$B$1</f>
        <v>v. 1.3</v>
      </c>
      <c r="C1" s="249" t="str">
        <f>Støtteark!$C$1</f>
        <v>Init</v>
      </c>
      <c r="D1" s="249" t="str">
        <f>Støtteark!$C$4</f>
        <v>Kundenr.</v>
      </c>
      <c r="E1" s="249" t="str">
        <f>Støtteark!$C$5</f>
        <v>Ejendom</v>
      </c>
      <c r="F1" s="249" t="str">
        <f>Støtteark!$C$6</f>
        <v>Navn</v>
      </c>
      <c r="G1" s="249" t="str">
        <f>Støtteark!$C$7&amp;" "&amp;Støtteark!$C$8&amp;" "&amp;Støtteark!$C$9</f>
        <v>Adresse Postnr. By</v>
      </c>
    </row>
    <row r="2" spans="1:7" ht="15.75" thickBot="1" x14ac:dyDescent="0.3">
      <c r="A2" s="9"/>
      <c r="B2" s="9"/>
      <c r="C2" s="9"/>
      <c r="D2" s="9"/>
      <c r="E2" s="9"/>
      <c r="F2" s="9"/>
      <c r="G2" s="11"/>
    </row>
    <row r="3" spans="1:7" ht="15.75" thickBot="1" x14ac:dyDescent="0.3">
      <c r="A3" s="249" t="s">
        <v>3</v>
      </c>
      <c r="B3" s="249" t="s">
        <v>4</v>
      </c>
      <c r="C3" s="249" t="s">
        <v>54</v>
      </c>
      <c r="D3" s="249" t="s">
        <v>44</v>
      </c>
      <c r="E3" s="249" t="s">
        <v>0</v>
      </c>
      <c r="F3" s="249" t="s">
        <v>258</v>
      </c>
      <c r="G3" s="249"/>
    </row>
    <row r="4" spans="1:7" ht="15.75" hidden="1" thickBot="1" x14ac:dyDescent="0.3">
      <c r="A4" s="31"/>
      <c r="B4" s="9"/>
      <c r="C4" s="9"/>
      <c r="D4" s="9"/>
      <c r="E4" s="9"/>
      <c r="F4" s="9"/>
      <c r="G4" s="11"/>
    </row>
    <row r="5" spans="1:7" ht="26.25" hidden="1" thickBot="1" x14ac:dyDescent="0.3">
      <c r="A5" s="249">
        <v>100</v>
      </c>
      <c r="B5" s="249" t="s">
        <v>254</v>
      </c>
      <c r="C5" s="249"/>
      <c r="D5" s="249"/>
      <c r="E5" s="249"/>
      <c r="F5" s="249" t="s">
        <v>84</v>
      </c>
      <c r="G5" s="249"/>
    </row>
    <row r="6" spans="1:7" ht="39" hidden="1" thickBot="1" x14ac:dyDescent="0.3">
      <c r="A6" s="30">
        <v>101</v>
      </c>
      <c r="B6" s="5"/>
      <c r="C6" s="4" t="s">
        <v>114</v>
      </c>
      <c r="D6" s="5" t="s">
        <v>113</v>
      </c>
      <c r="E6" s="6" t="s">
        <v>168</v>
      </c>
      <c r="F6" s="9"/>
      <c r="G6" s="11"/>
    </row>
    <row r="7" spans="1:7" ht="15.75" hidden="1" thickBot="1" x14ac:dyDescent="0.3">
      <c r="A7" s="30">
        <v>102</v>
      </c>
      <c r="B7" s="5"/>
      <c r="C7" s="3" t="s">
        <v>115</v>
      </c>
      <c r="D7" s="5" t="s">
        <v>116</v>
      </c>
      <c r="E7" s="6" t="s">
        <v>176</v>
      </c>
      <c r="F7" s="9"/>
      <c r="G7" s="11"/>
    </row>
    <row r="8" spans="1:7" ht="26.25" hidden="1" thickBot="1" x14ac:dyDescent="0.3">
      <c r="A8" s="30">
        <v>103</v>
      </c>
      <c r="B8" s="5"/>
      <c r="C8" s="4" t="s">
        <v>322</v>
      </c>
      <c r="D8" s="5" t="s">
        <v>323</v>
      </c>
      <c r="E8" s="6" t="s">
        <v>169</v>
      </c>
      <c r="F8" s="9"/>
      <c r="G8" s="11"/>
    </row>
    <row r="9" spans="1:7" ht="15.75" thickBot="1" x14ac:dyDescent="0.3">
      <c r="A9" s="31"/>
      <c r="B9" s="1"/>
      <c r="C9" s="2"/>
      <c r="D9" s="2"/>
      <c r="E9" s="10"/>
      <c r="F9" s="9"/>
      <c r="G9" s="11"/>
    </row>
    <row r="10" spans="1:7" ht="15.75" thickBot="1" x14ac:dyDescent="0.3">
      <c r="A10" s="249">
        <v>200</v>
      </c>
      <c r="B10" s="249" t="s">
        <v>195</v>
      </c>
      <c r="C10" s="249"/>
      <c r="D10" s="249"/>
      <c r="E10" s="249"/>
      <c r="F10" s="249" t="s">
        <v>78</v>
      </c>
      <c r="G10" s="249"/>
    </row>
    <row r="11" spans="1:7" ht="77.25" thickBot="1" x14ac:dyDescent="0.3">
      <c r="A11" s="30">
        <v>201</v>
      </c>
      <c r="B11" s="5"/>
      <c r="C11" s="3" t="s">
        <v>5</v>
      </c>
      <c r="D11" s="5" t="s">
        <v>399</v>
      </c>
      <c r="E11" s="6" t="s">
        <v>170</v>
      </c>
      <c r="F11" s="9"/>
      <c r="G11" s="11"/>
    </row>
    <row r="12" spans="1:7" ht="26.25" thickBot="1" x14ac:dyDescent="0.3">
      <c r="A12" s="30">
        <v>202</v>
      </c>
      <c r="B12" s="5"/>
      <c r="C12" s="3" t="s">
        <v>6</v>
      </c>
      <c r="D12" s="5" t="s">
        <v>48</v>
      </c>
      <c r="E12" s="6" t="s">
        <v>303</v>
      </c>
      <c r="F12" s="9"/>
      <c r="G12" s="11"/>
    </row>
    <row r="13" spans="1:7" ht="26.25" thickBot="1" x14ac:dyDescent="0.3">
      <c r="A13" s="30">
        <v>203</v>
      </c>
      <c r="B13" s="5"/>
      <c r="C13" s="3" t="s">
        <v>8</v>
      </c>
      <c r="D13" s="5" t="s">
        <v>304</v>
      </c>
      <c r="E13" s="6" t="s">
        <v>67</v>
      </c>
      <c r="F13" s="9"/>
      <c r="G13" s="11"/>
    </row>
    <row r="14" spans="1:7" ht="39" thickBot="1" x14ac:dyDescent="0.3">
      <c r="A14" s="30">
        <v>204</v>
      </c>
      <c r="B14" s="5"/>
      <c r="C14" s="3" t="s">
        <v>7</v>
      </c>
      <c r="D14" s="5" t="s">
        <v>305</v>
      </c>
      <c r="E14" s="6" t="s">
        <v>167</v>
      </c>
      <c r="F14" s="9"/>
      <c r="G14" s="11"/>
    </row>
    <row r="15" spans="1:7" ht="15.75" thickBot="1" x14ac:dyDescent="0.3">
      <c r="A15" s="30">
        <v>205</v>
      </c>
      <c r="B15" s="5"/>
      <c r="C15" s="3" t="s">
        <v>97</v>
      </c>
      <c r="D15" s="5" t="s">
        <v>117</v>
      </c>
      <c r="E15" s="6" t="s">
        <v>409</v>
      </c>
      <c r="F15" s="9"/>
      <c r="G15" s="11"/>
    </row>
    <row r="16" spans="1:7" ht="39" hidden="1" thickBot="1" x14ac:dyDescent="0.3">
      <c r="A16" s="30">
        <v>206</v>
      </c>
      <c r="B16" s="5"/>
      <c r="C16" s="4" t="s">
        <v>70</v>
      </c>
      <c r="D16" s="5" t="s">
        <v>306</v>
      </c>
      <c r="E16" s="6" t="s">
        <v>171</v>
      </c>
      <c r="F16" s="9"/>
      <c r="G16" s="11"/>
    </row>
    <row r="17" spans="1:7" ht="39" thickBot="1" x14ac:dyDescent="0.3">
      <c r="A17" s="30">
        <v>207</v>
      </c>
      <c r="B17" s="132"/>
      <c r="C17" s="3" t="s">
        <v>324</v>
      </c>
      <c r="D17" s="5" t="s">
        <v>190</v>
      </c>
      <c r="E17" s="6" t="s">
        <v>178</v>
      </c>
      <c r="F17" s="9"/>
      <c r="G17" s="11"/>
    </row>
    <row r="18" spans="1:7" ht="26.25" hidden="1" thickBot="1" x14ac:dyDescent="0.3">
      <c r="A18" s="30">
        <v>208</v>
      </c>
      <c r="B18" s="132"/>
      <c r="C18" s="3" t="s">
        <v>344</v>
      </c>
      <c r="D18" s="5" t="s">
        <v>184</v>
      </c>
      <c r="E18" s="45" t="s">
        <v>185</v>
      </c>
      <c r="F18" s="9"/>
      <c r="G18" s="11"/>
    </row>
    <row r="19" spans="1:7" ht="26.25" hidden="1" thickBot="1" x14ac:dyDescent="0.3">
      <c r="A19" s="30">
        <v>209</v>
      </c>
      <c r="B19" s="5"/>
      <c r="C19" s="3" t="s">
        <v>295</v>
      </c>
      <c r="D19" s="5" t="s">
        <v>307</v>
      </c>
      <c r="E19" s="6" t="s">
        <v>46</v>
      </c>
      <c r="F19" s="9"/>
      <c r="G19" s="11"/>
    </row>
    <row r="20" spans="1:7" ht="15.75" thickBot="1" x14ac:dyDescent="0.3">
      <c r="A20" s="34"/>
      <c r="B20" s="9"/>
      <c r="C20" s="9"/>
      <c r="D20" s="9"/>
      <c r="E20" s="9"/>
      <c r="F20" s="9"/>
      <c r="G20" s="11"/>
    </row>
    <row r="21" spans="1:7" ht="15.75" thickBot="1" x14ac:dyDescent="0.3">
      <c r="A21" s="249">
        <v>300</v>
      </c>
      <c r="B21" s="249" t="s">
        <v>255</v>
      </c>
      <c r="C21" s="249"/>
      <c r="D21" s="249"/>
      <c r="E21" s="249"/>
      <c r="F21" s="249" t="s">
        <v>1</v>
      </c>
      <c r="G21" s="249"/>
    </row>
    <row r="22" spans="1:7" ht="39" thickBot="1" x14ac:dyDescent="0.3">
      <c r="A22" s="30">
        <v>301</v>
      </c>
      <c r="B22" s="5"/>
      <c r="C22" s="3" t="s">
        <v>15</v>
      </c>
      <c r="D22" s="5" t="s">
        <v>308</v>
      </c>
      <c r="E22" s="6" t="s">
        <v>118</v>
      </c>
      <c r="F22" s="9"/>
      <c r="G22" s="11"/>
    </row>
    <row r="23" spans="1:7" ht="64.5" thickBot="1" x14ac:dyDescent="0.3">
      <c r="A23" s="30">
        <v>302</v>
      </c>
      <c r="B23" s="5"/>
      <c r="C23" s="3" t="s">
        <v>96</v>
      </c>
      <c r="D23" s="5" t="s">
        <v>9</v>
      </c>
      <c r="E23" s="6" t="s">
        <v>410</v>
      </c>
      <c r="F23" s="9"/>
      <c r="G23" s="11"/>
    </row>
    <row r="24" spans="1:7" ht="26.25" thickBot="1" x14ac:dyDescent="0.3">
      <c r="A24" s="30">
        <v>303</v>
      </c>
      <c r="B24" s="5"/>
      <c r="C24" s="3" t="s">
        <v>10</v>
      </c>
      <c r="D24" s="5" t="s">
        <v>309</v>
      </c>
      <c r="E24" s="6" t="s">
        <v>411</v>
      </c>
      <c r="F24" s="9"/>
      <c r="G24" s="11"/>
    </row>
    <row r="25" spans="1:7" ht="26.25" thickBot="1" x14ac:dyDescent="0.3">
      <c r="A25" s="30">
        <v>304</v>
      </c>
      <c r="B25" s="5"/>
      <c r="C25" s="3" t="s">
        <v>119</v>
      </c>
      <c r="D25" s="5" t="s">
        <v>177</v>
      </c>
      <c r="E25" s="6" t="s">
        <v>411</v>
      </c>
      <c r="F25" s="9"/>
      <c r="G25" s="11"/>
    </row>
    <row r="26" spans="1:7" ht="26.25" hidden="1" thickBot="1" x14ac:dyDescent="0.3">
      <c r="A26" s="30">
        <v>305</v>
      </c>
      <c r="B26" s="5"/>
      <c r="C26" s="4" t="s">
        <v>41</v>
      </c>
      <c r="D26" s="5" t="s">
        <v>294</v>
      </c>
      <c r="E26" s="6" t="s">
        <v>169</v>
      </c>
      <c r="F26" s="9"/>
      <c r="G26" s="11"/>
    </row>
    <row r="27" spans="1:7" ht="51.75" thickBot="1" x14ac:dyDescent="0.3">
      <c r="A27" s="30">
        <v>306</v>
      </c>
      <c r="B27" s="5"/>
      <c r="C27" s="4" t="s">
        <v>11</v>
      </c>
      <c r="D27" s="5" t="s">
        <v>120</v>
      </c>
      <c r="E27" s="6" t="s">
        <v>381</v>
      </c>
      <c r="F27" s="9"/>
      <c r="G27" s="11"/>
    </row>
    <row r="28" spans="1:7" ht="15.75" hidden="1" thickBot="1" x14ac:dyDescent="0.3">
      <c r="A28" s="30">
        <v>307</v>
      </c>
      <c r="B28" s="3" t="s">
        <v>76</v>
      </c>
      <c r="C28" s="4"/>
      <c r="D28" s="43"/>
      <c r="E28" s="44"/>
      <c r="F28" s="9"/>
      <c r="G28" s="11"/>
    </row>
    <row r="29" spans="1:7" ht="39" thickBot="1" x14ac:dyDescent="0.3">
      <c r="A29" s="30">
        <v>308</v>
      </c>
      <c r="B29" s="5"/>
      <c r="C29" s="3" t="s">
        <v>16</v>
      </c>
      <c r="D29" s="5" t="s">
        <v>380</v>
      </c>
      <c r="E29" s="6" t="s">
        <v>193</v>
      </c>
      <c r="F29" s="9"/>
      <c r="G29" s="11"/>
    </row>
    <row r="30" spans="1:7" ht="39" hidden="1" thickBot="1" x14ac:dyDescent="0.3">
      <c r="A30" s="30">
        <v>309</v>
      </c>
      <c r="B30" s="5"/>
      <c r="C30" s="3" t="s">
        <v>17</v>
      </c>
      <c r="D30" s="5" t="s">
        <v>110</v>
      </c>
      <c r="E30" s="6" t="s">
        <v>193</v>
      </c>
      <c r="F30" s="9"/>
      <c r="G30" s="11"/>
    </row>
    <row r="31" spans="1:7" ht="15.75" hidden="1" thickBot="1" x14ac:dyDescent="0.3">
      <c r="A31" s="30">
        <v>310</v>
      </c>
      <c r="B31" s="3" t="s">
        <v>108</v>
      </c>
      <c r="C31" s="4"/>
      <c r="D31" s="43"/>
      <c r="E31" s="44"/>
      <c r="F31" s="9"/>
      <c r="G31" s="11"/>
    </row>
    <row r="32" spans="1:7" ht="64.5" thickBot="1" x14ac:dyDescent="0.3">
      <c r="A32" s="30">
        <v>311</v>
      </c>
      <c r="B32" s="5"/>
      <c r="C32" s="4" t="s">
        <v>21</v>
      </c>
      <c r="D32" s="5" t="s">
        <v>163</v>
      </c>
      <c r="E32" s="6" t="s">
        <v>98</v>
      </c>
      <c r="F32" s="9"/>
      <c r="G32" s="11"/>
    </row>
    <row r="33" spans="1:7" ht="26.25" thickBot="1" x14ac:dyDescent="0.3">
      <c r="A33" s="30">
        <v>312</v>
      </c>
      <c r="B33" s="5"/>
      <c r="C33" s="4" t="s">
        <v>20</v>
      </c>
      <c r="D33" s="5" t="s">
        <v>109</v>
      </c>
      <c r="E33" s="6" t="s">
        <v>172</v>
      </c>
      <c r="F33" s="9"/>
      <c r="G33" s="11"/>
    </row>
    <row r="34" spans="1:7" ht="26.25" thickBot="1" x14ac:dyDescent="0.3">
      <c r="A34" s="30">
        <v>313</v>
      </c>
      <c r="B34" s="3"/>
      <c r="C34" s="3" t="s">
        <v>18</v>
      </c>
      <c r="D34" s="5" t="s">
        <v>179</v>
      </c>
      <c r="E34" s="6" t="s">
        <v>412</v>
      </c>
      <c r="F34" s="9"/>
      <c r="G34" s="11"/>
    </row>
    <row r="35" spans="1:7" ht="26.25" hidden="1" thickBot="1" x14ac:dyDescent="0.3">
      <c r="A35" s="30">
        <v>314</v>
      </c>
      <c r="B35" s="3"/>
      <c r="C35" s="3" t="s">
        <v>19</v>
      </c>
      <c r="D35" s="5" t="s">
        <v>180</v>
      </c>
      <c r="E35" s="6" t="s">
        <v>412</v>
      </c>
      <c r="F35" s="9"/>
      <c r="G35" s="11"/>
    </row>
    <row r="36" spans="1:7" ht="26.25" hidden="1" thickBot="1" x14ac:dyDescent="0.3">
      <c r="A36" s="30">
        <v>315</v>
      </c>
      <c r="B36" s="3"/>
      <c r="C36" s="3" t="s">
        <v>22</v>
      </c>
      <c r="D36" s="5" t="s">
        <v>181</v>
      </c>
      <c r="E36" s="6" t="s">
        <v>412</v>
      </c>
      <c r="F36" s="9"/>
      <c r="G36" s="11"/>
    </row>
    <row r="37" spans="1:7" ht="15.75" hidden="1" thickBot="1" x14ac:dyDescent="0.3">
      <c r="A37" s="30">
        <v>316</v>
      </c>
      <c r="B37" s="5"/>
      <c r="C37" s="3" t="s">
        <v>23</v>
      </c>
      <c r="D37" s="5" t="s">
        <v>56</v>
      </c>
      <c r="E37" s="60" t="s">
        <v>131</v>
      </c>
      <c r="F37" s="9"/>
      <c r="G37" s="11"/>
    </row>
    <row r="38" spans="1:7" ht="25.5" hidden="1" thickBot="1" x14ac:dyDescent="0.3">
      <c r="A38" s="30">
        <v>317</v>
      </c>
      <c r="B38" s="132"/>
      <c r="C38" s="3" t="s">
        <v>349</v>
      </c>
      <c r="D38" s="5" t="s">
        <v>156</v>
      </c>
      <c r="E38" s="6" t="s">
        <v>246</v>
      </c>
      <c r="F38" s="9"/>
      <c r="G38" s="11"/>
    </row>
    <row r="39" spans="1:7" ht="26.25" hidden="1" thickBot="1" x14ac:dyDescent="0.3">
      <c r="A39" s="30">
        <v>318</v>
      </c>
      <c r="B39" s="132"/>
      <c r="C39" s="3" t="s">
        <v>382</v>
      </c>
      <c r="D39" s="5" t="s">
        <v>186</v>
      </c>
      <c r="E39" s="45" t="s">
        <v>183</v>
      </c>
      <c r="F39" s="9"/>
      <c r="G39" s="11"/>
    </row>
    <row r="40" spans="1:7" ht="39" hidden="1" thickBot="1" x14ac:dyDescent="0.3">
      <c r="A40" s="30">
        <v>319</v>
      </c>
      <c r="B40" s="132"/>
      <c r="C40" s="3" t="s">
        <v>350</v>
      </c>
      <c r="D40" s="5" t="s">
        <v>24</v>
      </c>
      <c r="E40" s="6" t="s">
        <v>160</v>
      </c>
      <c r="F40" s="9"/>
      <c r="G40" s="11"/>
    </row>
    <row r="41" spans="1:7" ht="26.25" hidden="1" thickBot="1" x14ac:dyDescent="0.3">
      <c r="A41" s="30">
        <v>320</v>
      </c>
      <c r="B41" s="5"/>
      <c r="C41" s="3" t="s">
        <v>25</v>
      </c>
      <c r="D41" s="5" t="s">
        <v>26</v>
      </c>
      <c r="E41" s="6" t="s">
        <v>122</v>
      </c>
      <c r="F41" s="9"/>
      <c r="G41" s="11"/>
    </row>
    <row r="42" spans="1:7" ht="15.75" hidden="1" thickBot="1" x14ac:dyDescent="0.3">
      <c r="A42" s="30">
        <v>321</v>
      </c>
      <c r="B42" s="26"/>
      <c r="C42" s="3" t="s">
        <v>339</v>
      </c>
      <c r="D42" s="5" t="s">
        <v>335</v>
      </c>
      <c r="E42" s="6" t="s">
        <v>413</v>
      </c>
      <c r="F42" s="9"/>
      <c r="G42" s="11"/>
    </row>
    <row r="43" spans="1:7" ht="179.25" hidden="1" thickBot="1" x14ac:dyDescent="0.3">
      <c r="A43" s="30">
        <v>322</v>
      </c>
      <c r="B43" s="26"/>
      <c r="C43" s="3" t="s">
        <v>331</v>
      </c>
      <c r="D43" s="5" t="s">
        <v>414</v>
      </c>
      <c r="E43" s="6" t="s">
        <v>415</v>
      </c>
      <c r="F43" s="9"/>
      <c r="G43" s="11"/>
    </row>
    <row r="44" spans="1:7" ht="15.75" hidden="1" thickBot="1" x14ac:dyDescent="0.3">
      <c r="A44" s="30">
        <v>323</v>
      </c>
      <c r="B44" s="26"/>
      <c r="C44" s="3" t="s">
        <v>332</v>
      </c>
      <c r="D44" s="5" t="s">
        <v>336</v>
      </c>
      <c r="E44" s="6" t="s">
        <v>413</v>
      </c>
      <c r="F44" s="9"/>
      <c r="G44" s="11"/>
    </row>
    <row r="45" spans="1:7" ht="15.75" hidden="1" thickBot="1" x14ac:dyDescent="0.3">
      <c r="A45" s="30">
        <v>324</v>
      </c>
      <c r="B45" s="26"/>
      <c r="C45" s="3" t="s">
        <v>333</v>
      </c>
      <c r="D45" s="5" t="s">
        <v>337</v>
      </c>
      <c r="E45" s="6" t="s">
        <v>413</v>
      </c>
      <c r="F45" s="9"/>
      <c r="G45" s="11"/>
    </row>
    <row r="46" spans="1:7" ht="15.75" hidden="1" thickBot="1" x14ac:dyDescent="0.3">
      <c r="A46" s="30">
        <v>325</v>
      </c>
      <c r="B46" s="26"/>
      <c r="C46" s="3" t="s">
        <v>334</v>
      </c>
      <c r="D46" s="5" t="s">
        <v>338</v>
      </c>
      <c r="E46" s="6" t="s">
        <v>413</v>
      </c>
      <c r="F46" s="9"/>
      <c r="G46" s="11"/>
    </row>
    <row r="47" spans="1:7" ht="15.75" thickBot="1" x14ac:dyDescent="0.3">
      <c r="A47" s="34"/>
      <c r="B47" s="9"/>
      <c r="C47" s="9"/>
      <c r="D47" s="9"/>
      <c r="E47" s="9"/>
      <c r="F47" s="9"/>
      <c r="G47" s="11"/>
    </row>
    <row r="48" spans="1:7" ht="15.75" thickBot="1" x14ac:dyDescent="0.3">
      <c r="A48" s="249">
        <v>400</v>
      </c>
      <c r="B48" s="249" t="s">
        <v>256</v>
      </c>
      <c r="C48" s="249"/>
      <c r="D48" s="249"/>
      <c r="E48" s="249"/>
      <c r="F48" s="249" t="s">
        <v>55</v>
      </c>
      <c r="G48" s="249"/>
    </row>
    <row r="49" spans="1:7" ht="77.25" thickBot="1" x14ac:dyDescent="0.3">
      <c r="A49" s="30">
        <v>401</v>
      </c>
      <c r="B49" s="5"/>
      <c r="C49" s="3" t="s">
        <v>28</v>
      </c>
      <c r="D49" s="5" t="s">
        <v>121</v>
      </c>
      <c r="E49" s="6" t="s">
        <v>161</v>
      </c>
      <c r="F49" s="9"/>
      <c r="G49" s="11"/>
    </row>
    <row r="50" spans="1:7" ht="64.5" thickBot="1" x14ac:dyDescent="0.3">
      <c r="A50" s="30">
        <v>402</v>
      </c>
      <c r="B50" s="5"/>
      <c r="C50" s="3" t="s">
        <v>241</v>
      </c>
      <c r="D50" s="5" t="s">
        <v>135</v>
      </c>
      <c r="E50" s="6" t="s">
        <v>162</v>
      </c>
      <c r="F50" s="9"/>
      <c r="G50" s="11"/>
    </row>
    <row r="51" spans="1:7" ht="26.25" thickBot="1" x14ac:dyDescent="0.3">
      <c r="A51" s="30">
        <v>403</v>
      </c>
      <c r="B51" s="5"/>
      <c r="C51" s="3" t="s">
        <v>240</v>
      </c>
      <c r="D51" s="5" t="s">
        <v>152</v>
      </c>
      <c r="E51" s="6" t="s">
        <v>310</v>
      </c>
      <c r="F51" s="9"/>
      <c r="G51" s="11"/>
    </row>
    <row r="52" spans="1:7" ht="26.25" thickBot="1" x14ac:dyDescent="0.3">
      <c r="A52" s="30">
        <v>404</v>
      </c>
      <c r="B52" s="26"/>
      <c r="C52" s="3" t="s">
        <v>124</v>
      </c>
      <c r="D52" s="5" t="s">
        <v>29</v>
      </c>
      <c r="E52" s="6" t="s">
        <v>319</v>
      </c>
      <c r="F52" s="10"/>
      <c r="G52" s="11"/>
    </row>
    <row r="53" spans="1:7" ht="15.75" hidden="1" thickBot="1" x14ac:dyDescent="0.3">
      <c r="A53" s="30">
        <v>405</v>
      </c>
      <c r="B53" s="5"/>
      <c r="C53" s="4" t="s">
        <v>153</v>
      </c>
      <c r="D53" s="5" t="s">
        <v>154</v>
      </c>
      <c r="E53" s="6" t="s">
        <v>155</v>
      </c>
      <c r="F53" s="9"/>
      <c r="G53" s="11"/>
    </row>
    <row r="54" spans="1:7" ht="44.25" hidden="1" customHeight="1" thickBot="1" x14ac:dyDescent="0.3">
      <c r="A54" s="30">
        <v>406</v>
      </c>
      <c r="B54" s="5"/>
      <c r="C54" s="3" t="s">
        <v>424</v>
      </c>
      <c r="D54" s="5" t="s">
        <v>420</v>
      </c>
      <c r="E54" s="267" t="s">
        <v>421</v>
      </c>
      <c r="F54" s="9"/>
      <c r="G54" s="11"/>
    </row>
    <row r="55" spans="1:7" ht="39" hidden="1" thickBot="1" x14ac:dyDescent="0.3">
      <c r="A55" s="30">
        <v>407</v>
      </c>
      <c r="B55" s="5"/>
      <c r="C55" s="3" t="s">
        <v>123</v>
      </c>
      <c r="D55" s="5" t="s">
        <v>311</v>
      </c>
      <c r="E55" s="6"/>
      <c r="F55" s="9"/>
      <c r="G55" s="11"/>
    </row>
    <row r="56" spans="1:7" ht="39" hidden="1" thickBot="1" x14ac:dyDescent="0.3">
      <c r="A56" s="30">
        <v>408</v>
      </c>
      <c r="B56" s="5"/>
      <c r="C56" s="3" t="s">
        <v>30</v>
      </c>
      <c r="D56" s="5" t="s">
        <v>60</v>
      </c>
      <c r="E56" s="6" t="s">
        <v>175</v>
      </c>
      <c r="F56" s="9"/>
      <c r="G56" s="11"/>
    </row>
    <row r="57" spans="1:7" ht="15.75" hidden="1" thickBot="1" x14ac:dyDescent="0.3">
      <c r="A57" s="30">
        <v>409</v>
      </c>
      <c r="B57" s="5"/>
      <c r="C57" s="3" t="s">
        <v>31</v>
      </c>
      <c r="D57" s="5" t="s">
        <v>32</v>
      </c>
      <c r="E57" s="6" t="s">
        <v>416</v>
      </c>
      <c r="F57" s="9"/>
      <c r="G57" s="11"/>
    </row>
    <row r="58" spans="1:7" ht="39" hidden="1" thickBot="1" x14ac:dyDescent="0.3">
      <c r="A58" s="30">
        <v>410</v>
      </c>
      <c r="B58" s="5"/>
      <c r="C58" s="3" t="s">
        <v>312</v>
      </c>
      <c r="D58" s="5" t="s">
        <v>126</v>
      </c>
      <c r="E58" s="6" t="s">
        <v>313</v>
      </c>
      <c r="F58" s="9"/>
      <c r="G58" s="11"/>
    </row>
    <row r="59" spans="1:7" ht="39" hidden="1" thickBot="1" x14ac:dyDescent="0.3">
      <c r="A59" s="30">
        <v>411</v>
      </c>
      <c r="B59" s="5"/>
      <c r="C59" s="3" t="s">
        <v>314</v>
      </c>
      <c r="D59" s="5" t="s">
        <v>61</v>
      </c>
      <c r="E59" s="6" t="s">
        <v>313</v>
      </c>
      <c r="F59" s="9"/>
      <c r="G59" s="11"/>
    </row>
    <row r="60" spans="1:7" ht="64.5" hidden="1" thickBot="1" x14ac:dyDescent="0.3">
      <c r="A60" s="30">
        <v>412</v>
      </c>
      <c r="B60" s="5"/>
      <c r="C60" s="3" t="s">
        <v>315</v>
      </c>
      <c r="D60" s="5" t="s">
        <v>73</v>
      </c>
      <c r="E60" s="6" t="s">
        <v>340</v>
      </c>
      <c r="F60" s="9"/>
      <c r="G60" s="11"/>
    </row>
    <row r="61" spans="1:7" ht="26.25" hidden="1" thickBot="1" x14ac:dyDescent="0.3">
      <c r="A61" s="30">
        <v>413</v>
      </c>
      <c r="B61" s="5"/>
      <c r="C61" s="3" t="s">
        <v>33</v>
      </c>
      <c r="D61" s="5" t="s">
        <v>316</v>
      </c>
      <c r="E61" s="6" t="s">
        <v>400</v>
      </c>
      <c r="F61" s="9"/>
      <c r="G61" s="11"/>
    </row>
    <row r="62" spans="1:7" ht="26.25" hidden="1" thickBot="1" x14ac:dyDescent="0.3">
      <c r="A62" s="30">
        <v>414</v>
      </c>
      <c r="B62" s="5"/>
      <c r="C62" s="3" t="s">
        <v>34</v>
      </c>
      <c r="D62" s="5" t="s">
        <v>62</v>
      </c>
      <c r="E62" s="6" t="s">
        <v>400</v>
      </c>
      <c r="F62" s="9"/>
      <c r="G62" s="11"/>
    </row>
    <row r="63" spans="1:7" ht="26.25" hidden="1" thickBot="1" x14ac:dyDescent="0.3">
      <c r="A63" s="30">
        <v>415</v>
      </c>
      <c r="B63" s="5"/>
      <c r="C63" s="3" t="s">
        <v>35</v>
      </c>
      <c r="D63" s="5" t="s">
        <v>63</v>
      </c>
      <c r="E63" s="6" t="s">
        <v>64</v>
      </c>
      <c r="F63" s="9"/>
      <c r="G63" s="11"/>
    </row>
    <row r="64" spans="1:7" ht="26.25" hidden="1" thickBot="1" x14ac:dyDescent="0.3">
      <c r="A64" s="30">
        <v>416</v>
      </c>
      <c r="B64" s="5"/>
      <c r="C64" s="3" t="s">
        <v>36</v>
      </c>
      <c r="D64" s="5" t="s">
        <v>66</v>
      </c>
      <c r="E64" s="6" t="s">
        <v>401</v>
      </c>
      <c r="F64" s="9"/>
      <c r="G64" s="11"/>
    </row>
    <row r="65" spans="1:7" ht="15.75" hidden="1" thickBot="1" x14ac:dyDescent="0.3">
      <c r="A65" s="30">
        <v>417</v>
      </c>
      <c r="B65" s="5"/>
      <c r="C65" s="3" t="s">
        <v>58</v>
      </c>
      <c r="D65" s="5" t="s">
        <v>65</v>
      </c>
      <c r="E65" s="6" t="s">
        <v>243</v>
      </c>
      <c r="F65" s="9"/>
      <c r="G65" s="11"/>
    </row>
    <row r="66" spans="1:7" ht="15.75" hidden="1" thickBot="1" x14ac:dyDescent="0.3">
      <c r="A66" s="30">
        <v>418</v>
      </c>
      <c r="B66" s="5"/>
      <c r="C66" s="3" t="s">
        <v>59</v>
      </c>
      <c r="D66" s="5" t="s">
        <v>74</v>
      </c>
      <c r="E66" s="6" t="s">
        <v>243</v>
      </c>
      <c r="F66" s="9"/>
      <c r="G66" s="11"/>
    </row>
    <row r="67" spans="1:7" ht="15.75" hidden="1" thickBot="1" x14ac:dyDescent="0.3">
      <c r="A67" s="30">
        <v>419</v>
      </c>
      <c r="B67" s="5"/>
      <c r="C67" s="4" t="s">
        <v>49</v>
      </c>
      <c r="D67" s="5" t="s">
        <v>68</v>
      </c>
      <c r="E67" s="6" t="s">
        <v>46</v>
      </c>
      <c r="F67" s="9"/>
      <c r="G67" s="11"/>
    </row>
    <row r="68" spans="1:7" ht="39" thickBot="1" x14ac:dyDescent="0.3">
      <c r="A68" s="30">
        <v>420</v>
      </c>
      <c r="B68" s="132"/>
      <c r="C68" s="3" t="s">
        <v>325</v>
      </c>
      <c r="D68" s="5" t="s">
        <v>383</v>
      </c>
      <c r="E68" s="6" t="s">
        <v>178</v>
      </c>
      <c r="F68" s="9"/>
      <c r="G68" s="11"/>
    </row>
    <row r="69" spans="1:7" ht="26.25" hidden="1" thickBot="1" x14ac:dyDescent="0.3">
      <c r="A69" s="30">
        <v>421</v>
      </c>
      <c r="B69" s="3" t="s">
        <v>326</v>
      </c>
      <c r="C69" s="133"/>
      <c r="D69" s="43"/>
      <c r="E69" s="44"/>
      <c r="F69" s="9"/>
      <c r="G69" s="11"/>
    </row>
    <row r="70" spans="1:7" ht="26.25" hidden="1" thickBot="1" x14ac:dyDescent="0.3">
      <c r="A70" s="30">
        <v>422</v>
      </c>
      <c r="B70" s="132"/>
      <c r="C70" s="3" t="s">
        <v>343</v>
      </c>
      <c r="D70" s="5" t="s">
        <v>125</v>
      </c>
      <c r="E70" s="6" t="s">
        <v>402</v>
      </c>
      <c r="F70" s="9"/>
      <c r="G70" s="11"/>
    </row>
    <row r="71" spans="1:7" ht="26.25" hidden="1" thickBot="1" x14ac:dyDescent="0.3">
      <c r="A71" s="30">
        <v>423</v>
      </c>
      <c r="B71" s="132"/>
      <c r="C71" s="4" t="s">
        <v>342</v>
      </c>
      <c r="D71" s="5" t="s">
        <v>137</v>
      </c>
      <c r="E71" s="6" t="s">
        <v>173</v>
      </c>
      <c r="F71" s="9"/>
      <c r="G71" s="11"/>
    </row>
    <row r="72" spans="1:7" ht="26.25" hidden="1" thickBot="1" x14ac:dyDescent="0.3">
      <c r="A72" s="30">
        <v>424</v>
      </c>
      <c r="B72" s="5"/>
      <c r="C72" s="4" t="s">
        <v>127</v>
      </c>
      <c r="D72" s="5" t="s">
        <v>138</v>
      </c>
      <c r="E72" s="6" t="s">
        <v>173</v>
      </c>
      <c r="F72" s="9"/>
      <c r="G72" s="11"/>
    </row>
    <row r="73" spans="1:7" ht="26.25" hidden="1" thickBot="1" x14ac:dyDescent="0.3">
      <c r="A73" s="30">
        <v>425</v>
      </c>
      <c r="B73" s="5"/>
      <c r="C73" s="4" t="s">
        <v>128</v>
      </c>
      <c r="D73" s="5" t="s">
        <v>139</v>
      </c>
      <c r="E73" s="6" t="s">
        <v>173</v>
      </c>
      <c r="F73" s="9"/>
      <c r="G73" s="11"/>
    </row>
    <row r="74" spans="1:7" ht="15.75" thickBot="1" x14ac:dyDescent="0.3">
      <c r="A74" s="31"/>
      <c r="B74" s="1"/>
      <c r="C74" s="2"/>
      <c r="D74" s="1"/>
      <c r="E74" s="46"/>
      <c r="F74" s="9"/>
      <c r="G74" s="11"/>
    </row>
    <row r="75" spans="1:7" ht="15.75" thickBot="1" x14ac:dyDescent="0.3">
      <c r="A75" s="249">
        <v>500</v>
      </c>
      <c r="B75" s="249" t="s">
        <v>257</v>
      </c>
      <c r="C75" s="249"/>
      <c r="D75" s="249"/>
      <c r="E75" s="249"/>
      <c r="F75" s="249" t="s">
        <v>69</v>
      </c>
      <c r="G75" s="249"/>
    </row>
    <row r="76" spans="1:7" ht="26.25" hidden="1" thickBot="1" x14ac:dyDescent="0.3">
      <c r="A76" s="30">
        <v>501</v>
      </c>
      <c r="B76" s="132"/>
      <c r="C76" s="3" t="s">
        <v>345</v>
      </c>
      <c r="D76" s="5" t="s">
        <v>79</v>
      </c>
      <c r="E76" s="6" t="s">
        <v>147</v>
      </c>
      <c r="F76" s="9"/>
      <c r="G76" s="11"/>
    </row>
    <row r="77" spans="1:7" ht="25.5" hidden="1" thickBot="1" x14ac:dyDescent="0.3">
      <c r="A77" s="30">
        <v>502</v>
      </c>
      <c r="B77" s="132"/>
      <c r="C77" s="3" t="s">
        <v>346</v>
      </c>
      <c r="D77" s="5" t="s">
        <v>147</v>
      </c>
      <c r="E77" s="6" t="s">
        <v>174</v>
      </c>
      <c r="F77" s="9"/>
      <c r="G77" s="11"/>
    </row>
    <row r="78" spans="1:7" ht="25.5" hidden="1" thickBot="1" x14ac:dyDescent="0.3">
      <c r="A78" s="30">
        <v>503</v>
      </c>
      <c r="B78" s="132"/>
      <c r="C78" s="3" t="s">
        <v>347</v>
      </c>
      <c r="D78" s="5" t="s">
        <v>147</v>
      </c>
      <c r="E78" s="6" t="s">
        <v>174</v>
      </c>
      <c r="F78" s="9"/>
      <c r="G78" s="11"/>
    </row>
    <row r="79" spans="1:7" ht="25.5" hidden="1" thickBot="1" x14ac:dyDescent="0.3">
      <c r="A79" s="30">
        <v>504</v>
      </c>
      <c r="B79" s="132"/>
      <c r="C79" s="3" t="s">
        <v>348</v>
      </c>
      <c r="D79" s="5" t="s">
        <v>147</v>
      </c>
      <c r="E79" s="6" t="s">
        <v>148</v>
      </c>
      <c r="F79" s="9"/>
      <c r="G79" s="11"/>
    </row>
    <row r="80" spans="1:7" ht="26.25" hidden="1" thickBot="1" x14ac:dyDescent="0.3">
      <c r="A80" s="30">
        <v>505</v>
      </c>
      <c r="B80" s="3" t="s">
        <v>129</v>
      </c>
      <c r="C80" s="4"/>
      <c r="D80" s="43"/>
      <c r="E80" s="44"/>
      <c r="F80" s="9"/>
      <c r="G80" s="11"/>
    </row>
    <row r="81" spans="1:7" ht="15.75" thickBot="1" x14ac:dyDescent="0.3">
      <c r="A81" s="30">
        <v>506</v>
      </c>
      <c r="B81" s="5"/>
      <c r="C81" s="3" t="s">
        <v>103</v>
      </c>
      <c r="D81" s="5" t="s">
        <v>141</v>
      </c>
      <c r="E81" s="6" t="s">
        <v>142</v>
      </c>
      <c r="F81" s="9"/>
      <c r="G81" s="11"/>
    </row>
    <row r="82" spans="1:7" ht="15.75" thickBot="1" x14ac:dyDescent="0.3">
      <c r="A82" s="30">
        <v>507</v>
      </c>
      <c r="B82" s="5"/>
      <c r="C82" s="3" t="s">
        <v>104</v>
      </c>
      <c r="D82" s="5" t="s">
        <v>143</v>
      </c>
      <c r="E82" s="6" t="s">
        <v>142</v>
      </c>
      <c r="F82" s="9"/>
      <c r="G82" s="11"/>
    </row>
    <row r="83" spans="1:7" ht="15.75" thickBot="1" x14ac:dyDescent="0.3">
      <c r="A83" s="30">
        <v>508</v>
      </c>
      <c r="B83" s="5"/>
      <c r="C83" s="3" t="s">
        <v>320</v>
      </c>
      <c r="D83" s="5" t="s">
        <v>321</v>
      </c>
      <c r="E83" s="6" t="s">
        <v>144</v>
      </c>
      <c r="F83" s="9"/>
      <c r="G83" s="11"/>
    </row>
    <row r="84" spans="1:7" ht="15.75" thickBot="1" x14ac:dyDescent="0.3">
      <c r="A84" s="30">
        <v>509</v>
      </c>
      <c r="B84" s="5"/>
      <c r="C84" s="3" t="s">
        <v>130</v>
      </c>
      <c r="D84" s="59" t="s">
        <v>131</v>
      </c>
      <c r="E84" s="6" t="s">
        <v>144</v>
      </c>
      <c r="F84" s="9"/>
      <c r="G84" s="11"/>
    </row>
    <row r="85" spans="1:7" ht="15.75" thickBot="1" x14ac:dyDescent="0.3">
      <c r="A85" s="30">
        <v>510</v>
      </c>
      <c r="B85" s="5"/>
      <c r="C85" s="3" t="s">
        <v>40</v>
      </c>
      <c r="D85" s="59" t="s">
        <v>131</v>
      </c>
      <c r="E85" s="6" t="s">
        <v>144</v>
      </c>
      <c r="F85" s="9"/>
      <c r="G85" s="11"/>
    </row>
    <row r="86" spans="1:7" ht="26.25" hidden="1" thickBot="1" x14ac:dyDescent="0.3">
      <c r="A86" s="30">
        <v>511</v>
      </c>
      <c r="B86" s="5"/>
      <c r="C86" s="3" t="s">
        <v>100</v>
      </c>
      <c r="D86" s="5" t="s">
        <v>72</v>
      </c>
      <c r="E86" s="6" t="s">
        <v>144</v>
      </c>
      <c r="F86" s="9"/>
      <c r="G86" s="11"/>
    </row>
    <row r="87" spans="1:7" ht="15.75" hidden="1" thickBot="1" x14ac:dyDescent="0.3">
      <c r="A87" s="30">
        <v>512</v>
      </c>
      <c r="B87" s="3" t="s">
        <v>75</v>
      </c>
      <c r="C87" s="4" t="s">
        <v>131</v>
      </c>
      <c r="D87" s="43"/>
      <c r="E87" s="44"/>
      <c r="F87" s="9"/>
      <c r="G87" s="11"/>
    </row>
    <row r="88" spans="1:7" ht="51.75" hidden="1" thickBot="1" x14ac:dyDescent="0.3">
      <c r="A88" s="30">
        <v>513</v>
      </c>
      <c r="B88" s="5"/>
      <c r="C88" s="3" t="s">
        <v>102</v>
      </c>
      <c r="D88" s="5" t="s">
        <v>164</v>
      </c>
      <c r="E88" s="6" t="s">
        <v>341</v>
      </c>
      <c r="F88" s="9"/>
      <c r="G88" s="11"/>
    </row>
    <row r="89" spans="1:7" ht="26.25" hidden="1" thickBot="1" x14ac:dyDescent="0.3">
      <c r="A89" s="30">
        <v>514</v>
      </c>
      <c r="B89" s="5"/>
      <c r="C89" s="3" t="s">
        <v>37</v>
      </c>
      <c r="D89" s="5" t="s">
        <v>165</v>
      </c>
      <c r="E89" s="6" t="s">
        <v>144</v>
      </c>
      <c r="F89" s="9"/>
      <c r="G89" s="11"/>
    </row>
    <row r="90" spans="1:7" ht="15.75" hidden="1" thickBot="1" x14ac:dyDescent="0.3">
      <c r="A90" s="30">
        <v>515</v>
      </c>
      <c r="B90" s="5"/>
      <c r="C90" s="3" t="s">
        <v>38</v>
      </c>
      <c r="D90" s="5" t="s">
        <v>50</v>
      </c>
      <c r="E90" s="6" t="s">
        <v>144</v>
      </c>
      <c r="F90" s="9"/>
      <c r="G90" s="11"/>
    </row>
    <row r="91" spans="1:7" ht="15.75" hidden="1" thickBot="1" x14ac:dyDescent="0.3">
      <c r="A91" s="30">
        <v>516</v>
      </c>
      <c r="B91" s="5"/>
      <c r="C91" s="3" t="s">
        <v>99</v>
      </c>
      <c r="D91" s="59" t="s">
        <v>131</v>
      </c>
      <c r="E91" s="6" t="s">
        <v>144</v>
      </c>
      <c r="F91" s="9"/>
      <c r="G91" s="11"/>
    </row>
    <row r="92" spans="1:7" ht="15.75" hidden="1" thickBot="1" x14ac:dyDescent="0.3">
      <c r="A92" s="30">
        <v>517</v>
      </c>
      <c r="B92" s="5"/>
      <c r="C92" s="3" t="s">
        <v>40</v>
      </c>
      <c r="D92" s="59" t="s">
        <v>131</v>
      </c>
      <c r="E92" s="6" t="s">
        <v>144</v>
      </c>
      <c r="F92" s="9"/>
      <c r="G92" s="11"/>
    </row>
    <row r="93" spans="1:7" ht="26.25" hidden="1" thickBot="1" x14ac:dyDescent="0.3">
      <c r="A93" s="30">
        <v>518</v>
      </c>
      <c r="B93" s="5"/>
      <c r="C93" s="3" t="s">
        <v>39</v>
      </c>
      <c r="D93" s="5" t="s">
        <v>101</v>
      </c>
      <c r="E93" s="6" t="s">
        <v>145</v>
      </c>
      <c r="F93" s="9"/>
      <c r="G93" s="11"/>
    </row>
    <row r="94" spans="1:7" ht="39" hidden="1" thickBot="1" x14ac:dyDescent="0.3">
      <c r="A94" s="30">
        <v>519</v>
      </c>
      <c r="B94" s="3" t="s">
        <v>132</v>
      </c>
      <c r="C94" s="4"/>
      <c r="D94" s="43"/>
      <c r="E94" s="44"/>
      <c r="F94" s="9"/>
      <c r="G94" s="11"/>
    </row>
    <row r="95" spans="1:7" ht="39" hidden="1" thickBot="1" x14ac:dyDescent="0.3">
      <c r="A95" s="30">
        <v>520</v>
      </c>
      <c r="B95" s="5"/>
      <c r="C95" s="3" t="s">
        <v>133</v>
      </c>
      <c r="D95" s="5" t="s">
        <v>51</v>
      </c>
      <c r="E95" s="6" t="s">
        <v>146</v>
      </c>
      <c r="F95" s="9"/>
      <c r="G95" s="11"/>
    </row>
    <row r="96" spans="1:7" ht="39" hidden="1" thickBot="1" x14ac:dyDescent="0.3">
      <c r="A96" s="30">
        <v>521</v>
      </c>
      <c r="B96" s="5"/>
      <c r="C96" s="3" t="s">
        <v>134</v>
      </c>
      <c r="D96" s="5" t="s">
        <v>403</v>
      </c>
      <c r="E96" s="6" t="s">
        <v>317</v>
      </c>
      <c r="F96" s="9"/>
      <c r="G96" s="11"/>
    </row>
    <row r="97" spans="1:7" ht="39" hidden="1" thickBot="1" x14ac:dyDescent="0.3">
      <c r="A97" s="30">
        <v>522</v>
      </c>
      <c r="B97" s="5"/>
      <c r="C97" s="3" t="s">
        <v>140</v>
      </c>
      <c r="D97" s="5" t="s">
        <v>71</v>
      </c>
      <c r="E97" s="6" t="s">
        <v>317</v>
      </c>
      <c r="F97" s="9"/>
      <c r="G97" s="11"/>
    </row>
    <row r="98" spans="1:7" ht="15.75" hidden="1" thickBot="1" x14ac:dyDescent="0.3">
      <c r="A98" s="30">
        <v>523</v>
      </c>
      <c r="B98" s="5"/>
      <c r="C98" s="3" t="s">
        <v>130</v>
      </c>
      <c r="D98" s="59" t="s">
        <v>131</v>
      </c>
      <c r="E98" s="6" t="s">
        <v>144</v>
      </c>
      <c r="F98" s="9"/>
      <c r="G98" s="11"/>
    </row>
    <row r="99" spans="1:7" ht="15.75" hidden="1" thickBot="1" x14ac:dyDescent="0.3">
      <c r="A99" s="30">
        <v>524</v>
      </c>
      <c r="B99" s="5"/>
      <c r="C99" s="3" t="s">
        <v>40</v>
      </c>
      <c r="D99" s="5" t="s">
        <v>57</v>
      </c>
      <c r="E99" s="6" t="s">
        <v>144</v>
      </c>
      <c r="F99" s="9"/>
      <c r="G99" s="11"/>
    </row>
    <row r="100" spans="1:7" ht="15.75" hidden="1" thickBot="1" x14ac:dyDescent="0.3">
      <c r="A100" s="34"/>
      <c r="B100" s="9"/>
      <c r="C100" s="9"/>
      <c r="D100" s="9"/>
      <c r="E100" s="9"/>
      <c r="F100" s="9"/>
      <c r="G100" s="11"/>
    </row>
    <row r="101" spans="1:7" ht="15.75" hidden="1" thickBot="1" x14ac:dyDescent="0.3">
      <c r="A101" s="249">
        <v>600</v>
      </c>
      <c r="B101" s="249" t="s">
        <v>239</v>
      </c>
      <c r="C101" s="249"/>
      <c r="D101" s="249"/>
      <c r="E101" s="249"/>
      <c r="F101" s="249" t="s">
        <v>84</v>
      </c>
      <c r="G101" s="249"/>
    </row>
    <row r="102" spans="1:7" ht="15.75" hidden="1" thickBot="1" x14ac:dyDescent="0.3">
      <c r="A102" s="30">
        <v>601</v>
      </c>
      <c r="B102" s="5"/>
      <c r="C102" s="3" t="s">
        <v>42</v>
      </c>
      <c r="D102" s="5" t="s">
        <v>52</v>
      </c>
      <c r="E102" s="6" t="s">
        <v>144</v>
      </c>
      <c r="F102" s="9"/>
      <c r="G102" s="11"/>
    </row>
    <row r="103" spans="1:7" ht="15.75" hidden="1" thickBot="1" x14ac:dyDescent="0.3">
      <c r="A103" s="30">
        <v>602</v>
      </c>
      <c r="B103" s="5"/>
      <c r="C103" s="3" t="s">
        <v>43</v>
      </c>
      <c r="D103" s="5" t="s">
        <v>53</v>
      </c>
      <c r="E103" s="6" t="s">
        <v>149</v>
      </c>
      <c r="F103" s="9"/>
      <c r="G103" s="11"/>
    </row>
    <row r="104" spans="1:7" ht="26.25" hidden="1" thickBot="1" x14ac:dyDescent="0.3">
      <c r="A104" s="30">
        <v>603</v>
      </c>
      <c r="B104" s="5"/>
      <c r="C104" s="3" t="s">
        <v>106</v>
      </c>
      <c r="D104" s="5" t="s">
        <v>244</v>
      </c>
      <c r="E104" s="6" t="s">
        <v>144</v>
      </c>
      <c r="F104" s="9"/>
      <c r="G104" s="11"/>
    </row>
    <row r="105" spans="1:7" ht="15.75" thickBot="1" x14ac:dyDescent="0.3">
      <c r="A105" s="34"/>
      <c r="B105" s="9"/>
      <c r="C105" s="9"/>
      <c r="D105" s="9"/>
      <c r="E105" s="9"/>
      <c r="F105" s="9"/>
      <c r="G105" s="11"/>
    </row>
    <row r="106" spans="1:7" ht="15.75" thickBot="1" x14ac:dyDescent="0.3">
      <c r="A106" s="249">
        <v>700</v>
      </c>
      <c r="B106" s="249" t="s">
        <v>47</v>
      </c>
      <c r="C106" s="249"/>
      <c r="D106" s="249"/>
      <c r="E106" s="249"/>
      <c r="F106" s="249" t="s">
        <v>77</v>
      </c>
      <c r="G106" s="249"/>
    </row>
    <row r="107" spans="1:7" ht="26.25" thickBot="1" x14ac:dyDescent="0.3">
      <c r="A107" s="30">
        <v>701</v>
      </c>
      <c r="B107" s="4"/>
      <c r="C107" s="3" t="s">
        <v>13</v>
      </c>
      <c r="D107" s="5" t="s">
        <v>191</v>
      </c>
      <c r="E107" s="6"/>
      <c r="F107" s="9"/>
      <c r="G107" s="11"/>
    </row>
    <row r="108" spans="1:7" ht="102.75" thickBot="1" x14ac:dyDescent="0.3">
      <c r="A108" s="30">
        <v>702</v>
      </c>
      <c r="B108" s="4"/>
      <c r="C108" s="3" t="s">
        <v>14</v>
      </c>
      <c r="D108" s="5" t="s">
        <v>404</v>
      </c>
      <c r="E108" s="6" t="s">
        <v>405</v>
      </c>
      <c r="F108" s="9"/>
      <c r="G108" s="11"/>
    </row>
    <row r="109" spans="1:7" ht="39" thickBot="1" x14ac:dyDescent="0.3">
      <c r="A109" s="30">
        <v>703</v>
      </c>
      <c r="B109" s="4"/>
      <c r="C109" s="3" t="s">
        <v>12</v>
      </c>
      <c r="D109" s="5" t="s">
        <v>192</v>
      </c>
      <c r="E109" s="6" t="s">
        <v>406</v>
      </c>
      <c r="F109" s="9"/>
      <c r="G109" s="11"/>
    </row>
    <row r="110" spans="1:7" ht="26.25" thickBot="1" x14ac:dyDescent="0.3">
      <c r="A110" s="30">
        <v>704</v>
      </c>
      <c r="B110" s="4"/>
      <c r="C110" s="3" t="s">
        <v>207</v>
      </c>
      <c r="D110" s="5" t="s">
        <v>194</v>
      </c>
      <c r="E110" s="6" t="s">
        <v>242</v>
      </c>
      <c r="F110" s="9"/>
      <c r="G110" s="11"/>
    </row>
    <row r="111" spans="1:7" ht="15.75" hidden="1" thickBot="1" x14ac:dyDescent="0.3">
      <c r="A111" s="34"/>
      <c r="B111" s="9"/>
      <c r="C111" s="9"/>
      <c r="D111" s="9"/>
      <c r="E111" s="9"/>
      <c r="F111" s="9"/>
      <c r="G111" s="11"/>
    </row>
    <row r="112" spans="1:7" ht="39" hidden="1" thickBot="1" x14ac:dyDescent="0.3">
      <c r="A112" s="249">
        <v>800</v>
      </c>
      <c r="B112" s="249" t="s">
        <v>245</v>
      </c>
      <c r="C112" s="249"/>
      <c r="D112" s="249"/>
      <c r="E112" s="249"/>
      <c r="F112" s="249" t="s">
        <v>189</v>
      </c>
      <c r="G112" s="249"/>
    </row>
    <row r="113" spans="1:7" ht="26.25" hidden="1" thickBot="1" x14ac:dyDescent="0.3">
      <c r="A113" s="30">
        <v>801</v>
      </c>
      <c r="B113" s="3" t="s">
        <v>157</v>
      </c>
      <c r="C113" s="4"/>
      <c r="D113" s="43"/>
      <c r="E113" s="44"/>
      <c r="F113" s="9"/>
      <c r="G113" s="11"/>
    </row>
    <row r="114" spans="1:7" ht="15.75" hidden="1" thickBot="1" x14ac:dyDescent="0.3">
      <c r="A114" s="30">
        <v>802</v>
      </c>
      <c r="B114" s="5"/>
      <c r="C114" s="3" t="s">
        <v>151</v>
      </c>
      <c r="D114" s="5" t="s">
        <v>111</v>
      </c>
      <c r="E114" s="6" t="s">
        <v>158</v>
      </c>
      <c r="F114" s="9"/>
      <c r="G114" s="11"/>
    </row>
    <row r="115" spans="1:7" ht="15.75" hidden="1" thickBot="1" x14ac:dyDescent="0.3">
      <c r="A115" s="30">
        <v>803</v>
      </c>
      <c r="B115" s="5"/>
      <c r="C115" s="3" t="s">
        <v>27</v>
      </c>
      <c r="D115" s="5" t="s">
        <v>166</v>
      </c>
      <c r="E115" s="60" t="s">
        <v>131</v>
      </c>
      <c r="F115" s="9"/>
      <c r="G115" s="11"/>
    </row>
    <row r="116" spans="1:7" ht="15.75" hidden="1" thickBot="1" x14ac:dyDescent="0.3">
      <c r="A116" s="30">
        <v>804</v>
      </c>
      <c r="B116" s="5"/>
      <c r="C116" s="3" t="s">
        <v>112</v>
      </c>
      <c r="D116" s="5" t="s">
        <v>166</v>
      </c>
      <c r="E116" s="6" t="s">
        <v>158</v>
      </c>
      <c r="F116" s="9"/>
      <c r="G116" s="11"/>
    </row>
    <row r="117" spans="1:7" ht="15.75" hidden="1" thickBot="1" x14ac:dyDescent="0.3">
      <c r="A117" s="30">
        <v>805</v>
      </c>
      <c r="B117" s="5"/>
      <c r="C117" s="3" t="s">
        <v>247</v>
      </c>
      <c r="D117" s="5" t="s">
        <v>166</v>
      </c>
      <c r="E117" s="6" t="s">
        <v>158</v>
      </c>
      <c r="F117" s="9"/>
      <c r="G117" s="11"/>
    </row>
    <row r="118" spans="1:7" ht="15.75" hidden="1" thickBot="1" x14ac:dyDescent="0.3">
      <c r="A118" s="30">
        <v>806</v>
      </c>
      <c r="B118" s="5"/>
      <c r="C118" s="3" t="s">
        <v>159</v>
      </c>
      <c r="D118" s="5" t="s">
        <v>166</v>
      </c>
      <c r="E118" s="60" t="s">
        <v>131</v>
      </c>
      <c r="F118" s="9"/>
      <c r="G118" s="11"/>
    </row>
    <row r="119" spans="1:7" ht="15.75" hidden="1" thickBot="1" x14ac:dyDescent="0.3">
      <c r="A119" s="30">
        <v>807</v>
      </c>
      <c r="B119" s="3" t="s">
        <v>107</v>
      </c>
      <c r="C119" s="4"/>
      <c r="D119" s="43"/>
      <c r="E119" s="44"/>
      <c r="F119" s="9"/>
      <c r="G119" s="11"/>
    </row>
    <row r="120" spans="1:7" ht="15.75" hidden="1" thickBot="1" x14ac:dyDescent="0.3">
      <c r="A120" s="30">
        <v>808</v>
      </c>
      <c r="B120" s="5"/>
      <c r="C120" s="4" t="s">
        <v>150</v>
      </c>
      <c r="D120" s="5" t="s">
        <v>166</v>
      </c>
      <c r="E120" s="60" t="s">
        <v>131</v>
      </c>
      <c r="F120" s="9"/>
      <c r="G120" s="11"/>
    </row>
    <row r="121" spans="1:7" ht="15.75" hidden="1" thickBot="1" x14ac:dyDescent="0.3">
      <c r="A121" s="30">
        <v>809</v>
      </c>
      <c r="B121" s="5"/>
      <c r="C121" s="4" t="s">
        <v>105</v>
      </c>
      <c r="D121" s="5" t="s">
        <v>166</v>
      </c>
      <c r="E121" s="60" t="s">
        <v>131</v>
      </c>
      <c r="F121" s="9"/>
      <c r="G121" s="11"/>
    </row>
    <row r="122" spans="1:7" ht="15.75" hidden="1" thickBot="1" x14ac:dyDescent="0.3">
      <c r="A122" s="30">
        <v>810</v>
      </c>
      <c r="B122" s="5"/>
      <c r="C122" s="4" t="s">
        <v>153</v>
      </c>
      <c r="D122" s="5" t="s">
        <v>166</v>
      </c>
      <c r="E122" s="60" t="s">
        <v>131</v>
      </c>
      <c r="F122" s="9"/>
      <c r="G122" s="11"/>
    </row>
    <row r="123" spans="1:7" ht="25.5" hidden="1" thickBot="1" x14ac:dyDescent="0.3">
      <c r="A123" s="30">
        <v>811</v>
      </c>
      <c r="B123" s="132"/>
      <c r="C123" s="3" t="s">
        <v>328</v>
      </c>
      <c r="D123" s="5" t="s">
        <v>166</v>
      </c>
      <c r="E123" s="60" t="s">
        <v>327</v>
      </c>
      <c r="F123" s="9"/>
      <c r="G123" s="11"/>
    </row>
    <row r="124" spans="1:7" ht="15.75" hidden="1" thickBot="1" x14ac:dyDescent="0.3">
      <c r="A124" s="30">
        <v>812</v>
      </c>
      <c r="B124" s="3" t="s">
        <v>2</v>
      </c>
      <c r="C124" s="4"/>
      <c r="D124" s="43"/>
      <c r="E124" s="44"/>
      <c r="F124" s="9"/>
      <c r="G124" s="11"/>
    </row>
    <row r="125" spans="1:7" ht="15.75" hidden="1" thickBot="1" x14ac:dyDescent="0.3">
      <c r="A125" s="30">
        <v>813</v>
      </c>
      <c r="B125" s="5"/>
      <c r="C125" s="3" t="s">
        <v>42</v>
      </c>
      <c r="D125" s="5" t="s">
        <v>407</v>
      </c>
      <c r="E125" s="6" t="s">
        <v>144</v>
      </c>
      <c r="F125" s="9"/>
      <c r="G125" s="11"/>
    </row>
    <row r="126" spans="1:7" ht="15.75" hidden="1" thickBot="1" x14ac:dyDescent="0.3">
      <c r="A126" s="30">
        <v>814</v>
      </c>
      <c r="B126" s="5"/>
      <c r="C126" s="3" t="s">
        <v>43</v>
      </c>
      <c r="D126" s="5" t="s">
        <v>408</v>
      </c>
      <c r="E126" s="6" t="s">
        <v>149</v>
      </c>
      <c r="F126" s="9"/>
      <c r="G126" s="11"/>
    </row>
    <row r="127" spans="1:7" ht="15.75" hidden="1" thickBot="1" x14ac:dyDescent="0.3">
      <c r="A127" s="30">
        <v>815</v>
      </c>
      <c r="B127" s="5"/>
      <c r="C127" s="3" t="s">
        <v>106</v>
      </c>
      <c r="D127" s="5" t="s">
        <v>385</v>
      </c>
      <c r="E127" s="6" t="s">
        <v>144</v>
      </c>
      <c r="F127" s="9"/>
      <c r="G127" s="11"/>
    </row>
    <row r="128" spans="1:7" ht="15.75" hidden="1" thickBot="1" x14ac:dyDescent="0.3">
      <c r="A128" s="34"/>
      <c r="B128" s="9"/>
      <c r="C128" s="9"/>
      <c r="D128" s="9"/>
      <c r="E128" s="9"/>
      <c r="F128" s="9"/>
      <c r="G128" s="11"/>
    </row>
    <row r="129" spans="1:7" ht="26.25" hidden="1" thickBot="1" x14ac:dyDescent="0.3">
      <c r="A129" s="249">
        <v>900</v>
      </c>
      <c r="B129" s="249" t="s">
        <v>216</v>
      </c>
      <c r="C129" s="249"/>
      <c r="D129" s="249"/>
      <c r="E129" s="249"/>
      <c r="F129" s="249" t="s">
        <v>188</v>
      </c>
      <c r="G129" s="249"/>
    </row>
    <row r="130" spans="1:7" ht="15.75" hidden="1" thickBot="1" x14ac:dyDescent="0.3">
      <c r="A130" s="30">
        <v>901</v>
      </c>
      <c r="B130" s="5"/>
      <c r="C130" s="4" t="s">
        <v>217</v>
      </c>
      <c r="D130" s="6" t="s">
        <v>208</v>
      </c>
      <c r="E130" s="6" t="s">
        <v>182</v>
      </c>
      <c r="F130" s="9"/>
      <c r="G130" s="11"/>
    </row>
    <row r="131" spans="1:7" ht="15.75" hidden="1" thickBot="1" x14ac:dyDescent="0.3">
      <c r="A131" s="30">
        <v>902</v>
      </c>
      <c r="B131" s="5"/>
      <c r="C131" s="4" t="s">
        <v>218</v>
      </c>
      <c r="D131" s="6" t="s">
        <v>208</v>
      </c>
      <c r="E131" s="6" t="s">
        <v>182</v>
      </c>
      <c r="F131" s="9"/>
      <c r="G131" s="11"/>
    </row>
    <row r="132" spans="1:7" ht="15.75" hidden="1" thickBot="1" x14ac:dyDescent="0.3">
      <c r="A132" s="30">
        <v>903</v>
      </c>
      <c r="B132" s="5"/>
      <c r="C132" s="4" t="s">
        <v>219</v>
      </c>
      <c r="D132" s="6" t="s">
        <v>208</v>
      </c>
      <c r="E132" s="6" t="s">
        <v>182</v>
      </c>
      <c r="F132" s="9"/>
      <c r="G132" s="11"/>
    </row>
    <row r="133" spans="1:7" ht="15.75" hidden="1" thickBot="1" x14ac:dyDescent="0.3">
      <c r="A133" s="30">
        <v>904</v>
      </c>
      <c r="B133" s="5"/>
      <c r="C133" s="4" t="s">
        <v>220</v>
      </c>
      <c r="D133" s="6" t="s">
        <v>208</v>
      </c>
      <c r="E133" s="6" t="s">
        <v>182</v>
      </c>
      <c r="F133" s="9"/>
      <c r="G133" s="11"/>
    </row>
    <row r="134" spans="1:7" ht="15.75" hidden="1" thickBot="1" x14ac:dyDescent="0.3">
      <c r="A134" s="30">
        <v>905</v>
      </c>
      <c r="B134" s="5"/>
      <c r="C134" s="4" t="s">
        <v>221</v>
      </c>
      <c r="D134" s="6" t="s">
        <v>208</v>
      </c>
      <c r="E134" s="6" t="s">
        <v>182</v>
      </c>
      <c r="F134" s="9"/>
      <c r="G134" s="11"/>
    </row>
    <row r="135" spans="1:7" ht="15.75" hidden="1" thickBot="1" x14ac:dyDescent="0.3">
      <c r="A135" s="30">
        <v>906</v>
      </c>
      <c r="B135" s="5"/>
      <c r="C135" s="4" t="s">
        <v>222</v>
      </c>
      <c r="D135" s="6" t="s">
        <v>208</v>
      </c>
      <c r="E135" s="6" t="s">
        <v>182</v>
      </c>
      <c r="F135" s="9"/>
      <c r="G135" s="11"/>
    </row>
    <row r="136" spans="1:7" ht="15.75" hidden="1" thickBot="1" x14ac:dyDescent="0.3">
      <c r="A136" s="30">
        <v>907</v>
      </c>
      <c r="B136" s="5"/>
      <c r="C136" s="4" t="s">
        <v>223</v>
      </c>
      <c r="D136" s="6" t="s">
        <v>208</v>
      </c>
      <c r="E136" s="6" t="s">
        <v>182</v>
      </c>
      <c r="F136" s="32"/>
      <c r="G136" s="33"/>
    </row>
    <row r="137" spans="1:7" ht="15.75" hidden="1" thickBot="1" x14ac:dyDescent="0.3">
      <c r="A137" s="30">
        <v>908</v>
      </c>
      <c r="B137" s="5"/>
      <c r="C137" s="4" t="s">
        <v>224</v>
      </c>
      <c r="D137" s="6" t="s">
        <v>208</v>
      </c>
      <c r="E137" s="6" t="s">
        <v>182</v>
      </c>
      <c r="F137" s="32"/>
      <c r="G137" s="33"/>
    </row>
    <row r="138" spans="1:7" ht="15.75" hidden="1" thickBot="1" x14ac:dyDescent="0.3">
      <c r="A138" s="30">
        <v>909</v>
      </c>
      <c r="B138" s="5"/>
      <c r="C138" s="4" t="s">
        <v>225</v>
      </c>
      <c r="D138" s="6" t="s">
        <v>208</v>
      </c>
      <c r="E138" s="6" t="s">
        <v>182</v>
      </c>
      <c r="F138" s="32"/>
      <c r="G138" s="33"/>
    </row>
    <row r="139" spans="1:7" ht="15.75" hidden="1" thickBot="1" x14ac:dyDescent="0.3">
      <c r="A139" s="30">
        <v>910</v>
      </c>
      <c r="B139" s="5"/>
      <c r="C139" s="4" t="s">
        <v>226</v>
      </c>
      <c r="D139" s="6" t="s">
        <v>208</v>
      </c>
      <c r="E139" s="6" t="s">
        <v>182</v>
      </c>
      <c r="F139" s="32"/>
      <c r="G139" s="33"/>
    </row>
    <row r="140" spans="1:7" ht="15.75" hidden="1" thickBot="1" x14ac:dyDescent="0.3">
      <c r="A140" s="30">
        <v>911</v>
      </c>
      <c r="B140" s="5"/>
      <c r="C140" s="4" t="s">
        <v>227</v>
      </c>
      <c r="D140" s="6" t="s">
        <v>208</v>
      </c>
      <c r="E140" s="6" t="s">
        <v>182</v>
      </c>
      <c r="F140" s="32"/>
      <c r="G140" s="33"/>
    </row>
    <row r="141" spans="1:7" ht="15.75" hidden="1" thickBot="1" x14ac:dyDescent="0.3">
      <c r="A141" s="30">
        <v>912</v>
      </c>
      <c r="B141" s="5"/>
      <c r="C141" s="4" t="s">
        <v>228</v>
      </c>
      <c r="D141" s="6" t="s">
        <v>208</v>
      </c>
      <c r="E141" s="6" t="s">
        <v>182</v>
      </c>
      <c r="F141" s="32"/>
      <c r="G141" s="33"/>
    </row>
    <row r="142" spans="1:7" ht="15.75" hidden="1" thickBot="1" x14ac:dyDescent="0.3">
      <c r="A142" s="30">
        <v>913</v>
      </c>
      <c r="B142" s="5"/>
      <c r="C142" s="4" t="s">
        <v>229</v>
      </c>
      <c r="D142" s="6" t="s">
        <v>208</v>
      </c>
      <c r="E142" s="6" t="s">
        <v>182</v>
      </c>
      <c r="F142" s="32"/>
      <c r="G142" s="33"/>
    </row>
    <row r="143" spans="1:7" ht="15.75" hidden="1" thickBot="1" x14ac:dyDescent="0.3">
      <c r="A143" s="30">
        <v>914</v>
      </c>
      <c r="B143" s="5"/>
      <c r="C143" s="4" t="s">
        <v>230</v>
      </c>
      <c r="D143" s="6" t="s">
        <v>208</v>
      </c>
      <c r="E143" s="6" t="s">
        <v>182</v>
      </c>
      <c r="F143" s="32"/>
      <c r="G143" s="33"/>
    </row>
    <row r="144" spans="1:7" ht="15.75" hidden="1" thickBot="1" x14ac:dyDescent="0.3">
      <c r="A144" s="30">
        <v>915</v>
      </c>
      <c r="B144" s="5"/>
      <c r="C144" s="4" t="s">
        <v>231</v>
      </c>
      <c r="D144" s="6" t="s">
        <v>208</v>
      </c>
      <c r="E144" s="6" t="s">
        <v>182</v>
      </c>
      <c r="F144" s="32"/>
      <c r="G144" s="33"/>
    </row>
    <row r="145" spans="1:7" ht="15.75" hidden="1" thickBot="1" x14ac:dyDescent="0.3">
      <c r="A145" s="30">
        <v>916</v>
      </c>
      <c r="B145" s="5"/>
      <c r="C145" s="4" t="s">
        <v>232</v>
      </c>
      <c r="D145" s="6" t="s">
        <v>208</v>
      </c>
      <c r="E145" s="6" t="s">
        <v>182</v>
      </c>
      <c r="F145" s="32"/>
      <c r="G145" s="33"/>
    </row>
    <row r="146" spans="1:7" ht="15.75" hidden="1" thickBot="1" x14ac:dyDescent="0.3">
      <c r="A146" s="30">
        <v>917</v>
      </c>
      <c r="B146" s="5"/>
      <c r="C146" s="4" t="s">
        <v>233</v>
      </c>
      <c r="D146" s="6" t="s">
        <v>208</v>
      </c>
      <c r="E146" s="6" t="s">
        <v>182</v>
      </c>
      <c r="F146" s="32"/>
      <c r="G146" s="33"/>
    </row>
    <row r="147" spans="1:7" ht="15.75" hidden="1" thickBot="1" x14ac:dyDescent="0.3">
      <c r="A147" s="30">
        <v>918</v>
      </c>
      <c r="B147" s="5"/>
      <c r="C147" s="4" t="s">
        <v>234</v>
      </c>
      <c r="D147" s="6" t="s">
        <v>208</v>
      </c>
      <c r="E147" s="6" t="s">
        <v>182</v>
      </c>
      <c r="F147" s="32"/>
      <c r="G147" s="33"/>
    </row>
    <row r="148" spans="1:7" ht="15.75" hidden="1" thickBot="1" x14ac:dyDescent="0.3">
      <c r="A148" s="30">
        <v>919</v>
      </c>
      <c r="B148" s="5"/>
      <c r="C148" s="4" t="s">
        <v>235</v>
      </c>
      <c r="D148" s="6" t="s">
        <v>208</v>
      </c>
      <c r="E148" s="6" t="s">
        <v>182</v>
      </c>
      <c r="F148" s="32"/>
      <c r="G148" s="33"/>
    </row>
    <row r="149" spans="1:7" ht="15.75" hidden="1" thickBot="1" x14ac:dyDescent="0.3">
      <c r="A149" s="30">
        <v>920</v>
      </c>
      <c r="B149" s="5"/>
      <c r="C149" s="4" t="s">
        <v>236</v>
      </c>
      <c r="D149" s="6" t="s">
        <v>208</v>
      </c>
      <c r="E149" s="6" t="s">
        <v>182</v>
      </c>
      <c r="F149" s="32"/>
      <c r="G149" s="33"/>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Støtteark!$P$26:$P$28</xm:f>
          </x14:formula1>
          <xm:sqref>E54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5">
    <pageSetUpPr fitToPage="1"/>
  </sheetPr>
  <dimension ref="A1:XFD149"/>
  <sheetViews>
    <sheetView topLeftCell="B1" zoomScale="53" zoomScaleNormal="53" workbookViewId="0"/>
  </sheetViews>
  <sheetFormatPr defaultRowHeight="15" x14ac:dyDescent="0.25"/>
  <cols>
    <col min="1" max="1" width="18" style="230" bestFit="1" customWidth="1"/>
    <col min="2" max="2" width="70.28515625" bestFit="1" customWidth="1"/>
    <col min="3" max="3" width="219.28515625" bestFit="1" customWidth="1"/>
    <col min="4" max="4" width="8.28515625" bestFit="1" customWidth="1"/>
    <col min="5" max="5" width="14.140625" style="194" bestFit="1" customWidth="1"/>
    <col min="6" max="6" width="16.140625" bestFit="1" customWidth="1"/>
    <col min="7" max="7" width="13.140625" bestFit="1" customWidth="1"/>
    <col min="8" max="8" width="20.5703125" bestFit="1" customWidth="1"/>
    <col min="9" max="9" width="2.7109375" style="246" customWidth="1"/>
    <col min="10" max="10" width="15.7109375" bestFit="1" customWidth="1"/>
    <col min="11" max="11" width="19.28515625" bestFit="1" customWidth="1"/>
    <col min="12" max="12" width="6.85546875" style="193" bestFit="1" customWidth="1"/>
    <col min="13" max="13" width="20.85546875" bestFit="1" customWidth="1"/>
    <col min="14" max="14" width="27.28515625" bestFit="1" customWidth="1"/>
    <col min="15" max="15" width="8.42578125" bestFit="1" customWidth="1"/>
    <col min="16" max="16" width="11.7109375" style="185" bestFit="1" customWidth="1"/>
    <col min="17" max="17" width="12.28515625" bestFit="1" customWidth="1"/>
    <col min="18" max="18" width="2.7109375" style="246" customWidth="1"/>
    <col min="19" max="19" width="4.140625" style="245" bestFit="1" customWidth="1"/>
    <col min="20" max="20" width="3.7109375" style="245" bestFit="1" customWidth="1"/>
    <col min="21" max="21" width="3.85546875" style="245" bestFit="1" customWidth="1"/>
    <col min="22" max="24" width="3.7109375" style="245" bestFit="1" customWidth="1"/>
    <col min="25" max="25" width="3.85546875" style="245" bestFit="1" customWidth="1"/>
    <col min="26" max="26" width="2.7109375" style="246" customWidth="1"/>
    <col min="27" max="28" width="3.7109375" style="245" bestFit="1" customWidth="1"/>
    <col min="29" max="29" width="4.140625" style="245" bestFit="1" customWidth="1"/>
    <col min="30" max="30" width="3.85546875" style="245" bestFit="1" customWidth="1"/>
    <col min="31" max="31" width="4.140625" style="245" bestFit="1" customWidth="1"/>
    <col min="32" max="33" width="3.7109375" style="245" bestFit="1" customWidth="1"/>
    <col min="34" max="38" width="3.85546875" style="245" bestFit="1" customWidth="1"/>
    <col min="39" max="39" width="8" style="245" bestFit="1" customWidth="1"/>
    <col min="40" max="40" width="2.7109375" style="246" customWidth="1"/>
    <col min="41" max="41" width="34.85546875" bestFit="1" customWidth="1"/>
    <col min="42" max="42" width="7.140625" bestFit="1" customWidth="1"/>
    <col min="43" max="43" width="2.7109375" style="246" customWidth="1"/>
    <col min="44" max="44" width="13.5703125" bestFit="1" customWidth="1"/>
  </cols>
  <sheetData>
    <row r="1" spans="1:16384" s="97" customFormat="1" ht="15.75" thickBot="1" x14ac:dyDescent="0.3">
      <c r="A1" s="97" t="str">
        <f>Støtteark!$A$1</f>
        <v>SLA</v>
      </c>
      <c r="B1" s="97" t="s">
        <v>250</v>
      </c>
      <c r="C1" s="97" t="s">
        <v>44</v>
      </c>
      <c r="D1" s="249" t="s">
        <v>271</v>
      </c>
      <c r="E1" s="249" t="s">
        <v>355</v>
      </c>
      <c r="F1" s="249" t="s">
        <v>248</v>
      </c>
      <c r="G1" s="249" t="s">
        <v>249</v>
      </c>
      <c r="H1" s="249" t="str">
        <f>Støtteark!B17</f>
        <v>Servicemedarb.</v>
      </c>
      <c r="I1" s="249"/>
      <c r="J1" s="249" t="s">
        <v>357</v>
      </c>
      <c r="K1" s="249" t="s">
        <v>353</v>
      </c>
      <c r="L1" s="249" t="s">
        <v>45</v>
      </c>
      <c r="M1" s="249" t="s">
        <v>354</v>
      </c>
      <c r="N1" s="249" t="s">
        <v>352</v>
      </c>
      <c r="O1" s="249" t="s">
        <v>378</v>
      </c>
      <c r="P1" s="249" t="s">
        <v>375</v>
      </c>
      <c r="Q1" s="249" t="s">
        <v>384</v>
      </c>
      <c r="R1" s="249"/>
      <c r="S1" s="249" t="s">
        <v>262</v>
      </c>
      <c r="T1" s="249" t="s">
        <v>268</v>
      </c>
      <c r="U1" s="249" t="s">
        <v>265</v>
      </c>
      <c r="V1" s="249" t="s">
        <v>268</v>
      </c>
      <c r="W1" s="249" t="s">
        <v>261</v>
      </c>
      <c r="X1" s="249" t="s">
        <v>269</v>
      </c>
      <c r="Y1" s="249" t="s">
        <v>264</v>
      </c>
      <c r="Z1" s="249"/>
      <c r="AA1" s="249" t="s">
        <v>260</v>
      </c>
      <c r="AB1" s="249" t="s">
        <v>261</v>
      </c>
      <c r="AC1" s="249" t="s">
        <v>262</v>
      </c>
      <c r="AD1" s="249" t="s">
        <v>263</v>
      </c>
      <c r="AE1" s="249" t="s">
        <v>262</v>
      </c>
      <c r="AF1" s="249" t="s">
        <v>260</v>
      </c>
      <c r="AG1" s="249" t="s">
        <v>260</v>
      </c>
      <c r="AH1" s="249" t="s">
        <v>263</v>
      </c>
      <c r="AI1" s="249" t="s">
        <v>264</v>
      </c>
      <c r="AJ1" s="249" t="s">
        <v>265</v>
      </c>
      <c r="AK1" s="249" t="s">
        <v>266</v>
      </c>
      <c r="AL1" s="249" t="s">
        <v>267</v>
      </c>
      <c r="AM1" s="249" t="s">
        <v>356</v>
      </c>
      <c r="AN1" s="249"/>
      <c r="AO1" s="249" t="s">
        <v>251</v>
      </c>
      <c r="AP1" s="249" t="s">
        <v>360</v>
      </c>
      <c r="AQ1" s="249"/>
      <c r="AR1" s="249" t="s">
        <v>252</v>
      </c>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c r="AMG1"/>
      <c r="AMH1"/>
      <c r="AMI1"/>
      <c r="AMJ1"/>
      <c r="AMK1"/>
      <c r="AML1"/>
      <c r="AMM1"/>
      <c r="AMN1"/>
      <c r="AMO1"/>
      <c r="AMP1"/>
      <c r="AMQ1"/>
      <c r="AMR1"/>
      <c r="AMS1"/>
      <c r="AMT1"/>
      <c r="AMU1"/>
      <c r="AMV1"/>
      <c r="AMW1"/>
      <c r="AMX1"/>
      <c r="AMY1"/>
      <c r="AMZ1"/>
      <c r="ANA1"/>
      <c r="ANB1"/>
      <c r="ANC1"/>
      <c r="AND1"/>
      <c r="ANE1"/>
      <c r="ANF1"/>
      <c r="ANG1"/>
      <c r="ANH1"/>
      <c r="ANI1"/>
      <c r="ANJ1"/>
      <c r="ANK1"/>
      <c r="ANL1"/>
      <c r="ANM1"/>
      <c r="ANN1"/>
      <c r="ANO1"/>
      <c r="ANP1"/>
      <c r="ANQ1"/>
      <c r="ANR1"/>
      <c r="ANS1"/>
      <c r="ANT1"/>
      <c r="ANU1"/>
      <c r="ANV1"/>
      <c r="ANW1"/>
      <c r="ANX1"/>
      <c r="ANY1"/>
      <c r="ANZ1"/>
      <c r="AOA1"/>
      <c r="AOB1"/>
      <c r="AOC1"/>
      <c r="AOD1"/>
      <c r="AOE1"/>
      <c r="AOF1"/>
      <c r="AOG1"/>
      <c r="AOH1"/>
      <c r="AOI1"/>
      <c r="AOJ1"/>
      <c r="AOK1"/>
      <c r="AOL1"/>
      <c r="AOM1"/>
      <c r="AON1"/>
      <c r="AOO1"/>
      <c r="AOP1"/>
      <c r="AOQ1"/>
      <c r="AOR1"/>
      <c r="AOS1"/>
      <c r="AOT1"/>
      <c r="AOU1"/>
      <c r="AOV1"/>
      <c r="AOW1"/>
      <c r="AOX1"/>
      <c r="AOY1"/>
      <c r="AOZ1"/>
      <c r="APA1"/>
      <c r="APB1"/>
      <c r="APC1"/>
      <c r="APD1"/>
      <c r="APE1"/>
      <c r="APF1"/>
      <c r="APG1"/>
      <c r="APH1"/>
      <c r="API1"/>
      <c r="APJ1"/>
      <c r="APK1"/>
      <c r="APL1"/>
      <c r="APM1"/>
      <c r="APN1"/>
      <c r="APO1"/>
      <c r="APP1"/>
      <c r="APQ1"/>
      <c r="APR1"/>
      <c r="APS1"/>
      <c r="APT1"/>
      <c r="APU1"/>
      <c r="APV1"/>
      <c r="APW1"/>
      <c r="APX1"/>
      <c r="APY1"/>
      <c r="APZ1"/>
      <c r="AQA1"/>
      <c r="AQB1"/>
      <c r="AQC1"/>
      <c r="AQD1"/>
      <c r="AQE1"/>
      <c r="AQF1"/>
      <c r="AQG1"/>
      <c r="AQH1"/>
      <c r="AQI1"/>
      <c r="AQJ1"/>
      <c r="AQK1"/>
      <c r="AQL1"/>
      <c r="AQM1"/>
      <c r="AQN1"/>
      <c r="AQO1"/>
      <c r="AQP1"/>
      <c r="AQQ1"/>
      <c r="AQR1"/>
      <c r="AQS1"/>
      <c r="AQT1"/>
      <c r="AQU1"/>
      <c r="AQV1"/>
      <c r="AQW1"/>
      <c r="AQX1"/>
      <c r="AQY1"/>
      <c r="AQZ1"/>
      <c r="ARA1"/>
      <c r="ARB1"/>
      <c r="ARC1"/>
      <c r="ARD1"/>
      <c r="ARE1"/>
      <c r="ARF1"/>
      <c r="ARG1"/>
      <c r="ARH1"/>
      <c r="ARI1"/>
      <c r="ARJ1"/>
      <c r="ARK1"/>
      <c r="ARL1"/>
      <c r="ARM1"/>
      <c r="ARN1"/>
      <c r="ARO1"/>
      <c r="ARP1"/>
      <c r="ARQ1"/>
      <c r="ARR1"/>
      <c r="ARS1"/>
      <c r="ART1"/>
      <c r="ARU1"/>
      <c r="ARV1"/>
      <c r="ARW1"/>
      <c r="ARX1"/>
      <c r="ARY1"/>
      <c r="ARZ1"/>
      <c r="ASA1"/>
      <c r="ASB1"/>
      <c r="ASC1"/>
      <c r="ASD1"/>
      <c r="ASE1"/>
      <c r="ASF1"/>
      <c r="ASG1"/>
      <c r="ASH1"/>
      <c r="ASI1"/>
      <c r="ASJ1"/>
      <c r="ASK1"/>
      <c r="ASL1"/>
      <c r="ASM1"/>
      <c r="ASN1"/>
      <c r="ASO1"/>
      <c r="ASP1"/>
      <c r="ASQ1"/>
      <c r="ASR1"/>
      <c r="ASS1"/>
      <c r="AST1"/>
      <c r="ASU1"/>
      <c r="ASV1"/>
      <c r="ASW1"/>
      <c r="ASX1"/>
      <c r="ASY1"/>
      <c r="ASZ1"/>
      <c r="ATA1"/>
      <c r="ATB1"/>
      <c r="ATC1"/>
      <c r="ATD1"/>
      <c r="ATE1"/>
      <c r="ATF1"/>
      <c r="ATG1"/>
      <c r="ATH1"/>
      <c r="ATI1"/>
      <c r="ATJ1"/>
      <c r="ATK1"/>
      <c r="ATL1"/>
      <c r="ATM1"/>
      <c r="ATN1"/>
      <c r="ATO1"/>
      <c r="ATP1"/>
      <c r="ATQ1"/>
      <c r="ATR1"/>
      <c r="ATS1"/>
      <c r="ATT1"/>
      <c r="ATU1"/>
      <c r="ATV1"/>
      <c r="ATW1"/>
      <c r="ATX1"/>
      <c r="ATY1"/>
      <c r="ATZ1"/>
      <c r="AUA1"/>
      <c r="AUB1"/>
      <c r="AUC1"/>
      <c r="AUD1"/>
      <c r="AUE1"/>
      <c r="AUF1"/>
      <c r="AUG1"/>
      <c r="AUH1"/>
      <c r="AUI1"/>
      <c r="AUJ1"/>
      <c r="AUK1"/>
      <c r="AUL1"/>
      <c r="AUM1"/>
      <c r="AUN1"/>
      <c r="AUO1"/>
      <c r="AUP1"/>
      <c r="AUQ1"/>
      <c r="AUR1"/>
      <c r="AUS1"/>
      <c r="AUT1"/>
      <c r="AUU1"/>
      <c r="AUV1"/>
      <c r="AUW1"/>
      <c r="AUX1"/>
      <c r="AUY1"/>
      <c r="AUZ1"/>
      <c r="AVA1"/>
      <c r="AVB1"/>
      <c r="AVC1"/>
      <c r="AVD1"/>
      <c r="AVE1"/>
      <c r="AVF1"/>
      <c r="AVG1"/>
      <c r="AVH1"/>
      <c r="AVI1"/>
      <c r="AVJ1"/>
      <c r="AVK1"/>
      <c r="AVL1"/>
      <c r="AVM1"/>
      <c r="AVN1"/>
      <c r="AVO1"/>
      <c r="AVP1"/>
      <c r="AVQ1"/>
      <c r="AVR1"/>
      <c r="AVS1"/>
      <c r="AVT1"/>
      <c r="AVU1"/>
      <c r="AVV1"/>
      <c r="AVW1"/>
      <c r="AVX1"/>
      <c r="AVY1"/>
      <c r="AVZ1"/>
      <c r="AWA1"/>
      <c r="AWB1"/>
      <c r="AWC1"/>
      <c r="AWD1"/>
      <c r="AWE1"/>
      <c r="AWF1"/>
      <c r="AWG1"/>
      <c r="AWH1"/>
      <c r="AWI1"/>
      <c r="AWJ1"/>
      <c r="AWK1"/>
      <c r="AWL1"/>
      <c r="AWM1"/>
      <c r="AWN1"/>
      <c r="AWO1"/>
      <c r="AWP1"/>
      <c r="AWQ1"/>
      <c r="AWR1"/>
      <c r="AWS1"/>
      <c r="AWT1"/>
      <c r="AWU1"/>
      <c r="AWV1"/>
      <c r="AWW1"/>
      <c r="AWX1"/>
      <c r="AWY1"/>
      <c r="AWZ1"/>
      <c r="AXA1"/>
      <c r="AXB1"/>
      <c r="AXC1"/>
      <c r="AXD1"/>
      <c r="AXE1"/>
      <c r="AXF1"/>
      <c r="AXG1"/>
      <c r="AXH1"/>
      <c r="AXI1"/>
      <c r="AXJ1"/>
      <c r="AXK1"/>
      <c r="AXL1"/>
      <c r="AXM1"/>
      <c r="AXN1"/>
      <c r="AXO1"/>
      <c r="AXP1"/>
      <c r="AXQ1"/>
      <c r="AXR1"/>
      <c r="AXS1"/>
      <c r="AXT1"/>
      <c r="AXU1"/>
      <c r="AXV1"/>
      <c r="AXW1"/>
      <c r="AXX1"/>
      <c r="AXY1"/>
      <c r="AXZ1"/>
      <c r="AYA1"/>
      <c r="AYB1"/>
      <c r="AYC1"/>
      <c r="AYD1"/>
      <c r="AYE1"/>
      <c r="AYF1"/>
      <c r="AYG1"/>
      <c r="AYH1"/>
      <c r="AYI1"/>
      <c r="AYJ1"/>
      <c r="AYK1"/>
      <c r="AYL1"/>
      <c r="AYM1"/>
      <c r="AYN1"/>
      <c r="AYO1"/>
      <c r="AYP1"/>
      <c r="AYQ1"/>
      <c r="AYR1"/>
      <c r="AYS1"/>
      <c r="AYT1"/>
      <c r="AYU1"/>
      <c r="AYV1"/>
      <c r="AYW1"/>
      <c r="AYX1"/>
      <c r="AYY1"/>
      <c r="AYZ1"/>
      <c r="AZA1"/>
      <c r="AZB1"/>
      <c r="AZC1"/>
      <c r="AZD1"/>
      <c r="AZE1"/>
      <c r="AZF1"/>
      <c r="AZG1"/>
      <c r="AZH1"/>
      <c r="AZI1"/>
      <c r="AZJ1"/>
      <c r="AZK1"/>
      <c r="AZL1"/>
      <c r="AZM1"/>
      <c r="AZN1"/>
      <c r="AZO1"/>
      <c r="AZP1"/>
      <c r="AZQ1"/>
      <c r="AZR1"/>
      <c r="AZS1"/>
      <c r="AZT1"/>
      <c r="AZU1"/>
      <c r="AZV1"/>
      <c r="AZW1"/>
      <c r="AZX1"/>
      <c r="AZY1"/>
      <c r="AZZ1"/>
      <c r="BAA1"/>
      <c r="BAB1"/>
      <c r="BAC1"/>
      <c r="BAD1"/>
      <c r="BAE1"/>
      <c r="BAF1"/>
      <c r="BAG1"/>
      <c r="BAH1"/>
      <c r="BAI1"/>
      <c r="BAJ1"/>
      <c r="BAK1"/>
      <c r="BAL1"/>
      <c r="BAM1"/>
      <c r="BAN1"/>
      <c r="BAO1"/>
      <c r="BAP1"/>
      <c r="BAQ1"/>
      <c r="BAR1"/>
      <c r="BAS1"/>
      <c r="BAT1"/>
      <c r="BAU1"/>
      <c r="BAV1"/>
      <c r="BAW1"/>
      <c r="BAX1"/>
      <c r="BAY1"/>
      <c r="BAZ1"/>
      <c r="BBA1"/>
      <c r="BBB1"/>
      <c r="BBC1"/>
      <c r="BBD1"/>
      <c r="BBE1"/>
      <c r="BBF1"/>
      <c r="BBG1"/>
      <c r="BBH1"/>
      <c r="BBI1"/>
      <c r="BBJ1"/>
      <c r="BBK1"/>
      <c r="BBL1"/>
      <c r="BBM1"/>
      <c r="BBN1"/>
      <c r="BBO1"/>
      <c r="BBP1"/>
      <c r="BBQ1"/>
      <c r="BBR1"/>
      <c r="BBS1"/>
      <c r="BBT1"/>
      <c r="BBU1"/>
      <c r="BBV1"/>
      <c r="BBW1"/>
      <c r="BBX1"/>
      <c r="BBY1"/>
      <c r="BBZ1"/>
      <c r="BCA1"/>
      <c r="BCB1"/>
      <c r="BCC1"/>
      <c r="BCD1"/>
      <c r="BCE1"/>
      <c r="BCF1"/>
      <c r="BCG1"/>
      <c r="BCH1"/>
      <c r="BCI1"/>
      <c r="BCJ1"/>
      <c r="BCK1"/>
      <c r="BCL1"/>
      <c r="BCM1"/>
      <c r="BCN1"/>
      <c r="BCO1"/>
      <c r="BCP1"/>
      <c r="BCQ1"/>
      <c r="BCR1"/>
      <c r="BCS1"/>
      <c r="BCT1"/>
      <c r="BCU1"/>
      <c r="BCV1"/>
      <c r="BCW1"/>
      <c r="BCX1"/>
      <c r="BCY1"/>
      <c r="BCZ1"/>
      <c r="BDA1"/>
      <c r="BDB1"/>
      <c r="BDC1"/>
      <c r="BDD1"/>
      <c r="BDE1"/>
      <c r="BDF1"/>
      <c r="BDG1"/>
      <c r="BDH1"/>
      <c r="BDI1"/>
      <c r="BDJ1"/>
      <c r="BDK1"/>
      <c r="BDL1"/>
      <c r="BDM1"/>
      <c r="BDN1"/>
      <c r="BDO1"/>
      <c r="BDP1"/>
      <c r="BDQ1"/>
      <c r="BDR1"/>
      <c r="BDS1"/>
      <c r="BDT1"/>
      <c r="BDU1"/>
      <c r="BDV1"/>
      <c r="BDW1"/>
      <c r="BDX1"/>
      <c r="BDY1"/>
      <c r="BDZ1"/>
      <c r="BEA1"/>
      <c r="BEB1"/>
      <c r="BEC1"/>
      <c r="BED1"/>
      <c r="BEE1"/>
      <c r="BEF1"/>
      <c r="BEG1"/>
      <c r="BEH1"/>
      <c r="BEI1"/>
      <c r="BEJ1"/>
      <c r="BEK1"/>
      <c r="BEL1"/>
      <c r="BEM1"/>
      <c r="BEN1"/>
      <c r="BEO1"/>
      <c r="BEP1"/>
      <c r="BEQ1"/>
      <c r="BER1"/>
      <c r="BES1"/>
      <c r="BET1"/>
      <c r="BEU1"/>
      <c r="BEV1"/>
      <c r="BEW1"/>
      <c r="BEX1"/>
      <c r="BEY1"/>
      <c r="BEZ1"/>
      <c r="BFA1"/>
      <c r="BFB1"/>
      <c r="BFC1"/>
      <c r="BFD1"/>
      <c r="BFE1"/>
      <c r="BFF1"/>
      <c r="BFG1"/>
      <c r="BFH1"/>
      <c r="BFI1"/>
      <c r="BFJ1"/>
      <c r="BFK1"/>
      <c r="BFL1"/>
      <c r="BFM1"/>
      <c r="BFN1"/>
      <c r="BFO1"/>
      <c r="BFP1"/>
      <c r="BFQ1"/>
      <c r="BFR1"/>
      <c r="BFS1"/>
      <c r="BFT1"/>
      <c r="BFU1"/>
      <c r="BFV1"/>
      <c r="BFW1"/>
      <c r="BFX1"/>
      <c r="BFY1"/>
      <c r="BFZ1"/>
      <c r="BGA1"/>
      <c r="BGB1"/>
      <c r="BGC1"/>
      <c r="BGD1"/>
      <c r="BGE1"/>
      <c r="BGF1"/>
      <c r="BGG1"/>
      <c r="BGH1"/>
      <c r="BGI1"/>
      <c r="BGJ1"/>
      <c r="BGK1"/>
      <c r="BGL1"/>
      <c r="BGM1"/>
      <c r="BGN1"/>
      <c r="BGO1"/>
      <c r="BGP1"/>
      <c r="BGQ1"/>
      <c r="BGR1"/>
      <c r="BGS1"/>
      <c r="BGT1"/>
      <c r="BGU1"/>
      <c r="BGV1"/>
      <c r="BGW1"/>
      <c r="BGX1"/>
      <c r="BGY1"/>
      <c r="BGZ1"/>
      <c r="BHA1"/>
      <c r="BHB1"/>
      <c r="BHC1"/>
      <c r="BHD1"/>
      <c r="BHE1"/>
      <c r="BHF1"/>
      <c r="BHG1"/>
      <c r="BHH1"/>
      <c r="BHI1"/>
      <c r="BHJ1"/>
      <c r="BHK1"/>
      <c r="BHL1"/>
      <c r="BHM1"/>
      <c r="BHN1"/>
      <c r="BHO1"/>
      <c r="BHP1"/>
      <c r="BHQ1"/>
      <c r="BHR1"/>
      <c r="BHS1"/>
      <c r="BHT1"/>
      <c r="BHU1"/>
      <c r="BHV1"/>
      <c r="BHW1"/>
      <c r="BHX1"/>
      <c r="BHY1"/>
      <c r="BHZ1"/>
      <c r="BIA1"/>
      <c r="BIB1"/>
      <c r="BIC1"/>
      <c r="BID1"/>
      <c r="BIE1"/>
      <c r="BIF1"/>
      <c r="BIG1"/>
      <c r="BIH1"/>
      <c r="BII1"/>
      <c r="BIJ1"/>
      <c r="BIK1"/>
      <c r="BIL1"/>
      <c r="BIM1"/>
      <c r="BIN1"/>
      <c r="BIO1"/>
      <c r="BIP1"/>
      <c r="BIQ1"/>
      <c r="BIR1"/>
      <c r="BIS1"/>
      <c r="BIT1"/>
      <c r="BIU1"/>
      <c r="BIV1"/>
      <c r="BIW1"/>
      <c r="BIX1"/>
      <c r="BIY1"/>
      <c r="BIZ1"/>
      <c r="BJA1"/>
      <c r="BJB1"/>
      <c r="BJC1"/>
      <c r="BJD1"/>
      <c r="BJE1"/>
      <c r="BJF1"/>
      <c r="BJG1"/>
      <c r="BJH1"/>
      <c r="BJI1"/>
      <c r="BJJ1"/>
      <c r="BJK1"/>
      <c r="BJL1"/>
      <c r="BJM1"/>
      <c r="BJN1"/>
      <c r="BJO1"/>
      <c r="BJP1"/>
      <c r="BJQ1"/>
      <c r="BJR1"/>
      <c r="BJS1"/>
      <c r="BJT1"/>
      <c r="BJU1"/>
      <c r="BJV1"/>
      <c r="BJW1"/>
      <c r="BJX1"/>
      <c r="BJY1"/>
      <c r="BJZ1"/>
      <c r="BKA1"/>
      <c r="BKB1"/>
      <c r="BKC1"/>
      <c r="BKD1"/>
      <c r="BKE1"/>
      <c r="BKF1"/>
      <c r="BKG1"/>
      <c r="BKH1"/>
      <c r="BKI1"/>
      <c r="BKJ1"/>
      <c r="BKK1"/>
      <c r="BKL1"/>
      <c r="BKM1"/>
      <c r="BKN1"/>
      <c r="BKO1"/>
      <c r="BKP1"/>
      <c r="BKQ1"/>
      <c r="BKR1"/>
      <c r="BKS1"/>
      <c r="BKT1"/>
      <c r="BKU1"/>
      <c r="BKV1"/>
      <c r="BKW1"/>
      <c r="BKX1"/>
      <c r="BKY1"/>
      <c r="BKZ1"/>
      <c r="BLA1"/>
      <c r="BLB1"/>
      <c r="BLC1"/>
      <c r="BLD1"/>
      <c r="BLE1"/>
      <c r="BLF1"/>
      <c r="BLG1"/>
      <c r="BLH1"/>
      <c r="BLI1"/>
      <c r="BLJ1"/>
      <c r="BLK1"/>
      <c r="BLL1"/>
      <c r="BLM1"/>
      <c r="BLN1"/>
      <c r="BLO1"/>
      <c r="BLP1"/>
      <c r="BLQ1"/>
      <c r="BLR1"/>
      <c r="BLS1"/>
      <c r="BLT1"/>
      <c r="BLU1"/>
      <c r="BLV1"/>
      <c r="BLW1"/>
      <c r="BLX1"/>
      <c r="BLY1"/>
      <c r="BLZ1"/>
      <c r="BMA1"/>
      <c r="BMB1"/>
      <c r="BMC1"/>
      <c r="BMD1"/>
      <c r="BME1"/>
      <c r="BMF1"/>
      <c r="BMG1"/>
      <c r="BMH1"/>
      <c r="BMI1"/>
      <c r="BMJ1"/>
      <c r="BMK1"/>
      <c r="BML1"/>
      <c r="BMM1"/>
      <c r="BMN1"/>
      <c r="BMO1"/>
      <c r="BMP1"/>
      <c r="BMQ1"/>
      <c r="BMR1"/>
      <c r="BMS1"/>
      <c r="BMT1"/>
      <c r="BMU1"/>
      <c r="BMV1"/>
      <c r="BMW1"/>
      <c r="BMX1"/>
      <c r="BMY1"/>
      <c r="BMZ1"/>
      <c r="BNA1"/>
      <c r="BNB1"/>
      <c r="BNC1"/>
      <c r="BND1"/>
      <c r="BNE1"/>
      <c r="BNF1"/>
      <c r="BNG1"/>
      <c r="BNH1"/>
      <c r="BNI1"/>
      <c r="BNJ1"/>
      <c r="BNK1"/>
      <c r="BNL1"/>
      <c r="BNM1"/>
      <c r="BNN1"/>
      <c r="BNO1"/>
      <c r="BNP1"/>
      <c r="BNQ1"/>
      <c r="BNR1"/>
      <c r="BNS1"/>
      <c r="BNT1"/>
      <c r="BNU1"/>
      <c r="BNV1"/>
      <c r="BNW1"/>
      <c r="BNX1"/>
      <c r="BNY1"/>
      <c r="BNZ1"/>
      <c r="BOA1"/>
      <c r="BOB1"/>
      <c r="BOC1"/>
      <c r="BOD1"/>
      <c r="BOE1"/>
      <c r="BOF1"/>
      <c r="BOG1"/>
      <c r="BOH1"/>
      <c r="BOI1"/>
      <c r="BOJ1"/>
      <c r="BOK1"/>
      <c r="BOL1"/>
      <c r="BOM1"/>
      <c r="BON1"/>
      <c r="BOO1"/>
      <c r="BOP1"/>
      <c r="BOQ1"/>
      <c r="BOR1"/>
      <c r="BOS1"/>
      <c r="BOT1"/>
      <c r="BOU1"/>
      <c r="BOV1"/>
      <c r="BOW1"/>
      <c r="BOX1"/>
      <c r="BOY1"/>
      <c r="BOZ1"/>
      <c r="BPA1"/>
      <c r="BPB1"/>
      <c r="BPC1"/>
      <c r="BPD1"/>
      <c r="BPE1"/>
      <c r="BPF1"/>
      <c r="BPG1"/>
      <c r="BPH1"/>
      <c r="BPI1"/>
      <c r="BPJ1"/>
      <c r="BPK1"/>
      <c r="BPL1"/>
      <c r="BPM1"/>
      <c r="BPN1"/>
      <c r="BPO1"/>
      <c r="BPP1"/>
      <c r="BPQ1"/>
      <c r="BPR1"/>
      <c r="BPS1"/>
      <c r="BPT1"/>
      <c r="BPU1"/>
      <c r="BPV1"/>
      <c r="BPW1"/>
      <c r="BPX1"/>
      <c r="BPY1"/>
      <c r="BPZ1"/>
      <c r="BQA1"/>
      <c r="BQB1"/>
      <c r="BQC1"/>
      <c r="BQD1"/>
      <c r="BQE1"/>
      <c r="BQF1"/>
      <c r="BQG1"/>
      <c r="BQH1"/>
      <c r="BQI1"/>
      <c r="BQJ1"/>
      <c r="BQK1"/>
      <c r="BQL1"/>
      <c r="BQM1"/>
      <c r="BQN1"/>
      <c r="BQO1"/>
      <c r="BQP1"/>
      <c r="BQQ1"/>
      <c r="BQR1"/>
      <c r="BQS1"/>
      <c r="BQT1"/>
      <c r="BQU1"/>
      <c r="BQV1"/>
      <c r="BQW1"/>
      <c r="BQX1"/>
      <c r="BQY1"/>
      <c r="BQZ1"/>
      <c r="BRA1"/>
      <c r="BRB1"/>
      <c r="BRC1"/>
      <c r="BRD1"/>
      <c r="BRE1"/>
      <c r="BRF1"/>
      <c r="BRG1"/>
      <c r="BRH1"/>
      <c r="BRI1"/>
      <c r="BRJ1"/>
      <c r="BRK1"/>
      <c r="BRL1"/>
      <c r="BRM1"/>
      <c r="BRN1"/>
      <c r="BRO1"/>
      <c r="BRP1"/>
      <c r="BRQ1"/>
      <c r="BRR1"/>
      <c r="BRS1"/>
      <c r="BRT1"/>
      <c r="BRU1"/>
      <c r="BRV1"/>
      <c r="BRW1"/>
      <c r="BRX1"/>
      <c r="BRY1"/>
      <c r="BRZ1"/>
      <c r="BSA1"/>
      <c r="BSB1"/>
      <c r="BSC1"/>
      <c r="BSD1"/>
      <c r="BSE1"/>
      <c r="BSF1"/>
      <c r="BSG1"/>
      <c r="BSH1"/>
      <c r="BSI1"/>
      <c r="BSJ1"/>
      <c r="BSK1"/>
      <c r="BSL1"/>
      <c r="BSM1"/>
      <c r="BSN1"/>
      <c r="BSO1"/>
      <c r="BSP1"/>
      <c r="BSQ1"/>
      <c r="BSR1"/>
      <c r="BSS1"/>
      <c r="BST1"/>
      <c r="BSU1"/>
      <c r="BSV1"/>
      <c r="BSW1"/>
      <c r="BSX1"/>
      <c r="BSY1"/>
      <c r="BSZ1"/>
      <c r="BTA1"/>
      <c r="BTB1"/>
      <c r="BTC1"/>
      <c r="BTD1"/>
      <c r="BTE1"/>
      <c r="BTF1"/>
      <c r="BTG1"/>
      <c r="BTH1"/>
      <c r="BTI1"/>
      <c r="BTJ1"/>
      <c r="BTK1"/>
      <c r="BTL1"/>
      <c r="BTM1"/>
      <c r="BTN1"/>
      <c r="BTO1"/>
      <c r="BTP1"/>
      <c r="BTQ1"/>
      <c r="BTR1"/>
      <c r="BTS1"/>
      <c r="BTT1"/>
      <c r="BTU1"/>
      <c r="BTV1"/>
      <c r="BTW1"/>
      <c r="BTX1"/>
      <c r="BTY1"/>
      <c r="BTZ1"/>
      <c r="BUA1"/>
      <c r="BUB1"/>
      <c r="BUC1"/>
      <c r="BUD1"/>
      <c r="BUE1"/>
      <c r="BUF1"/>
      <c r="BUG1"/>
      <c r="BUH1"/>
      <c r="BUI1"/>
      <c r="BUJ1"/>
      <c r="BUK1"/>
      <c r="BUL1"/>
      <c r="BUM1"/>
      <c r="BUN1"/>
      <c r="BUO1"/>
      <c r="BUP1"/>
      <c r="BUQ1"/>
      <c r="BUR1"/>
      <c r="BUS1"/>
      <c r="BUT1"/>
      <c r="BUU1"/>
      <c r="BUV1"/>
      <c r="BUW1"/>
      <c r="BUX1"/>
      <c r="BUY1"/>
      <c r="BUZ1"/>
      <c r="BVA1"/>
      <c r="BVB1"/>
      <c r="BVC1"/>
      <c r="BVD1"/>
      <c r="BVE1"/>
      <c r="BVF1"/>
      <c r="BVG1"/>
      <c r="BVH1"/>
      <c r="BVI1"/>
      <c r="BVJ1"/>
      <c r="BVK1"/>
      <c r="BVL1"/>
      <c r="BVM1"/>
      <c r="BVN1"/>
      <c r="BVO1"/>
      <c r="BVP1"/>
      <c r="BVQ1"/>
      <c r="BVR1"/>
      <c r="BVS1"/>
      <c r="BVT1"/>
      <c r="BVU1"/>
      <c r="BVV1"/>
      <c r="BVW1"/>
      <c r="BVX1"/>
      <c r="BVY1"/>
      <c r="BVZ1"/>
      <c r="BWA1"/>
      <c r="BWB1"/>
      <c r="BWC1"/>
      <c r="BWD1"/>
      <c r="BWE1"/>
      <c r="BWF1"/>
      <c r="BWG1"/>
      <c r="BWH1"/>
      <c r="BWI1"/>
      <c r="BWJ1"/>
      <c r="BWK1"/>
      <c r="BWL1"/>
      <c r="BWM1"/>
      <c r="BWN1"/>
      <c r="BWO1"/>
      <c r="BWP1"/>
      <c r="BWQ1"/>
      <c r="BWR1"/>
      <c r="BWS1"/>
      <c r="BWT1"/>
      <c r="BWU1"/>
      <c r="BWV1"/>
      <c r="BWW1"/>
      <c r="BWX1"/>
      <c r="BWY1"/>
      <c r="BWZ1"/>
      <c r="BXA1"/>
      <c r="BXB1"/>
      <c r="BXC1"/>
      <c r="BXD1"/>
      <c r="BXE1"/>
      <c r="BXF1"/>
      <c r="BXG1"/>
      <c r="BXH1"/>
      <c r="BXI1"/>
      <c r="BXJ1"/>
      <c r="BXK1"/>
      <c r="BXL1"/>
      <c r="BXM1"/>
      <c r="BXN1"/>
      <c r="BXO1"/>
      <c r="BXP1"/>
      <c r="BXQ1"/>
      <c r="BXR1"/>
      <c r="BXS1"/>
      <c r="BXT1"/>
      <c r="BXU1"/>
      <c r="BXV1"/>
      <c r="BXW1"/>
      <c r="BXX1"/>
      <c r="BXY1"/>
      <c r="BXZ1"/>
      <c r="BYA1"/>
      <c r="BYB1"/>
      <c r="BYC1"/>
      <c r="BYD1"/>
      <c r="BYE1"/>
      <c r="BYF1"/>
      <c r="BYG1"/>
      <c r="BYH1"/>
      <c r="BYI1"/>
      <c r="BYJ1"/>
      <c r="BYK1"/>
      <c r="BYL1"/>
      <c r="BYM1"/>
      <c r="BYN1"/>
      <c r="BYO1"/>
      <c r="BYP1"/>
      <c r="BYQ1"/>
      <c r="BYR1"/>
      <c r="BYS1"/>
      <c r="BYT1"/>
      <c r="BYU1"/>
      <c r="BYV1"/>
      <c r="BYW1"/>
      <c r="BYX1"/>
      <c r="BYY1"/>
      <c r="BYZ1"/>
      <c r="BZA1"/>
      <c r="BZB1"/>
      <c r="BZC1"/>
      <c r="BZD1"/>
      <c r="BZE1"/>
      <c r="BZF1"/>
      <c r="BZG1"/>
      <c r="BZH1"/>
      <c r="BZI1"/>
      <c r="BZJ1"/>
      <c r="BZK1"/>
      <c r="BZL1"/>
      <c r="BZM1"/>
      <c r="BZN1"/>
      <c r="BZO1"/>
      <c r="BZP1"/>
      <c r="BZQ1"/>
      <c r="BZR1"/>
      <c r="BZS1"/>
      <c r="BZT1"/>
      <c r="BZU1"/>
      <c r="BZV1"/>
      <c r="BZW1"/>
      <c r="BZX1"/>
      <c r="BZY1"/>
      <c r="BZZ1"/>
      <c r="CAA1"/>
      <c r="CAB1"/>
      <c r="CAC1"/>
      <c r="CAD1"/>
      <c r="CAE1"/>
      <c r="CAF1"/>
      <c r="CAG1"/>
      <c r="CAH1"/>
      <c r="CAI1"/>
      <c r="CAJ1"/>
      <c r="CAK1"/>
      <c r="CAL1"/>
      <c r="CAM1"/>
      <c r="CAN1"/>
      <c r="CAO1"/>
      <c r="CAP1"/>
      <c r="CAQ1"/>
      <c r="CAR1"/>
      <c r="CAS1"/>
      <c r="CAT1"/>
      <c r="CAU1"/>
      <c r="CAV1"/>
      <c r="CAW1"/>
      <c r="CAX1"/>
      <c r="CAY1"/>
      <c r="CAZ1"/>
      <c r="CBA1"/>
      <c r="CBB1"/>
      <c r="CBC1"/>
      <c r="CBD1"/>
      <c r="CBE1"/>
      <c r="CBF1"/>
      <c r="CBG1"/>
      <c r="CBH1"/>
      <c r="CBI1"/>
      <c r="CBJ1"/>
      <c r="CBK1"/>
      <c r="CBL1"/>
      <c r="CBM1"/>
      <c r="CBN1"/>
      <c r="CBO1"/>
      <c r="CBP1"/>
      <c r="CBQ1"/>
      <c r="CBR1"/>
      <c r="CBS1"/>
      <c r="CBT1"/>
      <c r="CBU1"/>
      <c r="CBV1"/>
      <c r="CBW1"/>
      <c r="CBX1"/>
      <c r="CBY1"/>
      <c r="CBZ1"/>
      <c r="CCA1"/>
      <c r="CCB1"/>
      <c r="CCC1"/>
      <c r="CCD1"/>
      <c r="CCE1"/>
      <c r="CCF1"/>
      <c r="CCG1"/>
      <c r="CCH1"/>
      <c r="CCI1"/>
      <c r="CCJ1"/>
      <c r="CCK1"/>
      <c r="CCL1"/>
      <c r="CCM1"/>
      <c r="CCN1"/>
      <c r="CCO1"/>
      <c r="CCP1"/>
      <c r="CCQ1"/>
      <c r="CCR1"/>
      <c r="CCS1"/>
      <c r="CCT1"/>
      <c r="CCU1"/>
      <c r="CCV1"/>
      <c r="CCW1"/>
      <c r="CCX1"/>
      <c r="CCY1"/>
      <c r="CCZ1"/>
      <c r="CDA1"/>
      <c r="CDB1"/>
      <c r="CDC1"/>
      <c r="CDD1"/>
      <c r="CDE1"/>
      <c r="CDF1"/>
      <c r="CDG1"/>
      <c r="CDH1"/>
      <c r="CDI1"/>
      <c r="CDJ1"/>
      <c r="CDK1"/>
      <c r="CDL1"/>
      <c r="CDM1"/>
      <c r="CDN1"/>
      <c r="CDO1"/>
      <c r="CDP1"/>
      <c r="CDQ1"/>
      <c r="CDR1"/>
      <c r="CDS1"/>
      <c r="CDT1"/>
      <c r="CDU1"/>
      <c r="CDV1"/>
      <c r="CDW1"/>
      <c r="CDX1"/>
      <c r="CDY1"/>
      <c r="CDZ1"/>
      <c r="CEA1"/>
      <c r="CEB1"/>
      <c r="CEC1"/>
      <c r="CED1"/>
      <c r="CEE1"/>
      <c r="CEF1"/>
      <c r="CEG1"/>
      <c r="CEH1"/>
      <c r="CEI1"/>
      <c r="CEJ1"/>
      <c r="CEK1"/>
      <c r="CEL1"/>
      <c r="CEM1"/>
      <c r="CEN1"/>
      <c r="CEO1"/>
      <c r="CEP1"/>
      <c r="CEQ1"/>
      <c r="CER1"/>
      <c r="CES1"/>
      <c r="CET1"/>
      <c r="CEU1"/>
      <c r="CEV1"/>
      <c r="CEW1"/>
      <c r="CEX1"/>
      <c r="CEY1"/>
      <c r="CEZ1"/>
      <c r="CFA1"/>
      <c r="CFB1"/>
      <c r="CFC1"/>
      <c r="CFD1"/>
      <c r="CFE1"/>
      <c r="CFF1"/>
      <c r="CFG1"/>
      <c r="CFH1"/>
      <c r="CFI1"/>
      <c r="CFJ1"/>
      <c r="CFK1"/>
      <c r="CFL1"/>
      <c r="CFM1"/>
      <c r="CFN1"/>
      <c r="CFO1"/>
      <c r="CFP1"/>
      <c r="CFQ1"/>
      <c r="CFR1"/>
      <c r="CFS1"/>
      <c r="CFT1"/>
      <c r="CFU1"/>
      <c r="CFV1"/>
      <c r="CFW1"/>
      <c r="CFX1"/>
      <c r="CFY1"/>
      <c r="CFZ1"/>
      <c r="CGA1"/>
      <c r="CGB1"/>
      <c r="CGC1"/>
      <c r="CGD1"/>
      <c r="CGE1"/>
      <c r="CGF1"/>
      <c r="CGG1"/>
      <c r="CGH1"/>
      <c r="CGI1"/>
      <c r="CGJ1"/>
      <c r="CGK1"/>
      <c r="CGL1"/>
      <c r="CGM1"/>
      <c r="CGN1"/>
      <c r="CGO1"/>
      <c r="CGP1"/>
      <c r="CGQ1"/>
      <c r="CGR1"/>
      <c r="CGS1"/>
      <c r="CGT1"/>
      <c r="CGU1"/>
      <c r="CGV1"/>
      <c r="CGW1"/>
      <c r="CGX1"/>
      <c r="CGY1"/>
      <c r="CGZ1"/>
      <c r="CHA1"/>
      <c r="CHB1"/>
      <c r="CHC1"/>
      <c r="CHD1"/>
      <c r="CHE1"/>
      <c r="CHF1"/>
      <c r="CHG1"/>
      <c r="CHH1"/>
      <c r="CHI1"/>
      <c r="CHJ1"/>
      <c r="CHK1"/>
      <c r="CHL1"/>
      <c r="CHM1"/>
      <c r="CHN1"/>
      <c r="CHO1"/>
      <c r="CHP1"/>
      <c r="CHQ1"/>
      <c r="CHR1"/>
      <c r="CHS1"/>
      <c r="CHT1"/>
      <c r="CHU1"/>
      <c r="CHV1"/>
      <c r="CHW1"/>
      <c r="CHX1"/>
      <c r="CHY1"/>
      <c r="CHZ1"/>
      <c r="CIA1"/>
      <c r="CIB1"/>
      <c r="CIC1"/>
      <c r="CID1"/>
      <c r="CIE1"/>
      <c r="CIF1"/>
      <c r="CIG1"/>
      <c r="CIH1"/>
      <c r="CII1"/>
      <c r="CIJ1"/>
      <c r="CIK1"/>
      <c r="CIL1"/>
      <c r="CIM1"/>
      <c r="CIN1"/>
      <c r="CIO1"/>
      <c r="CIP1"/>
      <c r="CIQ1"/>
      <c r="CIR1"/>
      <c r="CIS1"/>
      <c r="CIT1"/>
      <c r="CIU1"/>
      <c r="CIV1"/>
      <c r="CIW1"/>
      <c r="CIX1"/>
      <c r="CIY1"/>
      <c r="CIZ1"/>
      <c r="CJA1"/>
      <c r="CJB1"/>
      <c r="CJC1"/>
      <c r="CJD1"/>
      <c r="CJE1"/>
      <c r="CJF1"/>
      <c r="CJG1"/>
      <c r="CJH1"/>
      <c r="CJI1"/>
      <c r="CJJ1"/>
      <c r="CJK1"/>
      <c r="CJL1"/>
      <c r="CJM1"/>
      <c r="CJN1"/>
      <c r="CJO1"/>
      <c r="CJP1"/>
      <c r="CJQ1"/>
      <c r="CJR1"/>
      <c r="CJS1"/>
      <c r="CJT1"/>
      <c r="CJU1"/>
      <c r="CJV1"/>
      <c r="CJW1"/>
      <c r="CJX1"/>
      <c r="CJY1"/>
      <c r="CJZ1"/>
      <c r="CKA1"/>
      <c r="CKB1"/>
      <c r="CKC1"/>
      <c r="CKD1"/>
      <c r="CKE1"/>
      <c r="CKF1"/>
      <c r="CKG1"/>
      <c r="CKH1"/>
      <c r="CKI1"/>
      <c r="CKJ1"/>
      <c r="CKK1"/>
      <c r="CKL1"/>
      <c r="CKM1"/>
      <c r="CKN1"/>
      <c r="CKO1"/>
      <c r="CKP1"/>
      <c r="CKQ1"/>
      <c r="CKR1"/>
      <c r="CKS1"/>
      <c r="CKT1"/>
      <c r="CKU1"/>
      <c r="CKV1"/>
      <c r="CKW1"/>
      <c r="CKX1"/>
      <c r="CKY1"/>
      <c r="CKZ1"/>
      <c r="CLA1"/>
      <c r="CLB1"/>
      <c r="CLC1"/>
      <c r="CLD1"/>
      <c r="CLE1"/>
      <c r="CLF1"/>
      <c r="CLG1"/>
      <c r="CLH1"/>
      <c r="CLI1"/>
      <c r="CLJ1"/>
      <c r="CLK1"/>
      <c r="CLL1"/>
      <c r="CLM1"/>
      <c r="CLN1"/>
      <c r="CLO1"/>
      <c r="CLP1"/>
      <c r="CLQ1"/>
      <c r="CLR1"/>
      <c r="CLS1"/>
      <c r="CLT1"/>
      <c r="CLU1"/>
      <c r="CLV1"/>
      <c r="CLW1"/>
      <c r="CLX1"/>
      <c r="CLY1"/>
      <c r="CLZ1"/>
      <c r="CMA1"/>
      <c r="CMB1"/>
      <c r="CMC1"/>
      <c r="CMD1"/>
      <c r="CME1"/>
      <c r="CMF1"/>
      <c r="CMG1"/>
      <c r="CMH1"/>
      <c r="CMI1"/>
      <c r="CMJ1"/>
      <c r="CMK1"/>
      <c r="CML1"/>
      <c r="CMM1"/>
      <c r="CMN1"/>
      <c r="CMO1"/>
      <c r="CMP1"/>
      <c r="CMQ1"/>
      <c r="CMR1"/>
      <c r="CMS1"/>
      <c r="CMT1"/>
      <c r="CMU1"/>
      <c r="CMV1"/>
      <c r="CMW1"/>
      <c r="CMX1"/>
      <c r="CMY1"/>
      <c r="CMZ1"/>
      <c r="CNA1"/>
      <c r="CNB1"/>
      <c r="CNC1"/>
      <c r="CND1"/>
      <c r="CNE1"/>
      <c r="CNF1"/>
      <c r="CNG1"/>
      <c r="CNH1"/>
      <c r="CNI1"/>
      <c r="CNJ1"/>
      <c r="CNK1"/>
      <c r="CNL1"/>
      <c r="CNM1"/>
      <c r="CNN1"/>
      <c r="CNO1"/>
      <c r="CNP1"/>
      <c r="CNQ1"/>
      <c r="CNR1"/>
      <c r="CNS1"/>
      <c r="CNT1"/>
      <c r="CNU1"/>
      <c r="CNV1"/>
      <c r="CNW1"/>
      <c r="CNX1"/>
      <c r="CNY1"/>
      <c r="CNZ1"/>
      <c r="COA1"/>
      <c r="COB1"/>
      <c r="COC1"/>
      <c r="COD1"/>
      <c r="COE1"/>
      <c r="COF1"/>
      <c r="COG1"/>
      <c r="COH1"/>
      <c r="COI1"/>
      <c r="COJ1"/>
      <c r="COK1"/>
      <c r="COL1"/>
      <c r="COM1"/>
      <c r="CON1"/>
      <c r="COO1"/>
      <c r="COP1"/>
      <c r="COQ1"/>
      <c r="COR1"/>
      <c r="COS1"/>
      <c r="COT1"/>
      <c r="COU1"/>
      <c r="COV1"/>
      <c r="COW1"/>
      <c r="COX1"/>
      <c r="COY1"/>
      <c r="COZ1"/>
      <c r="CPA1"/>
      <c r="CPB1"/>
      <c r="CPC1"/>
      <c r="CPD1"/>
      <c r="CPE1"/>
      <c r="CPF1"/>
      <c r="CPG1"/>
      <c r="CPH1"/>
      <c r="CPI1"/>
      <c r="CPJ1"/>
      <c r="CPK1"/>
      <c r="CPL1"/>
      <c r="CPM1"/>
      <c r="CPN1"/>
      <c r="CPO1"/>
      <c r="CPP1"/>
      <c r="CPQ1"/>
      <c r="CPR1"/>
      <c r="CPS1"/>
      <c r="CPT1"/>
      <c r="CPU1"/>
      <c r="CPV1"/>
      <c r="CPW1"/>
      <c r="CPX1"/>
      <c r="CPY1"/>
      <c r="CPZ1"/>
      <c r="CQA1"/>
      <c r="CQB1"/>
      <c r="CQC1"/>
      <c r="CQD1"/>
      <c r="CQE1"/>
      <c r="CQF1"/>
      <c r="CQG1"/>
      <c r="CQH1"/>
      <c r="CQI1"/>
      <c r="CQJ1"/>
      <c r="CQK1"/>
      <c r="CQL1"/>
      <c r="CQM1"/>
      <c r="CQN1"/>
      <c r="CQO1"/>
      <c r="CQP1"/>
      <c r="CQQ1"/>
      <c r="CQR1"/>
      <c r="CQS1"/>
      <c r="CQT1"/>
      <c r="CQU1"/>
      <c r="CQV1"/>
      <c r="CQW1"/>
      <c r="CQX1"/>
      <c r="CQY1"/>
      <c r="CQZ1"/>
      <c r="CRA1"/>
      <c r="CRB1"/>
      <c r="CRC1"/>
      <c r="CRD1"/>
      <c r="CRE1"/>
      <c r="CRF1"/>
      <c r="CRG1"/>
      <c r="CRH1"/>
      <c r="CRI1"/>
      <c r="CRJ1"/>
      <c r="CRK1"/>
      <c r="CRL1"/>
      <c r="CRM1"/>
      <c r="CRN1"/>
      <c r="CRO1"/>
      <c r="CRP1"/>
      <c r="CRQ1"/>
      <c r="CRR1"/>
      <c r="CRS1"/>
      <c r="CRT1"/>
      <c r="CRU1"/>
      <c r="CRV1"/>
      <c r="CRW1"/>
      <c r="CRX1"/>
      <c r="CRY1"/>
      <c r="CRZ1"/>
      <c r="CSA1"/>
      <c r="CSB1"/>
      <c r="CSC1"/>
      <c r="CSD1"/>
      <c r="CSE1"/>
      <c r="CSF1"/>
      <c r="CSG1"/>
      <c r="CSH1"/>
      <c r="CSI1"/>
      <c r="CSJ1"/>
      <c r="CSK1"/>
      <c r="CSL1"/>
      <c r="CSM1"/>
      <c r="CSN1"/>
      <c r="CSO1"/>
      <c r="CSP1"/>
      <c r="CSQ1"/>
      <c r="CSR1"/>
      <c r="CSS1"/>
      <c r="CST1"/>
      <c r="CSU1"/>
      <c r="CSV1"/>
      <c r="CSW1"/>
      <c r="CSX1"/>
      <c r="CSY1"/>
      <c r="CSZ1"/>
      <c r="CTA1"/>
      <c r="CTB1"/>
      <c r="CTC1"/>
      <c r="CTD1"/>
      <c r="CTE1"/>
      <c r="CTF1"/>
      <c r="CTG1"/>
      <c r="CTH1"/>
      <c r="CTI1"/>
      <c r="CTJ1"/>
      <c r="CTK1"/>
      <c r="CTL1"/>
      <c r="CTM1"/>
      <c r="CTN1"/>
      <c r="CTO1"/>
      <c r="CTP1"/>
      <c r="CTQ1"/>
      <c r="CTR1"/>
      <c r="CTS1"/>
      <c r="CTT1"/>
      <c r="CTU1"/>
      <c r="CTV1"/>
      <c r="CTW1"/>
      <c r="CTX1"/>
      <c r="CTY1"/>
      <c r="CTZ1"/>
      <c r="CUA1"/>
      <c r="CUB1"/>
      <c r="CUC1"/>
      <c r="CUD1"/>
      <c r="CUE1"/>
      <c r="CUF1"/>
      <c r="CUG1"/>
      <c r="CUH1"/>
      <c r="CUI1"/>
      <c r="CUJ1"/>
      <c r="CUK1"/>
      <c r="CUL1"/>
      <c r="CUM1"/>
      <c r="CUN1"/>
      <c r="CUO1"/>
      <c r="CUP1"/>
      <c r="CUQ1"/>
      <c r="CUR1"/>
      <c r="CUS1"/>
      <c r="CUT1"/>
      <c r="CUU1"/>
      <c r="CUV1"/>
      <c r="CUW1"/>
      <c r="CUX1"/>
      <c r="CUY1"/>
      <c r="CUZ1"/>
      <c r="CVA1"/>
      <c r="CVB1"/>
      <c r="CVC1"/>
      <c r="CVD1"/>
      <c r="CVE1"/>
      <c r="CVF1"/>
      <c r="CVG1"/>
      <c r="CVH1"/>
      <c r="CVI1"/>
      <c r="CVJ1"/>
      <c r="CVK1"/>
      <c r="CVL1"/>
      <c r="CVM1"/>
      <c r="CVN1"/>
      <c r="CVO1"/>
      <c r="CVP1"/>
      <c r="CVQ1"/>
      <c r="CVR1"/>
      <c r="CVS1"/>
      <c r="CVT1"/>
      <c r="CVU1"/>
      <c r="CVV1"/>
      <c r="CVW1"/>
      <c r="CVX1"/>
      <c r="CVY1"/>
      <c r="CVZ1"/>
      <c r="CWA1"/>
      <c r="CWB1"/>
      <c r="CWC1"/>
      <c r="CWD1"/>
      <c r="CWE1"/>
      <c r="CWF1"/>
      <c r="CWG1"/>
      <c r="CWH1"/>
      <c r="CWI1"/>
      <c r="CWJ1"/>
      <c r="CWK1"/>
      <c r="CWL1"/>
      <c r="CWM1"/>
      <c r="CWN1"/>
      <c r="CWO1"/>
      <c r="CWP1"/>
      <c r="CWQ1"/>
      <c r="CWR1"/>
      <c r="CWS1"/>
      <c r="CWT1"/>
      <c r="CWU1"/>
      <c r="CWV1"/>
      <c r="CWW1"/>
      <c r="CWX1"/>
      <c r="CWY1"/>
      <c r="CWZ1"/>
      <c r="CXA1"/>
      <c r="CXB1"/>
      <c r="CXC1"/>
      <c r="CXD1"/>
      <c r="CXE1"/>
      <c r="CXF1"/>
      <c r="CXG1"/>
      <c r="CXH1"/>
      <c r="CXI1"/>
      <c r="CXJ1"/>
      <c r="CXK1"/>
      <c r="CXL1"/>
      <c r="CXM1"/>
      <c r="CXN1"/>
      <c r="CXO1"/>
      <c r="CXP1"/>
      <c r="CXQ1"/>
      <c r="CXR1"/>
      <c r="CXS1"/>
      <c r="CXT1"/>
      <c r="CXU1"/>
      <c r="CXV1"/>
      <c r="CXW1"/>
      <c r="CXX1"/>
      <c r="CXY1"/>
      <c r="CXZ1"/>
      <c r="CYA1"/>
      <c r="CYB1"/>
      <c r="CYC1"/>
      <c r="CYD1"/>
      <c r="CYE1"/>
      <c r="CYF1"/>
      <c r="CYG1"/>
      <c r="CYH1"/>
      <c r="CYI1"/>
      <c r="CYJ1"/>
      <c r="CYK1"/>
      <c r="CYL1"/>
      <c r="CYM1"/>
      <c r="CYN1"/>
      <c r="CYO1"/>
      <c r="CYP1"/>
      <c r="CYQ1"/>
      <c r="CYR1"/>
      <c r="CYS1"/>
      <c r="CYT1"/>
      <c r="CYU1"/>
      <c r="CYV1"/>
      <c r="CYW1"/>
      <c r="CYX1"/>
      <c r="CYY1"/>
      <c r="CYZ1"/>
      <c r="CZA1"/>
      <c r="CZB1"/>
      <c r="CZC1"/>
      <c r="CZD1"/>
      <c r="CZE1"/>
      <c r="CZF1"/>
      <c r="CZG1"/>
      <c r="CZH1"/>
      <c r="CZI1"/>
      <c r="CZJ1"/>
      <c r="CZK1"/>
      <c r="CZL1"/>
      <c r="CZM1"/>
      <c r="CZN1"/>
      <c r="CZO1"/>
      <c r="CZP1"/>
      <c r="CZQ1"/>
      <c r="CZR1"/>
      <c r="CZS1"/>
      <c r="CZT1"/>
      <c r="CZU1"/>
      <c r="CZV1"/>
      <c r="CZW1"/>
      <c r="CZX1"/>
      <c r="CZY1"/>
      <c r="CZZ1"/>
      <c r="DAA1"/>
      <c r="DAB1"/>
      <c r="DAC1"/>
      <c r="DAD1"/>
      <c r="DAE1"/>
      <c r="DAF1"/>
      <c r="DAG1"/>
      <c r="DAH1"/>
      <c r="DAI1"/>
      <c r="DAJ1"/>
      <c r="DAK1"/>
      <c r="DAL1"/>
      <c r="DAM1"/>
      <c r="DAN1"/>
      <c r="DAO1"/>
      <c r="DAP1"/>
      <c r="DAQ1"/>
      <c r="DAR1"/>
      <c r="DAS1"/>
      <c r="DAT1"/>
      <c r="DAU1"/>
      <c r="DAV1"/>
      <c r="DAW1"/>
      <c r="DAX1"/>
      <c r="DAY1"/>
      <c r="DAZ1"/>
      <c r="DBA1"/>
      <c r="DBB1"/>
      <c r="DBC1"/>
      <c r="DBD1"/>
      <c r="DBE1"/>
      <c r="DBF1"/>
      <c r="DBG1"/>
      <c r="DBH1"/>
      <c r="DBI1"/>
      <c r="DBJ1"/>
      <c r="DBK1"/>
      <c r="DBL1"/>
      <c r="DBM1"/>
      <c r="DBN1"/>
      <c r="DBO1"/>
      <c r="DBP1"/>
      <c r="DBQ1"/>
      <c r="DBR1"/>
      <c r="DBS1"/>
      <c r="DBT1"/>
      <c r="DBU1"/>
      <c r="DBV1"/>
      <c r="DBW1"/>
      <c r="DBX1"/>
      <c r="DBY1"/>
      <c r="DBZ1"/>
      <c r="DCA1"/>
      <c r="DCB1"/>
      <c r="DCC1"/>
      <c r="DCD1"/>
      <c r="DCE1"/>
      <c r="DCF1"/>
      <c r="DCG1"/>
      <c r="DCH1"/>
      <c r="DCI1"/>
      <c r="DCJ1"/>
      <c r="DCK1"/>
      <c r="DCL1"/>
      <c r="DCM1"/>
      <c r="DCN1"/>
      <c r="DCO1"/>
      <c r="DCP1"/>
      <c r="DCQ1"/>
      <c r="DCR1"/>
      <c r="DCS1"/>
      <c r="DCT1"/>
      <c r="DCU1"/>
      <c r="DCV1"/>
      <c r="DCW1"/>
      <c r="DCX1"/>
      <c r="DCY1"/>
      <c r="DCZ1"/>
      <c r="DDA1"/>
      <c r="DDB1"/>
      <c r="DDC1"/>
      <c r="DDD1"/>
      <c r="DDE1"/>
      <c r="DDF1"/>
      <c r="DDG1"/>
      <c r="DDH1"/>
      <c r="DDI1"/>
      <c r="DDJ1"/>
      <c r="DDK1"/>
      <c r="DDL1"/>
      <c r="DDM1"/>
      <c r="DDN1"/>
      <c r="DDO1"/>
      <c r="DDP1"/>
      <c r="DDQ1"/>
      <c r="DDR1"/>
      <c r="DDS1"/>
      <c r="DDT1"/>
      <c r="DDU1"/>
      <c r="DDV1"/>
      <c r="DDW1"/>
      <c r="DDX1"/>
      <c r="DDY1"/>
      <c r="DDZ1"/>
      <c r="DEA1"/>
      <c r="DEB1"/>
      <c r="DEC1"/>
      <c r="DED1"/>
      <c r="DEE1"/>
      <c r="DEF1"/>
      <c r="DEG1"/>
      <c r="DEH1"/>
      <c r="DEI1"/>
      <c r="DEJ1"/>
      <c r="DEK1"/>
      <c r="DEL1"/>
      <c r="DEM1"/>
      <c r="DEN1"/>
      <c r="DEO1"/>
      <c r="DEP1"/>
      <c r="DEQ1"/>
      <c r="DER1"/>
      <c r="DES1"/>
      <c r="DET1"/>
      <c r="DEU1"/>
      <c r="DEV1"/>
      <c r="DEW1"/>
      <c r="DEX1"/>
      <c r="DEY1"/>
      <c r="DEZ1"/>
      <c r="DFA1"/>
      <c r="DFB1"/>
      <c r="DFC1"/>
      <c r="DFD1"/>
      <c r="DFE1"/>
      <c r="DFF1"/>
      <c r="DFG1"/>
      <c r="DFH1"/>
      <c r="DFI1"/>
      <c r="DFJ1"/>
      <c r="DFK1"/>
      <c r="DFL1"/>
      <c r="DFM1"/>
      <c r="DFN1"/>
      <c r="DFO1"/>
      <c r="DFP1"/>
      <c r="DFQ1"/>
      <c r="DFR1"/>
      <c r="DFS1"/>
      <c r="DFT1"/>
      <c r="DFU1"/>
      <c r="DFV1"/>
      <c r="DFW1"/>
      <c r="DFX1"/>
      <c r="DFY1"/>
      <c r="DFZ1"/>
      <c r="DGA1"/>
      <c r="DGB1"/>
      <c r="DGC1"/>
      <c r="DGD1"/>
      <c r="DGE1"/>
      <c r="DGF1"/>
      <c r="DGG1"/>
      <c r="DGH1"/>
      <c r="DGI1"/>
      <c r="DGJ1"/>
      <c r="DGK1"/>
      <c r="DGL1"/>
      <c r="DGM1"/>
      <c r="DGN1"/>
      <c r="DGO1"/>
      <c r="DGP1"/>
      <c r="DGQ1"/>
      <c r="DGR1"/>
      <c r="DGS1"/>
      <c r="DGT1"/>
      <c r="DGU1"/>
      <c r="DGV1"/>
      <c r="DGW1"/>
      <c r="DGX1"/>
      <c r="DGY1"/>
      <c r="DGZ1"/>
      <c r="DHA1"/>
      <c r="DHB1"/>
      <c r="DHC1"/>
      <c r="DHD1"/>
      <c r="DHE1"/>
      <c r="DHF1"/>
      <c r="DHG1"/>
      <c r="DHH1"/>
      <c r="DHI1"/>
      <c r="DHJ1"/>
      <c r="DHK1"/>
      <c r="DHL1"/>
      <c r="DHM1"/>
      <c r="DHN1"/>
      <c r="DHO1"/>
      <c r="DHP1"/>
      <c r="DHQ1"/>
      <c r="DHR1"/>
      <c r="DHS1"/>
      <c r="DHT1"/>
      <c r="DHU1"/>
      <c r="DHV1"/>
      <c r="DHW1"/>
      <c r="DHX1"/>
      <c r="DHY1"/>
      <c r="DHZ1"/>
      <c r="DIA1"/>
      <c r="DIB1"/>
      <c r="DIC1"/>
      <c r="DID1"/>
      <c r="DIE1"/>
      <c r="DIF1"/>
      <c r="DIG1"/>
      <c r="DIH1"/>
      <c r="DII1"/>
      <c r="DIJ1"/>
      <c r="DIK1"/>
      <c r="DIL1"/>
      <c r="DIM1"/>
      <c r="DIN1"/>
      <c r="DIO1"/>
      <c r="DIP1"/>
      <c r="DIQ1"/>
      <c r="DIR1"/>
      <c r="DIS1"/>
      <c r="DIT1"/>
      <c r="DIU1"/>
      <c r="DIV1"/>
      <c r="DIW1"/>
      <c r="DIX1"/>
      <c r="DIY1"/>
      <c r="DIZ1"/>
      <c r="DJA1"/>
      <c r="DJB1"/>
      <c r="DJC1"/>
      <c r="DJD1"/>
      <c r="DJE1"/>
      <c r="DJF1"/>
      <c r="DJG1"/>
      <c r="DJH1"/>
      <c r="DJI1"/>
      <c r="DJJ1"/>
      <c r="DJK1"/>
      <c r="DJL1"/>
      <c r="DJM1"/>
      <c r="DJN1"/>
      <c r="DJO1"/>
      <c r="DJP1"/>
      <c r="DJQ1"/>
      <c r="DJR1"/>
      <c r="DJS1"/>
      <c r="DJT1"/>
      <c r="DJU1"/>
      <c r="DJV1"/>
      <c r="DJW1"/>
      <c r="DJX1"/>
      <c r="DJY1"/>
      <c r="DJZ1"/>
      <c r="DKA1"/>
      <c r="DKB1"/>
      <c r="DKC1"/>
      <c r="DKD1"/>
      <c r="DKE1"/>
      <c r="DKF1"/>
      <c r="DKG1"/>
      <c r="DKH1"/>
      <c r="DKI1"/>
      <c r="DKJ1"/>
      <c r="DKK1"/>
      <c r="DKL1"/>
      <c r="DKM1"/>
      <c r="DKN1"/>
      <c r="DKO1"/>
      <c r="DKP1"/>
      <c r="DKQ1"/>
      <c r="DKR1"/>
      <c r="DKS1"/>
      <c r="DKT1"/>
      <c r="DKU1"/>
      <c r="DKV1"/>
      <c r="DKW1"/>
      <c r="DKX1"/>
      <c r="DKY1"/>
      <c r="DKZ1"/>
      <c r="DLA1"/>
      <c r="DLB1"/>
      <c r="DLC1"/>
      <c r="DLD1"/>
      <c r="DLE1"/>
      <c r="DLF1"/>
      <c r="DLG1"/>
      <c r="DLH1"/>
      <c r="DLI1"/>
      <c r="DLJ1"/>
      <c r="DLK1"/>
      <c r="DLL1"/>
      <c r="DLM1"/>
      <c r="DLN1"/>
      <c r="DLO1"/>
      <c r="DLP1"/>
      <c r="DLQ1"/>
      <c r="DLR1"/>
      <c r="DLS1"/>
      <c r="DLT1"/>
      <c r="DLU1"/>
      <c r="DLV1"/>
      <c r="DLW1"/>
      <c r="DLX1"/>
      <c r="DLY1"/>
      <c r="DLZ1"/>
      <c r="DMA1"/>
      <c r="DMB1"/>
      <c r="DMC1"/>
      <c r="DMD1"/>
      <c r="DME1"/>
      <c r="DMF1"/>
      <c r="DMG1"/>
      <c r="DMH1"/>
      <c r="DMI1"/>
      <c r="DMJ1"/>
      <c r="DMK1"/>
      <c r="DML1"/>
      <c r="DMM1"/>
      <c r="DMN1"/>
      <c r="DMO1"/>
      <c r="DMP1"/>
      <c r="DMQ1"/>
      <c r="DMR1"/>
      <c r="DMS1"/>
      <c r="DMT1"/>
      <c r="DMU1"/>
      <c r="DMV1"/>
      <c r="DMW1"/>
      <c r="DMX1"/>
      <c r="DMY1"/>
      <c r="DMZ1"/>
      <c r="DNA1"/>
      <c r="DNB1"/>
      <c r="DNC1"/>
      <c r="DND1"/>
      <c r="DNE1"/>
      <c r="DNF1"/>
      <c r="DNG1"/>
      <c r="DNH1"/>
      <c r="DNI1"/>
      <c r="DNJ1"/>
      <c r="DNK1"/>
      <c r="DNL1"/>
      <c r="DNM1"/>
      <c r="DNN1"/>
      <c r="DNO1"/>
      <c r="DNP1"/>
      <c r="DNQ1"/>
      <c r="DNR1"/>
      <c r="DNS1"/>
      <c r="DNT1"/>
      <c r="DNU1"/>
      <c r="DNV1"/>
      <c r="DNW1"/>
      <c r="DNX1"/>
      <c r="DNY1"/>
      <c r="DNZ1"/>
      <c r="DOA1"/>
      <c r="DOB1"/>
      <c r="DOC1"/>
      <c r="DOD1"/>
      <c r="DOE1"/>
      <c r="DOF1"/>
      <c r="DOG1"/>
      <c r="DOH1"/>
      <c r="DOI1"/>
      <c r="DOJ1"/>
      <c r="DOK1"/>
      <c r="DOL1"/>
      <c r="DOM1"/>
      <c r="DON1"/>
      <c r="DOO1"/>
      <c r="DOP1"/>
      <c r="DOQ1"/>
      <c r="DOR1"/>
      <c r="DOS1"/>
      <c r="DOT1"/>
      <c r="DOU1"/>
      <c r="DOV1"/>
      <c r="DOW1"/>
      <c r="DOX1"/>
      <c r="DOY1"/>
      <c r="DOZ1"/>
      <c r="DPA1"/>
      <c r="DPB1"/>
      <c r="DPC1"/>
      <c r="DPD1"/>
      <c r="DPE1"/>
      <c r="DPF1"/>
      <c r="DPG1"/>
      <c r="DPH1"/>
      <c r="DPI1"/>
      <c r="DPJ1"/>
      <c r="DPK1"/>
      <c r="DPL1"/>
      <c r="DPM1"/>
      <c r="DPN1"/>
      <c r="DPO1"/>
      <c r="DPP1"/>
      <c r="DPQ1"/>
      <c r="DPR1"/>
      <c r="DPS1"/>
      <c r="DPT1"/>
      <c r="DPU1"/>
      <c r="DPV1"/>
      <c r="DPW1"/>
      <c r="DPX1"/>
      <c r="DPY1"/>
      <c r="DPZ1"/>
      <c r="DQA1"/>
      <c r="DQB1"/>
      <c r="DQC1"/>
      <c r="DQD1"/>
      <c r="DQE1"/>
      <c r="DQF1"/>
      <c r="DQG1"/>
      <c r="DQH1"/>
      <c r="DQI1"/>
      <c r="DQJ1"/>
      <c r="DQK1"/>
      <c r="DQL1"/>
      <c r="DQM1"/>
      <c r="DQN1"/>
      <c r="DQO1"/>
      <c r="DQP1"/>
      <c r="DQQ1"/>
      <c r="DQR1"/>
      <c r="DQS1"/>
      <c r="DQT1"/>
      <c r="DQU1"/>
      <c r="DQV1"/>
      <c r="DQW1"/>
      <c r="DQX1"/>
      <c r="DQY1"/>
      <c r="DQZ1"/>
      <c r="DRA1"/>
      <c r="DRB1"/>
      <c r="DRC1"/>
      <c r="DRD1"/>
      <c r="DRE1"/>
      <c r="DRF1"/>
      <c r="DRG1"/>
      <c r="DRH1"/>
      <c r="DRI1"/>
      <c r="DRJ1"/>
      <c r="DRK1"/>
      <c r="DRL1"/>
      <c r="DRM1"/>
      <c r="DRN1"/>
      <c r="DRO1"/>
      <c r="DRP1"/>
      <c r="DRQ1"/>
      <c r="DRR1"/>
      <c r="DRS1"/>
      <c r="DRT1"/>
      <c r="DRU1"/>
      <c r="DRV1"/>
      <c r="DRW1"/>
      <c r="DRX1"/>
      <c r="DRY1"/>
      <c r="DRZ1"/>
      <c r="DSA1"/>
      <c r="DSB1"/>
      <c r="DSC1"/>
      <c r="DSD1"/>
      <c r="DSE1"/>
      <c r="DSF1"/>
      <c r="DSG1"/>
      <c r="DSH1"/>
      <c r="DSI1"/>
      <c r="DSJ1"/>
      <c r="DSK1"/>
      <c r="DSL1"/>
      <c r="DSM1"/>
      <c r="DSN1"/>
      <c r="DSO1"/>
      <c r="DSP1"/>
      <c r="DSQ1"/>
      <c r="DSR1"/>
      <c r="DSS1"/>
      <c r="DST1"/>
      <c r="DSU1"/>
      <c r="DSV1"/>
      <c r="DSW1"/>
      <c r="DSX1"/>
      <c r="DSY1"/>
      <c r="DSZ1"/>
      <c r="DTA1"/>
      <c r="DTB1"/>
      <c r="DTC1"/>
      <c r="DTD1"/>
      <c r="DTE1"/>
      <c r="DTF1"/>
      <c r="DTG1"/>
      <c r="DTH1"/>
      <c r="DTI1"/>
      <c r="DTJ1"/>
      <c r="DTK1"/>
      <c r="DTL1"/>
      <c r="DTM1"/>
      <c r="DTN1"/>
      <c r="DTO1"/>
      <c r="DTP1"/>
      <c r="DTQ1"/>
      <c r="DTR1"/>
      <c r="DTS1"/>
      <c r="DTT1"/>
      <c r="DTU1"/>
      <c r="DTV1"/>
      <c r="DTW1"/>
      <c r="DTX1"/>
      <c r="DTY1"/>
      <c r="DTZ1"/>
      <c r="DUA1"/>
      <c r="DUB1"/>
      <c r="DUC1"/>
      <c r="DUD1"/>
      <c r="DUE1"/>
      <c r="DUF1"/>
      <c r="DUG1"/>
      <c r="DUH1"/>
      <c r="DUI1"/>
      <c r="DUJ1"/>
      <c r="DUK1"/>
      <c r="DUL1"/>
      <c r="DUM1"/>
      <c r="DUN1"/>
      <c r="DUO1"/>
      <c r="DUP1"/>
      <c r="DUQ1"/>
      <c r="DUR1"/>
      <c r="DUS1"/>
      <c r="DUT1"/>
      <c r="DUU1"/>
      <c r="DUV1"/>
      <c r="DUW1"/>
      <c r="DUX1"/>
      <c r="DUY1"/>
      <c r="DUZ1"/>
      <c r="DVA1"/>
      <c r="DVB1"/>
      <c r="DVC1"/>
      <c r="DVD1"/>
      <c r="DVE1"/>
      <c r="DVF1"/>
      <c r="DVG1"/>
      <c r="DVH1"/>
      <c r="DVI1"/>
      <c r="DVJ1"/>
      <c r="DVK1"/>
      <c r="DVL1"/>
      <c r="DVM1"/>
      <c r="DVN1"/>
      <c r="DVO1"/>
      <c r="DVP1"/>
      <c r="DVQ1"/>
      <c r="DVR1"/>
      <c r="DVS1"/>
      <c r="DVT1"/>
      <c r="DVU1"/>
      <c r="DVV1"/>
      <c r="DVW1"/>
      <c r="DVX1"/>
      <c r="DVY1"/>
      <c r="DVZ1"/>
      <c r="DWA1"/>
      <c r="DWB1"/>
      <c r="DWC1"/>
      <c r="DWD1"/>
      <c r="DWE1"/>
      <c r="DWF1"/>
      <c r="DWG1"/>
      <c r="DWH1"/>
      <c r="DWI1"/>
      <c r="DWJ1"/>
      <c r="DWK1"/>
      <c r="DWL1"/>
      <c r="DWM1"/>
      <c r="DWN1"/>
      <c r="DWO1"/>
      <c r="DWP1"/>
      <c r="DWQ1"/>
      <c r="DWR1"/>
      <c r="DWS1"/>
      <c r="DWT1"/>
      <c r="DWU1"/>
      <c r="DWV1"/>
      <c r="DWW1"/>
      <c r="DWX1"/>
      <c r="DWY1"/>
      <c r="DWZ1"/>
      <c r="DXA1"/>
      <c r="DXB1"/>
      <c r="DXC1"/>
      <c r="DXD1"/>
      <c r="DXE1"/>
      <c r="DXF1"/>
      <c r="DXG1"/>
      <c r="DXH1"/>
      <c r="DXI1"/>
      <c r="DXJ1"/>
      <c r="DXK1"/>
      <c r="DXL1"/>
      <c r="DXM1"/>
      <c r="DXN1"/>
      <c r="DXO1"/>
      <c r="DXP1"/>
      <c r="DXQ1"/>
      <c r="DXR1"/>
      <c r="DXS1"/>
      <c r="DXT1"/>
      <c r="DXU1"/>
      <c r="DXV1"/>
      <c r="DXW1"/>
      <c r="DXX1"/>
      <c r="DXY1"/>
      <c r="DXZ1"/>
      <c r="DYA1"/>
      <c r="DYB1"/>
      <c r="DYC1"/>
      <c r="DYD1"/>
      <c r="DYE1"/>
      <c r="DYF1"/>
      <c r="DYG1"/>
      <c r="DYH1"/>
      <c r="DYI1"/>
      <c r="DYJ1"/>
      <c r="DYK1"/>
      <c r="DYL1"/>
      <c r="DYM1"/>
      <c r="DYN1"/>
      <c r="DYO1"/>
      <c r="DYP1"/>
      <c r="DYQ1"/>
      <c r="DYR1"/>
      <c r="DYS1"/>
      <c r="DYT1"/>
      <c r="DYU1"/>
      <c r="DYV1"/>
      <c r="DYW1"/>
      <c r="DYX1"/>
      <c r="DYY1"/>
      <c r="DYZ1"/>
      <c r="DZA1"/>
      <c r="DZB1"/>
      <c r="DZC1"/>
      <c r="DZD1"/>
      <c r="DZE1"/>
      <c r="DZF1"/>
      <c r="DZG1"/>
      <c r="DZH1"/>
      <c r="DZI1"/>
      <c r="DZJ1"/>
      <c r="DZK1"/>
      <c r="DZL1"/>
      <c r="DZM1"/>
      <c r="DZN1"/>
      <c r="DZO1"/>
      <c r="DZP1"/>
      <c r="DZQ1"/>
      <c r="DZR1"/>
      <c r="DZS1"/>
      <c r="DZT1"/>
      <c r="DZU1"/>
      <c r="DZV1"/>
      <c r="DZW1"/>
      <c r="DZX1"/>
      <c r="DZY1"/>
      <c r="DZZ1"/>
      <c r="EAA1"/>
      <c r="EAB1"/>
      <c r="EAC1"/>
      <c r="EAD1"/>
      <c r="EAE1"/>
      <c r="EAF1"/>
      <c r="EAG1"/>
      <c r="EAH1"/>
      <c r="EAI1"/>
      <c r="EAJ1"/>
      <c r="EAK1"/>
      <c r="EAL1"/>
      <c r="EAM1"/>
      <c r="EAN1"/>
      <c r="EAO1"/>
      <c r="EAP1"/>
      <c r="EAQ1"/>
      <c r="EAR1"/>
      <c r="EAS1"/>
      <c r="EAT1"/>
      <c r="EAU1"/>
      <c r="EAV1"/>
      <c r="EAW1"/>
      <c r="EAX1"/>
      <c r="EAY1"/>
      <c r="EAZ1"/>
      <c r="EBA1"/>
      <c r="EBB1"/>
      <c r="EBC1"/>
      <c r="EBD1"/>
      <c r="EBE1"/>
      <c r="EBF1"/>
      <c r="EBG1"/>
      <c r="EBH1"/>
      <c r="EBI1"/>
      <c r="EBJ1"/>
      <c r="EBK1"/>
      <c r="EBL1"/>
      <c r="EBM1"/>
      <c r="EBN1"/>
      <c r="EBO1"/>
      <c r="EBP1"/>
      <c r="EBQ1"/>
      <c r="EBR1"/>
      <c r="EBS1"/>
      <c r="EBT1"/>
      <c r="EBU1"/>
      <c r="EBV1"/>
      <c r="EBW1"/>
      <c r="EBX1"/>
      <c r="EBY1"/>
      <c r="EBZ1"/>
      <c r="ECA1"/>
      <c r="ECB1"/>
      <c r="ECC1"/>
      <c r="ECD1"/>
      <c r="ECE1"/>
      <c r="ECF1"/>
      <c r="ECG1"/>
      <c r="ECH1"/>
      <c r="ECI1"/>
      <c r="ECJ1"/>
      <c r="ECK1"/>
      <c r="ECL1"/>
      <c r="ECM1"/>
      <c r="ECN1"/>
      <c r="ECO1"/>
      <c r="ECP1"/>
      <c r="ECQ1"/>
      <c r="ECR1"/>
      <c r="ECS1"/>
      <c r="ECT1"/>
      <c r="ECU1"/>
      <c r="ECV1"/>
      <c r="ECW1"/>
      <c r="ECX1"/>
      <c r="ECY1"/>
      <c r="ECZ1"/>
      <c r="EDA1"/>
      <c r="EDB1"/>
      <c r="EDC1"/>
      <c r="EDD1"/>
      <c r="EDE1"/>
      <c r="EDF1"/>
      <c r="EDG1"/>
      <c r="EDH1"/>
      <c r="EDI1"/>
      <c r="EDJ1"/>
      <c r="EDK1"/>
      <c r="EDL1"/>
      <c r="EDM1"/>
      <c r="EDN1"/>
      <c r="EDO1"/>
      <c r="EDP1"/>
      <c r="EDQ1"/>
      <c r="EDR1"/>
      <c r="EDS1"/>
      <c r="EDT1"/>
      <c r="EDU1"/>
      <c r="EDV1"/>
      <c r="EDW1"/>
      <c r="EDX1"/>
      <c r="EDY1"/>
      <c r="EDZ1"/>
      <c r="EEA1"/>
      <c r="EEB1"/>
      <c r="EEC1"/>
      <c r="EED1"/>
      <c r="EEE1"/>
      <c r="EEF1"/>
      <c r="EEG1"/>
      <c r="EEH1"/>
      <c r="EEI1"/>
      <c r="EEJ1"/>
      <c r="EEK1"/>
      <c r="EEL1"/>
      <c r="EEM1"/>
      <c r="EEN1"/>
      <c r="EEO1"/>
      <c r="EEP1"/>
      <c r="EEQ1"/>
      <c r="EER1"/>
      <c r="EES1"/>
      <c r="EET1"/>
      <c r="EEU1"/>
      <c r="EEV1"/>
      <c r="EEW1"/>
      <c r="EEX1"/>
      <c r="EEY1"/>
      <c r="EEZ1"/>
      <c r="EFA1"/>
      <c r="EFB1"/>
      <c r="EFC1"/>
      <c r="EFD1"/>
      <c r="EFE1"/>
      <c r="EFF1"/>
      <c r="EFG1"/>
      <c r="EFH1"/>
      <c r="EFI1"/>
      <c r="EFJ1"/>
      <c r="EFK1"/>
      <c r="EFL1"/>
      <c r="EFM1"/>
      <c r="EFN1"/>
      <c r="EFO1"/>
      <c r="EFP1"/>
      <c r="EFQ1"/>
      <c r="EFR1"/>
      <c r="EFS1"/>
      <c r="EFT1"/>
      <c r="EFU1"/>
      <c r="EFV1"/>
      <c r="EFW1"/>
      <c r="EFX1"/>
      <c r="EFY1"/>
      <c r="EFZ1"/>
      <c r="EGA1"/>
      <c r="EGB1"/>
      <c r="EGC1"/>
      <c r="EGD1"/>
      <c r="EGE1"/>
      <c r="EGF1"/>
      <c r="EGG1"/>
      <c r="EGH1"/>
      <c r="EGI1"/>
      <c r="EGJ1"/>
      <c r="EGK1"/>
      <c r="EGL1"/>
      <c r="EGM1"/>
      <c r="EGN1"/>
      <c r="EGO1"/>
      <c r="EGP1"/>
      <c r="EGQ1"/>
      <c r="EGR1"/>
      <c r="EGS1"/>
      <c r="EGT1"/>
      <c r="EGU1"/>
      <c r="EGV1"/>
      <c r="EGW1"/>
      <c r="EGX1"/>
      <c r="EGY1"/>
      <c r="EGZ1"/>
      <c r="EHA1"/>
      <c r="EHB1"/>
      <c r="EHC1"/>
      <c r="EHD1"/>
      <c r="EHE1"/>
      <c r="EHF1"/>
      <c r="EHG1"/>
      <c r="EHH1"/>
      <c r="EHI1"/>
      <c r="EHJ1"/>
      <c r="EHK1"/>
      <c r="EHL1"/>
      <c r="EHM1"/>
      <c r="EHN1"/>
      <c r="EHO1"/>
      <c r="EHP1"/>
      <c r="EHQ1"/>
      <c r="EHR1"/>
      <c r="EHS1"/>
      <c r="EHT1"/>
      <c r="EHU1"/>
      <c r="EHV1"/>
      <c r="EHW1"/>
      <c r="EHX1"/>
      <c r="EHY1"/>
      <c r="EHZ1"/>
      <c r="EIA1"/>
      <c r="EIB1"/>
      <c r="EIC1"/>
      <c r="EID1"/>
      <c r="EIE1"/>
      <c r="EIF1"/>
      <c r="EIG1"/>
      <c r="EIH1"/>
      <c r="EII1"/>
      <c r="EIJ1"/>
      <c r="EIK1"/>
      <c r="EIL1"/>
      <c r="EIM1"/>
      <c r="EIN1"/>
      <c r="EIO1"/>
      <c r="EIP1"/>
      <c r="EIQ1"/>
      <c r="EIR1"/>
      <c r="EIS1"/>
      <c r="EIT1"/>
      <c r="EIU1"/>
      <c r="EIV1"/>
      <c r="EIW1"/>
      <c r="EIX1"/>
      <c r="EIY1"/>
      <c r="EIZ1"/>
      <c r="EJA1"/>
      <c r="EJB1"/>
      <c r="EJC1"/>
      <c r="EJD1"/>
      <c r="EJE1"/>
      <c r="EJF1"/>
      <c r="EJG1"/>
      <c r="EJH1"/>
      <c r="EJI1"/>
      <c r="EJJ1"/>
      <c r="EJK1"/>
      <c r="EJL1"/>
      <c r="EJM1"/>
      <c r="EJN1"/>
      <c r="EJO1"/>
      <c r="EJP1"/>
      <c r="EJQ1"/>
      <c r="EJR1"/>
      <c r="EJS1"/>
      <c r="EJT1"/>
      <c r="EJU1"/>
      <c r="EJV1"/>
      <c r="EJW1"/>
      <c r="EJX1"/>
      <c r="EJY1"/>
      <c r="EJZ1"/>
      <c r="EKA1"/>
      <c r="EKB1"/>
      <c r="EKC1"/>
      <c r="EKD1"/>
      <c r="EKE1"/>
      <c r="EKF1"/>
      <c r="EKG1"/>
      <c r="EKH1"/>
      <c r="EKI1"/>
      <c r="EKJ1"/>
      <c r="EKK1"/>
      <c r="EKL1"/>
      <c r="EKM1"/>
      <c r="EKN1"/>
      <c r="EKO1"/>
      <c r="EKP1"/>
      <c r="EKQ1"/>
      <c r="EKR1"/>
      <c r="EKS1"/>
      <c r="EKT1"/>
      <c r="EKU1"/>
      <c r="EKV1"/>
      <c r="EKW1"/>
      <c r="EKX1"/>
      <c r="EKY1"/>
      <c r="EKZ1"/>
      <c r="ELA1"/>
      <c r="ELB1"/>
      <c r="ELC1"/>
      <c r="ELD1"/>
      <c r="ELE1"/>
      <c r="ELF1"/>
      <c r="ELG1"/>
      <c r="ELH1"/>
      <c r="ELI1"/>
      <c r="ELJ1"/>
      <c r="ELK1"/>
      <c r="ELL1"/>
      <c r="ELM1"/>
      <c r="ELN1"/>
      <c r="ELO1"/>
      <c r="ELP1"/>
      <c r="ELQ1"/>
      <c r="ELR1"/>
      <c r="ELS1"/>
      <c r="ELT1"/>
      <c r="ELU1"/>
      <c r="ELV1"/>
      <c r="ELW1"/>
      <c r="ELX1"/>
      <c r="ELY1"/>
      <c r="ELZ1"/>
      <c r="EMA1"/>
      <c r="EMB1"/>
      <c r="EMC1"/>
      <c r="EMD1"/>
      <c r="EME1"/>
      <c r="EMF1"/>
      <c r="EMG1"/>
      <c r="EMH1"/>
      <c r="EMI1"/>
      <c r="EMJ1"/>
      <c r="EMK1"/>
      <c r="EML1"/>
      <c r="EMM1"/>
      <c r="EMN1"/>
      <c r="EMO1"/>
      <c r="EMP1"/>
      <c r="EMQ1"/>
      <c r="EMR1"/>
      <c r="EMS1"/>
      <c r="EMT1"/>
      <c r="EMU1"/>
      <c r="EMV1"/>
      <c r="EMW1"/>
      <c r="EMX1"/>
      <c r="EMY1"/>
      <c r="EMZ1"/>
      <c r="ENA1"/>
      <c r="ENB1"/>
      <c r="ENC1"/>
      <c r="END1"/>
      <c r="ENE1"/>
      <c r="ENF1"/>
      <c r="ENG1"/>
      <c r="ENH1"/>
      <c r="ENI1"/>
      <c r="ENJ1"/>
      <c r="ENK1"/>
      <c r="ENL1"/>
      <c r="ENM1"/>
      <c r="ENN1"/>
      <c r="ENO1"/>
      <c r="ENP1"/>
      <c r="ENQ1"/>
      <c r="ENR1"/>
      <c r="ENS1"/>
      <c r="ENT1"/>
      <c r="ENU1"/>
      <c r="ENV1"/>
      <c r="ENW1"/>
      <c r="ENX1"/>
      <c r="ENY1"/>
      <c r="ENZ1"/>
      <c r="EOA1"/>
      <c r="EOB1"/>
      <c r="EOC1"/>
      <c r="EOD1"/>
      <c r="EOE1"/>
      <c r="EOF1"/>
      <c r="EOG1"/>
      <c r="EOH1"/>
      <c r="EOI1"/>
      <c r="EOJ1"/>
      <c r="EOK1"/>
      <c r="EOL1"/>
      <c r="EOM1"/>
      <c r="EON1"/>
      <c r="EOO1"/>
      <c r="EOP1"/>
      <c r="EOQ1"/>
      <c r="EOR1"/>
      <c r="EOS1"/>
      <c r="EOT1"/>
      <c r="EOU1"/>
      <c r="EOV1"/>
      <c r="EOW1"/>
      <c r="EOX1"/>
      <c r="EOY1"/>
      <c r="EOZ1"/>
      <c r="EPA1"/>
      <c r="EPB1"/>
      <c r="EPC1"/>
      <c r="EPD1"/>
      <c r="EPE1"/>
      <c r="EPF1"/>
      <c r="EPG1"/>
      <c r="EPH1"/>
      <c r="EPI1"/>
      <c r="EPJ1"/>
      <c r="EPK1"/>
      <c r="EPL1"/>
      <c r="EPM1"/>
      <c r="EPN1"/>
      <c r="EPO1"/>
      <c r="EPP1"/>
      <c r="EPQ1"/>
      <c r="EPR1"/>
      <c r="EPS1"/>
      <c r="EPT1"/>
      <c r="EPU1"/>
      <c r="EPV1"/>
      <c r="EPW1"/>
      <c r="EPX1"/>
      <c r="EPY1"/>
      <c r="EPZ1"/>
      <c r="EQA1"/>
      <c r="EQB1"/>
      <c r="EQC1"/>
      <c r="EQD1"/>
      <c r="EQE1"/>
      <c r="EQF1"/>
      <c r="EQG1"/>
      <c r="EQH1"/>
      <c r="EQI1"/>
      <c r="EQJ1"/>
      <c r="EQK1"/>
      <c r="EQL1"/>
      <c r="EQM1"/>
      <c r="EQN1"/>
      <c r="EQO1"/>
      <c r="EQP1"/>
      <c r="EQQ1"/>
      <c r="EQR1"/>
      <c r="EQS1"/>
      <c r="EQT1"/>
      <c r="EQU1"/>
      <c r="EQV1"/>
      <c r="EQW1"/>
      <c r="EQX1"/>
      <c r="EQY1"/>
      <c r="EQZ1"/>
      <c r="ERA1"/>
      <c r="ERB1"/>
      <c r="ERC1"/>
      <c r="ERD1"/>
      <c r="ERE1"/>
      <c r="ERF1"/>
      <c r="ERG1"/>
      <c r="ERH1"/>
      <c r="ERI1"/>
      <c r="ERJ1"/>
      <c r="ERK1"/>
      <c r="ERL1"/>
      <c r="ERM1"/>
      <c r="ERN1"/>
      <c r="ERO1"/>
      <c r="ERP1"/>
      <c r="ERQ1"/>
      <c r="ERR1"/>
      <c r="ERS1"/>
      <c r="ERT1"/>
      <c r="ERU1"/>
      <c r="ERV1"/>
      <c r="ERW1"/>
      <c r="ERX1"/>
      <c r="ERY1"/>
      <c r="ERZ1"/>
      <c r="ESA1"/>
      <c r="ESB1"/>
      <c r="ESC1"/>
      <c r="ESD1"/>
      <c r="ESE1"/>
      <c r="ESF1"/>
      <c r="ESG1"/>
      <c r="ESH1"/>
      <c r="ESI1"/>
      <c r="ESJ1"/>
      <c r="ESK1"/>
      <c r="ESL1"/>
      <c r="ESM1"/>
      <c r="ESN1"/>
      <c r="ESO1"/>
      <c r="ESP1"/>
      <c r="ESQ1"/>
      <c r="ESR1"/>
      <c r="ESS1"/>
      <c r="EST1"/>
      <c r="ESU1"/>
      <c r="ESV1"/>
      <c r="ESW1"/>
      <c r="ESX1"/>
      <c r="ESY1"/>
      <c r="ESZ1"/>
      <c r="ETA1"/>
      <c r="ETB1"/>
      <c r="ETC1"/>
      <c r="ETD1"/>
      <c r="ETE1"/>
      <c r="ETF1"/>
      <c r="ETG1"/>
      <c r="ETH1"/>
      <c r="ETI1"/>
      <c r="ETJ1"/>
      <c r="ETK1"/>
      <c r="ETL1"/>
      <c r="ETM1"/>
      <c r="ETN1"/>
      <c r="ETO1"/>
      <c r="ETP1"/>
      <c r="ETQ1"/>
      <c r="ETR1"/>
      <c r="ETS1"/>
      <c r="ETT1"/>
      <c r="ETU1"/>
      <c r="ETV1"/>
      <c r="ETW1"/>
      <c r="ETX1"/>
      <c r="ETY1"/>
      <c r="ETZ1"/>
      <c r="EUA1"/>
      <c r="EUB1"/>
      <c r="EUC1"/>
      <c r="EUD1"/>
      <c r="EUE1"/>
      <c r="EUF1"/>
      <c r="EUG1"/>
      <c r="EUH1"/>
      <c r="EUI1"/>
      <c r="EUJ1"/>
      <c r="EUK1"/>
      <c r="EUL1"/>
      <c r="EUM1"/>
      <c r="EUN1"/>
      <c r="EUO1"/>
      <c r="EUP1"/>
      <c r="EUQ1"/>
      <c r="EUR1"/>
      <c r="EUS1"/>
      <c r="EUT1"/>
      <c r="EUU1"/>
      <c r="EUV1"/>
      <c r="EUW1"/>
      <c r="EUX1"/>
      <c r="EUY1"/>
      <c r="EUZ1"/>
      <c r="EVA1"/>
      <c r="EVB1"/>
      <c r="EVC1"/>
      <c r="EVD1"/>
      <c r="EVE1"/>
      <c r="EVF1"/>
      <c r="EVG1"/>
      <c r="EVH1"/>
      <c r="EVI1"/>
      <c r="EVJ1"/>
      <c r="EVK1"/>
      <c r="EVL1"/>
      <c r="EVM1"/>
      <c r="EVN1"/>
      <c r="EVO1"/>
      <c r="EVP1"/>
      <c r="EVQ1"/>
      <c r="EVR1"/>
      <c r="EVS1"/>
      <c r="EVT1"/>
      <c r="EVU1"/>
      <c r="EVV1"/>
      <c r="EVW1"/>
      <c r="EVX1"/>
      <c r="EVY1"/>
      <c r="EVZ1"/>
      <c r="EWA1"/>
      <c r="EWB1"/>
      <c r="EWC1"/>
      <c r="EWD1"/>
      <c r="EWE1"/>
      <c r="EWF1"/>
      <c r="EWG1"/>
      <c r="EWH1"/>
      <c r="EWI1"/>
      <c r="EWJ1"/>
      <c r="EWK1"/>
      <c r="EWL1"/>
      <c r="EWM1"/>
      <c r="EWN1"/>
      <c r="EWO1"/>
      <c r="EWP1"/>
      <c r="EWQ1"/>
      <c r="EWR1"/>
      <c r="EWS1"/>
      <c r="EWT1"/>
      <c r="EWU1"/>
      <c r="EWV1"/>
      <c r="EWW1"/>
      <c r="EWX1"/>
      <c r="EWY1"/>
      <c r="EWZ1"/>
      <c r="EXA1"/>
      <c r="EXB1"/>
      <c r="EXC1"/>
      <c r="EXD1"/>
      <c r="EXE1"/>
      <c r="EXF1"/>
      <c r="EXG1"/>
      <c r="EXH1"/>
      <c r="EXI1"/>
      <c r="EXJ1"/>
      <c r="EXK1"/>
      <c r="EXL1"/>
      <c r="EXM1"/>
      <c r="EXN1"/>
      <c r="EXO1"/>
      <c r="EXP1"/>
      <c r="EXQ1"/>
      <c r="EXR1"/>
      <c r="EXS1"/>
      <c r="EXT1"/>
      <c r="EXU1"/>
      <c r="EXV1"/>
      <c r="EXW1"/>
      <c r="EXX1"/>
      <c r="EXY1"/>
      <c r="EXZ1"/>
      <c r="EYA1"/>
      <c r="EYB1"/>
      <c r="EYC1"/>
      <c r="EYD1"/>
      <c r="EYE1"/>
      <c r="EYF1"/>
      <c r="EYG1"/>
      <c r="EYH1"/>
      <c r="EYI1"/>
      <c r="EYJ1"/>
      <c r="EYK1"/>
      <c r="EYL1"/>
      <c r="EYM1"/>
      <c r="EYN1"/>
      <c r="EYO1"/>
      <c r="EYP1"/>
      <c r="EYQ1"/>
      <c r="EYR1"/>
      <c r="EYS1"/>
      <c r="EYT1"/>
      <c r="EYU1"/>
      <c r="EYV1"/>
      <c r="EYW1"/>
      <c r="EYX1"/>
      <c r="EYY1"/>
      <c r="EYZ1"/>
      <c r="EZA1"/>
      <c r="EZB1"/>
      <c r="EZC1"/>
      <c r="EZD1"/>
      <c r="EZE1"/>
      <c r="EZF1"/>
      <c r="EZG1"/>
      <c r="EZH1"/>
      <c r="EZI1"/>
      <c r="EZJ1"/>
      <c r="EZK1"/>
      <c r="EZL1"/>
      <c r="EZM1"/>
      <c r="EZN1"/>
      <c r="EZO1"/>
      <c r="EZP1"/>
      <c r="EZQ1"/>
      <c r="EZR1"/>
      <c r="EZS1"/>
      <c r="EZT1"/>
      <c r="EZU1"/>
      <c r="EZV1"/>
      <c r="EZW1"/>
      <c r="EZX1"/>
      <c r="EZY1"/>
      <c r="EZZ1"/>
      <c r="FAA1"/>
      <c r="FAB1"/>
      <c r="FAC1"/>
      <c r="FAD1"/>
      <c r="FAE1"/>
      <c r="FAF1"/>
      <c r="FAG1"/>
      <c r="FAH1"/>
      <c r="FAI1"/>
      <c r="FAJ1"/>
      <c r="FAK1"/>
      <c r="FAL1"/>
      <c r="FAM1"/>
      <c r="FAN1"/>
      <c r="FAO1"/>
      <c r="FAP1"/>
      <c r="FAQ1"/>
      <c r="FAR1"/>
      <c r="FAS1"/>
      <c r="FAT1"/>
      <c r="FAU1"/>
      <c r="FAV1"/>
      <c r="FAW1"/>
      <c r="FAX1"/>
      <c r="FAY1"/>
      <c r="FAZ1"/>
      <c r="FBA1"/>
      <c r="FBB1"/>
      <c r="FBC1"/>
      <c r="FBD1"/>
      <c r="FBE1"/>
      <c r="FBF1"/>
      <c r="FBG1"/>
      <c r="FBH1"/>
      <c r="FBI1"/>
      <c r="FBJ1"/>
      <c r="FBK1"/>
      <c r="FBL1"/>
      <c r="FBM1"/>
      <c r="FBN1"/>
      <c r="FBO1"/>
      <c r="FBP1"/>
      <c r="FBQ1"/>
      <c r="FBR1"/>
      <c r="FBS1"/>
      <c r="FBT1"/>
      <c r="FBU1"/>
      <c r="FBV1"/>
      <c r="FBW1"/>
      <c r="FBX1"/>
      <c r="FBY1"/>
      <c r="FBZ1"/>
      <c r="FCA1"/>
      <c r="FCB1"/>
      <c r="FCC1"/>
      <c r="FCD1"/>
      <c r="FCE1"/>
      <c r="FCF1"/>
      <c r="FCG1"/>
      <c r="FCH1"/>
      <c r="FCI1"/>
      <c r="FCJ1"/>
      <c r="FCK1"/>
      <c r="FCL1"/>
      <c r="FCM1"/>
      <c r="FCN1"/>
      <c r="FCO1"/>
      <c r="FCP1"/>
      <c r="FCQ1"/>
      <c r="FCR1"/>
      <c r="FCS1"/>
      <c r="FCT1"/>
      <c r="FCU1"/>
      <c r="FCV1"/>
      <c r="FCW1"/>
      <c r="FCX1"/>
      <c r="FCY1"/>
      <c r="FCZ1"/>
      <c r="FDA1"/>
      <c r="FDB1"/>
      <c r="FDC1"/>
      <c r="FDD1"/>
      <c r="FDE1"/>
      <c r="FDF1"/>
      <c r="FDG1"/>
      <c r="FDH1"/>
      <c r="FDI1"/>
      <c r="FDJ1"/>
      <c r="FDK1"/>
      <c r="FDL1"/>
      <c r="FDM1"/>
      <c r="FDN1"/>
      <c r="FDO1"/>
      <c r="FDP1"/>
      <c r="FDQ1"/>
      <c r="FDR1"/>
      <c r="FDS1"/>
      <c r="FDT1"/>
      <c r="FDU1"/>
      <c r="FDV1"/>
      <c r="FDW1"/>
      <c r="FDX1"/>
      <c r="FDY1"/>
      <c r="FDZ1"/>
      <c r="FEA1"/>
      <c r="FEB1"/>
      <c r="FEC1"/>
      <c r="FED1"/>
      <c r="FEE1"/>
      <c r="FEF1"/>
      <c r="FEG1"/>
      <c r="FEH1"/>
      <c r="FEI1"/>
      <c r="FEJ1"/>
      <c r="FEK1"/>
      <c r="FEL1"/>
      <c r="FEM1"/>
      <c r="FEN1"/>
      <c r="FEO1"/>
      <c r="FEP1"/>
      <c r="FEQ1"/>
      <c r="FER1"/>
      <c r="FES1"/>
      <c r="FET1"/>
      <c r="FEU1"/>
      <c r="FEV1"/>
      <c r="FEW1"/>
      <c r="FEX1"/>
      <c r="FEY1"/>
      <c r="FEZ1"/>
      <c r="FFA1"/>
      <c r="FFB1"/>
      <c r="FFC1"/>
      <c r="FFD1"/>
      <c r="FFE1"/>
      <c r="FFF1"/>
      <c r="FFG1"/>
      <c r="FFH1"/>
      <c r="FFI1"/>
      <c r="FFJ1"/>
      <c r="FFK1"/>
      <c r="FFL1"/>
      <c r="FFM1"/>
      <c r="FFN1"/>
      <c r="FFO1"/>
      <c r="FFP1"/>
      <c r="FFQ1"/>
      <c r="FFR1"/>
      <c r="FFS1"/>
      <c r="FFT1"/>
      <c r="FFU1"/>
      <c r="FFV1"/>
      <c r="FFW1"/>
      <c r="FFX1"/>
      <c r="FFY1"/>
      <c r="FFZ1"/>
      <c r="FGA1"/>
      <c r="FGB1"/>
      <c r="FGC1"/>
      <c r="FGD1"/>
      <c r="FGE1"/>
      <c r="FGF1"/>
      <c r="FGG1"/>
      <c r="FGH1"/>
      <c r="FGI1"/>
      <c r="FGJ1"/>
      <c r="FGK1"/>
      <c r="FGL1"/>
      <c r="FGM1"/>
      <c r="FGN1"/>
      <c r="FGO1"/>
      <c r="FGP1"/>
      <c r="FGQ1"/>
      <c r="FGR1"/>
      <c r="FGS1"/>
      <c r="FGT1"/>
      <c r="FGU1"/>
      <c r="FGV1"/>
      <c r="FGW1"/>
      <c r="FGX1"/>
      <c r="FGY1"/>
      <c r="FGZ1"/>
      <c r="FHA1"/>
      <c r="FHB1"/>
      <c r="FHC1"/>
      <c r="FHD1"/>
      <c r="FHE1"/>
      <c r="FHF1"/>
      <c r="FHG1"/>
      <c r="FHH1"/>
      <c r="FHI1"/>
      <c r="FHJ1"/>
      <c r="FHK1"/>
      <c r="FHL1"/>
      <c r="FHM1"/>
      <c r="FHN1"/>
      <c r="FHO1"/>
      <c r="FHP1"/>
      <c r="FHQ1"/>
      <c r="FHR1"/>
      <c r="FHS1"/>
      <c r="FHT1"/>
      <c r="FHU1"/>
      <c r="FHV1"/>
      <c r="FHW1"/>
      <c r="FHX1"/>
      <c r="FHY1"/>
      <c r="FHZ1"/>
      <c r="FIA1"/>
      <c r="FIB1"/>
      <c r="FIC1"/>
      <c r="FID1"/>
      <c r="FIE1"/>
      <c r="FIF1"/>
      <c r="FIG1"/>
      <c r="FIH1"/>
      <c r="FII1"/>
      <c r="FIJ1"/>
      <c r="FIK1"/>
      <c r="FIL1"/>
      <c r="FIM1"/>
      <c r="FIN1"/>
      <c r="FIO1"/>
      <c r="FIP1"/>
      <c r="FIQ1"/>
      <c r="FIR1"/>
      <c r="FIS1"/>
      <c r="FIT1"/>
      <c r="FIU1"/>
      <c r="FIV1"/>
      <c r="FIW1"/>
      <c r="FIX1"/>
      <c r="FIY1"/>
      <c r="FIZ1"/>
      <c r="FJA1"/>
      <c r="FJB1"/>
      <c r="FJC1"/>
      <c r="FJD1"/>
      <c r="FJE1"/>
      <c r="FJF1"/>
      <c r="FJG1"/>
      <c r="FJH1"/>
      <c r="FJI1"/>
      <c r="FJJ1"/>
      <c r="FJK1"/>
      <c r="FJL1"/>
      <c r="FJM1"/>
      <c r="FJN1"/>
      <c r="FJO1"/>
      <c r="FJP1"/>
      <c r="FJQ1"/>
      <c r="FJR1"/>
      <c r="FJS1"/>
      <c r="FJT1"/>
      <c r="FJU1"/>
      <c r="FJV1"/>
      <c r="FJW1"/>
      <c r="FJX1"/>
      <c r="FJY1"/>
      <c r="FJZ1"/>
      <c r="FKA1"/>
      <c r="FKB1"/>
      <c r="FKC1"/>
      <c r="FKD1"/>
      <c r="FKE1"/>
      <c r="FKF1"/>
      <c r="FKG1"/>
      <c r="FKH1"/>
      <c r="FKI1"/>
      <c r="FKJ1"/>
      <c r="FKK1"/>
      <c r="FKL1"/>
      <c r="FKM1"/>
      <c r="FKN1"/>
      <c r="FKO1"/>
      <c r="FKP1"/>
      <c r="FKQ1"/>
      <c r="FKR1"/>
      <c r="FKS1"/>
      <c r="FKT1"/>
      <c r="FKU1"/>
      <c r="FKV1"/>
      <c r="FKW1"/>
      <c r="FKX1"/>
      <c r="FKY1"/>
      <c r="FKZ1"/>
      <c r="FLA1"/>
      <c r="FLB1"/>
      <c r="FLC1"/>
      <c r="FLD1"/>
      <c r="FLE1"/>
      <c r="FLF1"/>
      <c r="FLG1"/>
      <c r="FLH1"/>
      <c r="FLI1"/>
      <c r="FLJ1"/>
      <c r="FLK1"/>
      <c r="FLL1"/>
      <c r="FLM1"/>
      <c r="FLN1"/>
      <c r="FLO1"/>
      <c r="FLP1"/>
      <c r="FLQ1"/>
      <c r="FLR1"/>
      <c r="FLS1"/>
      <c r="FLT1"/>
      <c r="FLU1"/>
      <c r="FLV1"/>
      <c r="FLW1"/>
      <c r="FLX1"/>
      <c r="FLY1"/>
      <c r="FLZ1"/>
      <c r="FMA1"/>
      <c r="FMB1"/>
      <c r="FMC1"/>
      <c r="FMD1"/>
      <c r="FME1"/>
      <c r="FMF1"/>
      <c r="FMG1"/>
      <c r="FMH1"/>
      <c r="FMI1"/>
      <c r="FMJ1"/>
      <c r="FMK1"/>
      <c r="FML1"/>
      <c r="FMM1"/>
      <c r="FMN1"/>
      <c r="FMO1"/>
      <c r="FMP1"/>
      <c r="FMQ1"/>
      <c r="FMR1"/>
      <c r="FMS1"/>
      <c r="FMT1"/>
      <c r="FMU1"/>
      <c r="FMV1"/>
      <c r="FMW1"/>
      <c r="FMX1"/>
      <c r="FMY1"/>
      <c r="FMZ1"/>
      <c r="FNA1"/>
      <c r="FNB1"/>
      <c r="FNC1"/>
      <c r="FND1"/>
      <c r="FNE1"/>
      <c r="FNF1"/>
      <c r="FNG1"/>
      <c r="FNH1"/>
      <c r="FNI1"/>
      <c r="FNJ1"/>
      <c r="FNK1"/>
      <c r="FNL1"/>
      <c r="FNM1"/>
      <c r="FNN1"/>
      <c r="FNO1"/>
      <c r="FNP1"/>
      <c r="FNQ1"/>
      <c r="FNR1"/>
      <c r="FNS1"/>
      <c r="FNT1"/>
      <c r="FNU1"/>
      <c r="FNV1"/>
      <c r="FNW1"/>
      <c r="FNX1"/>
      <c r="FNY1"/>
      <c r="FNZ1"/>
      <c r="FOA1"/>
      <c r="FOB1"/>
      <c r="FOC1"/>
      <c r="FOD1"/>
      <c r="FOE1"/>
      <c r="FOF1"/>
      <c r="FOG1"/>
      <c r="FOH1"/>
      <c r="FOI1"/>
      <c r="FOJ1"/>
      <c r="FOK1"/>
      <c r="FOL1"/>
      <c r="FOM1"/>
      <c r="FON1"/>
      <c r="FOO1"/>
      <c r="FOP1"/>
      <c r="FOQ1"/>
      <c r="FOR1"/>
      <c r="FOS1"/>
      <c r="FOT1"/>
      <c r="FOU1"/>
      <c r="FOV1"/>
      <c r="FOW1"/>
      <c r="FOX1"/>
      <c r="FOY1"/>
      <c r="FOZ1"/>
      <c r="FPA1"/>
      <c r="FPB1"/>
      <c r="FPC1"/>
      <c r="FPD1"/>
      <c r="FPE1"/>
      <c r="FPF1"/>
      <c r="FPG1"/>
      <c r="FPH1"/>
      <c r="FPI1"/>
      <c r="FPJ1"/>
      <c r="FPK1"/>
      <c r="FPL1"/>
      <c r="FPM1"/>
      <c r="FPN1"/>
      <c r="FPO1"/>
      <c r="FPP1"/>
      <c r="FPQ1"/>
      <c r="FPR1"/>
      <c r="FPS1"/>
      <c r="FPT1"/>
      <c r="FPU1"/>
      <c r="FPV1"/>
      <c r="FPW1"/>
      <c r="FPX1"/>
      <c r="FPY1"/>
      <c r="FPZ1"/>
      <c r="FQA1"/>
      <c r="FQB1"/>
      <c r="FQC1"/>
      <c r="FQD1"/>
      <c r="FQE1"/>
      <c r="FQF1"/>
      <c r="FQG1"/>
      <c r="FQH1"/>
      <c r="FQI1"/>
      <c r="FQJ1"/>
      <c r="FQK1"/>
      <c r="FQL1"/>
      <c r="FQM1"/>
      <c r="FQN1"/>
      <c r="FQO1"/>
      <c r="FQP1"/>
      <c r="FQQ1"/>
      <c r="FQR1"/>
      <c r="FQS1"/>
      <c r="FQT1"/>
      <c r="FQU1"/>
      <c r="FQV1"/>
      <c r="FQW1"/>
      <c r="FQX1"/>
      <c r="FQY1"/>
      <c r="FQZ1"/>
      <c r="FRA1"/>
      <c r="FRB1"/>
      <c r="FRC1"/>
      <c r="FRD1"/>
      <c r="FRE1"/>
      <c r="FRF1"/>
      <c r="FRG1"/>
      <c r="FRH1"/>
      <c r="FRI1"/>
      <c r="FRJ1"/>
      <c r="FRK1"/>
      <c r="FRL1"/>
      <c r="FRM1"/>
      <c r="FRN1"/>
      <c r="FRO1"/>
      <c r="FRP1"/>
      <c r="FRQ1"/>
      <c r="FRR1"/>
      <c r="FRS1"/>
      <c r="FRT1"/>
      <c r="FRU1"/>
      <c r="FRV1"/>
      <c r="FRW1"/>
      <c r="FRX1"/>
      <c r="FRY1"/>
      <c r="FRZ1"/>
      <c r="FSA1"/>
      <c r="FSB1"/>
      <c r="FSC1"/>
      <c r="FSD1"/>
      <c r="FSE1"/>
      <c r="FSF1"/>
      <c r="FSG1"/>
      <c r="FSH1"/>
      <c r="FSI1"/>
      <c r="FSJ1"/>
      <c r="FSK1"/>
      <c r="FSL1"/>
      <c r="FSM1"/>
      <c r="FSN1"/>
      <c r="FSO1"/>
      <c r="FSP1"/>
      <c r="FSQ1"/>
      <c r="FSR1"/>
      <c r="FSS1"/>
      <c r="FST1"/>
      <c r="FSU1"/>
      <c r="FSV1"/>
      <c r="FSW1"/>
      <c r="FSX1"/>
      <c r="FSY1"/>
      <c r="FSZ1"/>
      <c r="FTA1"/>
      <c r="FTB1"/>
      <c r="FTC1"/>
      <c r="FTD1"/>
      <c r="FTE1"/>
      <c r="FTF1"/>
      <c r="FTG1"/>
      <c r="FTH1"/>
      <c r="FTI1"/>
      <c r="FTJ1"/>
      <c r="FTK1"/>
      <c r="FTL1"/>
      <c r="FTM1"/>
      <c r="FTN1"/>
      <c r="FTO1"/>
      <c r="FTP1"/>
      <c r="FTQ1"/>
      <c r="FTR1"/>
      <c r="FTS1"/>
      <c r="FTT1"/>
      <c r="FTU1"/>
      <c r="FTV1"/>
      <c r="FTW1"/>
      <c r="FTX1"/>
      <c r="FTY1"/>
      <c r="FTZ1"/>
      <c r="FUA1"/>
      <c r="FUB1"/>
      <c r="FUC1"/>
      <c r="FUD1"/>
      <c r="FUE1"/>
      <c r="FUF1"/>
      <c r="FUG1"/>
      <c r="FUH1"/>
      <c r="FUI1"/>
      <c r="FUJ1"/>
      <c r="FUK1"/>
      <c r="FUL1"/>
      <c r="FUM1"/>
      <c r="FUN1"/>
      <c r="FUO1"/>
      <c r="FUP1"/>
      <c r="FUQ1"/>
      <c r="FUR1"/>
      <c r="FUS1"/>
      <c r="FUT1"/>
      <c r="FUU1"/>
      <c r="FUV1"/>
      <c r="FUW1"/>
      <c r="FUX1"/>
      <c r="FUY1"/>
      <c r="FUZ1"/>
      <c r="FVA1"/>
      <c r="FVB1"/>
      <c r="FVC1"/>
      <c r="FVD1"/>
      <c r="FVE1"/>
      <c r="FVF1"/>
      <c r="FVG1"/>
      <c r="FVH1"/>
      <c r="FVI1"/>
      <c r="FVJ1"/>
      <c r="FVK1"/>
      <c r="FVL1"/>
      <c r="FVM1"/>
      <c r="FVN1"/>
      <c r="FVO1"/>
      <c r="FVP1"/>
      <c r="FVQ1"/>
      <c r="FVR1"/>
      <c r="FVS1"/>
      <c r="FVT1"/>
      <c r="FVU1"/>
      <c r="FVV1"/>
      <c r="FVW1"/>
      <c r="FVX1"/>
      <c r="FVY1"/>
      <c r="FVZ1"/>
      <c r="FWA1"/>
      <c r="FWB1"/>
      <c r="FWC1"/>
      <c r="FWD1"/>
      <c r="FWE1"/>
      <c r="FWF1"/>
      <c r="FWG1"/>
      <c r="FWH1"/>
      <c r="FWI1"/>
      <c r="FWJ1"/>
      <c r="FWK1"/>
      <c r="FWL1"/>
      <c r="FWM1"/>
      <c r="FWN1"/>
      <c r="FWO1"/>
      <c r="FWP1"/>
      <c r="FWQ1"/>
      <c r="FWR1"/>
      <c r="FWS1"/>
      <c r="FWT1"/>
      <c r="FWU1"/>
      <c r="FWV1"/>
      <c r="FWW1"/>
      <c r="FWX1"/>
      <c r="FWY1"/>
      <c r="FWZ1"/>
      <c r="FXA1"/>
      <c r="FXB1"/>
      <c r="FXC1"/>
      <c r="FXD1"/>
      <c r="FXE1"/>
      <c r="FXF1"/>
      <c r="FXG1"/>
      <c r="FXH1"/>
      <c r="FXI1"/>
      <c r="FXJ1"/>
      <c r="FXK1"/>
      <c r="FXL1"/>
      <c r="FXM1"/>
      <c r="FXN1"/>
      <c r="FXO1"/>
      <c r="FXP1"/>
      <c r="FXQ1"/>
      <c r="FXR1"/>
      <c r="FXS1"/>
      <c r="FXT1"/>
      <c r="FXU1"/>
      <c r="FXV1"/>
      <c r="FXW1"/>
      <c r="FXX1"/>
      <c r="FXY1"/>
      <c r="FXZ1"/>
      <c r="FYA1"/>
      <c r="FYB1"/>
      <c r="FYC1"/>
      <c r="FYD1"/>
      <c r="FYE1"/>
      <c r="FYF1"/>
      <c r="FYG1"/>
      <c r="FYH1"/>
      <c r="FYI1"/>
      <c r="FYJ1"/>
      <c r="FYK1"/>
      <c r="FYL1"/>
      <c r="FYM1"/>
      <c r="FYN1"/>
      <c r="FYO1"/>
      <c r="FYP1"/>
      <c r="FYQ1"/>
      <c r="FYR1"/>
      <c r="FYS1"/>
      <c r="FYT1"/>
      <c r="FYU1"/>
      <c r="FYV1"/>
      <c r="FYW1"/>
      <c r="FYX1"/>
      <c r="FYY1"/>
      <c r="FYZ1"/>
      <c r="FZA1"/>
      <c r="FZB1"/>
      <c r="FZC1"/>
      <c r="FZD1"/>
      <c r="FZE1"/>
      <c r="FZF1"/>
      <c r="FZG1"/>
      <c r="FZH1"/>
      <c r="FZI1"/>
      <c r="FZJ1"/>
      <c r="FZK1"/>
      <c r="FZL1"/>
      <c r="FZM1"/>
      <c r="FZN1"/>
      <c r="FZO1"/>
      <c r="FZP1"/>
      <c r="FZQ1"/>
      <c r="FZR1"/>
      <c r="FZS1"/>
      <c r="FZT1"/>
      <c r="FZU1"/>
      <c r="FZV1"/>
      <c r="FZW1"/>
      <c r="FZX1"/>
      <c r="FZY1"/>
      <c r="FZZ1"/>
      <c r="GAA1"/>
      <c r="GAB1"/>
      <c r="GAC1"/>
      <c r="GAD1"/>
      <c r="GAE1"/>
      <c r="GAF1"/>
      <c r="GAG1"/>
      <c r="GAH1"/>
      <c r="GAI1"/>
      <c r="GAJ1"/>
      <c r="GAK1"/>
      <c r="GAL1"/>
      <c r="GAM1"/>
      <c r="GAN1"/>
      <c r="GAO1"/>
      <c r="GAP1"/>
      <c r="GAQ1"/>
      <c r="GAR1"/>
      <c r="GAS1"/>
      <c r="GAT1"/>
      <c r="GAU1"/>
      <c r="GAV1"/>
      <c r="GAW1"/>
      <c r="GAX1"/>
      <c r="GAY1"/>
      <c r="GAZ1"/>
      <c r="GBA1"/>
      <c r="GBB1"/>
      <c r="GBC1"/>
      <c r="GBD1"/>
      <c r="GBE1"/>
      <c r="GBF1"/>
      <c r="GBG1"/>
      <c r="GBH1"/>
      <c r="GBI1"/>
      <c r="GBJ1"/>
      <c r="GBK1"/>
      <c r="GBL1"/>
      <c r="GBM1"/>
      <c r="GBN1"/>
      <c r="GBO1"/>
      <c r="GBP1"/>
      <c r="GBQ1"/>
      <c r="GBR1"/>
      <c r="GBS1"/>
      <c r="GBT1"/>
      <c r="GBU1"/>
      <c r="GBV1"/>
      <c r="GBW1"/>
      <c r="GBX1"/>
      <c r="GBY1"/>
      <c r="GBZ1"/>
      <c r="GCA1"/>
      <c r="GCB1"/>
      <c r="GCC1"/>
      <c r="GCD1"/>
      <c r="GCE1"/>
      <c r="GCF1"/>
      <c r="GCG1"/>
      <c r="GCH1"/>
      <c r="GCI1"/>
      <c r="GCJ1"/>
      <c r="GCK1"/>
      <c r="GCL1"/>
      <c r="GCM1"/>
      <c r="GCN1"/>
      <c r="GCO1"/>
      <c r="GCP1"/>
      <c r="GCQ1"/>
      <c r="GCR1"/>
      <c r="GCS1"/>
      <c r="GCT1"/>
      <c r="GCU1"/>
      <c r="GCV1"/>
      <c r="GCW1"/>
      <c r="GCX1"/>
      <c r="GCY1"/>
      <c r="GCZ1"/>
      <c r="GDA1"/>
      <c r="GDB1"/>
      <c r="GDC1"/>
      <c r="GDD1"/>
      <c r="GDE1"/>
      <c r="GDF1"/>
      <c r="GDG1"/>
      <c r="GDH1"/>
      <c r="GDI1"/>
      <c r="GDJ1"/>
      <c r="GDK1"/>
      <c r="GDL1"/>
      <c r="GDM1"/>
      <c r="GDN1"/>
      <c r="GDO1"/>
      <c r="GDP1"/>
      <c r="GDQ1"/>
      <c r="GDR1"/>
      <c r="GDS1"/>
      <c r="GDT1"/>
      <c r="GDU1"/>
      <c r="GDV1"/>
      <c r="GDW1"/>
      <c r="GDX1"/>
      <c r="GDY1"/>
      <c r="GDZ1"/>
      <c r="GEA1"/>
      <c r="GEB1"/>
      <c r="GEC1"/>
      <c r="GED1"/>
      <c r="GEE1"/>
      <c r="GEF1"/>
      <c r="GEG1"/>
      <c r="GEH1"/>
      <c r="GEI1"/>
      <c r="GEJ1"/>
      <c r="GEK1"/>
      <c r="GEL1"/>
      <c r="GEM1"/>
      <c r="GEN1"/>
      <c r="GEO1"/>
      <c r="GEP1"/>
      <c r="GEQ1"/>
      <c r="GER1"/>
      <c r="GES1"/>
      <c r="GET1"/>
      <c r="GEU1"/>
      <c r="GEV1"/>
      <c r="GEW1"/>
      <c r="GEX1"/>
      <c r="GEY1"/>
      <c r="GEZ1"/>
      <c r="GFA1"/>
      <c r="GFB1"/>
      <c r="GFC1"/>
      <c r="GFD1"/>
      <c r="GFE1"/>
      <c r="GFF1"/>
      <c r="GFG1"/>
      <c r="GFH1"/>
      <c r="GFI1"/>
      <c r="GFJ1"/>
      <c r="GFK1"/>
      <c r="GFL1"/>
      <c r="GFM1"/>
      <c r="GFN1"/>
      <c r="GFO1"/>
      <c r="GFP1"/>
      <c r="GFQ1"/>
      <c r="GFR1"/>
      <c r="GFS1"/>
      <c r="GFT1"/>
      <c r="GFU1"/>
      <c r="GFV1"/>
      <c r="GFW1"/>
      <c r="GFX1"/>
      <c r="GFY1"/>
      <c r="GFZ1"/>
      <c r="GGA1"/>
      <c r="GGB1"/>
      <c r="GGC1"/>
      <c r="GGD1"/>
      <c r="GGE1"/>
      <c r="GGF1"/>
      <c r="GGG1"/>
      <c r="GGH1"/>
      <c r="GGI1"/>
      <c r="GGJ1"/>
      <c r="GGK1"/>
      <c r="GGL1"/>
      <c r="GGM1"/>
      <c r="GGN1"/>
      <c r="GGO1"/>
      <c r="GGP1"/>
      <c r="GGQ1"/>
      <c r="GGR1"/>
      <c r="GGS1"/>
      <c r="GGT1"/>
      <c r="GGU1"/>
      <c r="GGV1"/>
      <c r="GGW1"/>
      <c r="GGX1"/>
      <c r="GGY1"/>
      <c r="GGZ1"/>
      <c r="GHA1"/>
      <c r="GHB1"/>
      <c r="GHC1"/>
      <c r="GHD1"/>
      <c r="GHE1"/>
      <c r="GHF1"/>
      <c r="GHG1"/>
      <c r="GHH1"/>
      <c r="GHI1"/>
      <c r="GHJ1"/>
      <c r="GHK1"/>
      <c r="GHL1"/>
      <c r="GHM1"/>
      <c r="GHN1"/>
      <c r="GHO1"/>
      <c r="GHP1"/>
      <c r="GHQ1"/>
      <c r="GHR1"/>
      <c r="GHS1"/>
      <c r="GHT1"/>
      <c r="GHU1"/>
      <c r="GHV1"/>
      <c r="GHW1"/>
      <c r="GHX1"/>
      <c r="GHY1"/>
      <c r="GHZ1"/>
      <c r="GIA1"/>
      <c r="GIB1"/>
      <c r="GIC1"/>
      <c r="GID1"/>
      <c r="GIE1"/>
      <c r="GIF1"/>
      <c r="GIG1"/>
      <c r="GIH1"/>
      <c r="GII1"/>
      <c r="GIJ1"/>
      <c r="GIK1"/>
      <c r="GIL1"/>
      <c r="GIM1"/>
      <c r="GIN1"/>
      <c r="GIO1"/>
      <c r="GIP1"/>
      <c r="GIQ1"/>
      <c r="GIR1"/>
      <c r="GIS1"/>
      <c r="GIT1"/>
      <c r="GIU1"/>
      <c r="GIV1"/>
      <c r="GIW1"/>
      <c r="GIX1"/>
      <c r="GIY1"/>
      <c r="GIZ1"/>
      <c r="GJA1"/>
      <c r="GJB1"/>
      <c r="GJC1"/>
      <c r="GJD1"/>
      <c r="GJE1"/>
      <c r="GJF1"/>
      <c r="GJG1"/>
      <c r="GJH1"/>
      <c r="GJI1"/>
      <c r="GJJ1"/>
      <c r="GJK1"/>
      <c r="GJL1"/>
      <c r="GJM1"/>
      <c r="GJN1"/>
      <c r="GJO1"/>
      <c r="GJP1"/>
      <c r="GJQ1"/>
      <c r="GJR1"/>
      <c r="GJS1"/>
      <c r="GJT1"/>
      <c r="GJU1"/>
      <c r="GJV1"/>
      <c r="GJW1"/>
      <c r="GJX1"/>
      <c r="GJY1"/>
      <c r="GJZ1"/>
      <c r="GKA1"/>
      <c r="GKB1"/>
      <c r="GKC1"/>
      <c r="GKD1"/>
      <c r="GKE1"/>
      <c r="GKF1"/>
      <c r="GKG1"/>
      <c r="GKH1"/>
      <c r="GKI1"/>
      <c r="GKJ1"/>
      <c r="GKK1"/>
      <c r="GKL1"/>
      <c r="GKM1"/>
      <c r="GKN1"/>
      <c r="GKO1"/>
      <c r="GKP1"/>
      <c r="GKQ1"/>
      <c r="GKR1"/>
      <c r="GKS1"/>
      <c r="GKT1"/>
      <c r="GKU1"/>
      <c r="GKV1"/>
      <c r="GKW1"/>
      <c r="GKX1"/>
      <c r="GKY1"/>
      <c r="GKZ1"/>
      <c r="GLA1"/>
      <c r="GLB1"/>
      <c r="GLC1"/>
      <c r="GLD1"/>
      <c r="GLE1"/>
      <c r="GLF1"/>
      <c r="GLG1"/>
      <c r="GLH1"/>
      <c r="GLI1"/>
      <c r="GLJ1"/>
      <c r="GLK1"/>
      <c r="GLL1"/>
      <c r="GLM1"/>
      <c r="GLN1"/>
      <c r="GLO1"/>
      <c r="GLP1"/>
      <c r="GLQ1"/>
      <c r="GLR1"/>
      <c r="GLS1"/>
      <c r="GLT1"/>
      <c r="GLU1"/>
      <c r="GLV1"/>
      <c r="GLW1"/>
      <c r="GLX1"/>
      <c r="GLY1"/>
      <c r="GLZ1"/>
      <c r="GMA1"/>
      <c r="GMB1"/>
      <c r="GMC1"/>
      <c r="GMD1"/>
      <c r="GME1"/>
      <c r="GMF1"/>
      <c r="GMG1"/>
      <c r="GMH1"/>
      <c r="GMI1"/>
      <c r="GMJ1"/>
      <c r="GMK1"/>
      <c r="GML1"/>
      <c r="GMM1"/>
      <c r="GMN1"/>
      <c r="GMO1"/>
      <c r="GMP1"/>
      <c r="GMQ1"/>
      <c r="GMR1"/>
      <c r="GMS1"/>
      <c r="GMT1"/>
      <c r="GMU1"/>
      <c r="GMV1"/>
      <c r="GMW1"/>
      <c r="GMX1"/>
      <c r="GMY1"/>
      <c r="GMZ1"/>
      <c r="GNA1"/>
      <c r="GNB1"/>
      <c r="GNC1"/>
      <c r="GND1"/>
      <c r="GNE1"/>
      <c r="GNF1"/>
      <c r="GNG1"/>
      <c r="GNH1"/>
      <c r="GNI1"/>
      <c r="GNJ1"/>
      <c r="GNK1"/>
      <c r="GNL1"/>
      <c r="GNM1"/>
      <c r="GNN1"/>
      <c r="GNO1"/>
      <c r="GNP1"/>
      <c r="GNQ1"/>
      <c r="GNR1"/>
      <c r="GNS1"/>
      <c r="GNT1"/>
      <c r="GNU1"/>
      <c r="GNV1"/>
      <c r="GNW1"/>
      <c r="GNX1"/>
      <c r="GNY1"/>
      <c r="GNZ1"/>
      <c r="GOA1"/>
      <c r="GOB1"/>
      <c r="GOC1"/>
      <c r="GOD1"/>
      <c r="GOE1"/>
      <c r="GOF1"/>
      <c r="GOG1"/>
      <c r="GOH1"/>
      <c r="GOI1"/>
      <c r="GOJ1"/>
      <c r="GOK1"/>
      <c r="GOL1"/>
      <c r="GOM1"/>
      <c r="GON1"/>
      <c r="GOO1"/>
      <c r="GOP1"/>
      <c r="GOQ1"/>
      <c r="GOR1"/>
      <c r="GOS1"/>
      <c r="GOT1"/>
      <c r="GOU1"/>
      <c r="GOV1"/>
      <c r="GOW1"/>
      <c r="GOX1"/>
      <c r="GOY1"/>
      <c r="GOZ1"/>
      <c r="GPA1"/>
      <c r="GPB1"/>
      <c r="GPC1"/>
      <c r="GPD1"/>
      <c r="GPE1"/>
      <c r="GPF1"/>
      <c r="GPG1"/>
      <c r="GPH1"/>
      <c r="GPI1"/>
      <c r="GPJ1"/>
      <c r="GPK1"/>
      <c r="GPL1"/>
      <c r="GPM1"/>
      <c r="GPN1"/>
      <c r="GPO1"/>
      <c r="GPP1"/>
      <c r="GPQ1"/>
      <c r="GPR1"/>
      <c r="GPS1"/>
      <c r="GPT1"/>
      <c r="GPU1"/>
      <c r="GPV1"/>
      <c r="GPW1"/>
      <c r="GPX1"/>
      <c r="GPY1"/>
      <c r="GPZ1"/>
      <c r="GQA1"/>
      <c r="GQB1"/>
      <c r="GQC1"/>
      <c r="GQD1"/>
      <c r="GQE1"/>
      <c r="GQF1"/>
      <c r="GQG1"/>
      <c r="GQH1"/>
      <c r="GQI1"/>
      <c r="GQJ1"/>
      <c r="GQK1"/>
      <c r="GQL1"/>
      <c r="GQM1"/>
      <c r="GQN1"/>
      <c r="GQO1"/>
      <c r="GQP1"/>
      <c r="GQQ1"/>
      <c r="GQR1"/>
      <c r="GQS1"/>
      <c r="GQT1"/>
      <c r="GQU1"/>
      <c r="GQV1"/>
      <c r="GQW1"/>
      <c r="GQX1"/>
      <c r="GQY1"/>
      <c r="GQZ1"/>
      <c r="GRA1"/>
      <c r="GRB1"/>
      <c r="GRC1"/>
      <c r="GRD1"/>
      <c r="GRE1"/>
      <c r="GRF1"/>
      <c r="GRG1"/>
      <c r="GRH1"/>
      <c r="GRI1"/>
      <c r="GRJ1"/>
      <c r="GRK1"/>
      <c r="GRL1"/>
      <c r="GRM1"/>
      <c r="GRN1"/>
      <c r="GRO1"/>
      <c r="GRP1"/>
      <c r="GRQ1"/>
      <c r="GRR1"/>
      <c r="GRS1"/>
      <c r="GRT1"/>
      <c r="GRU1"/>
      <c r="GRV1"/>
      <c r="GRW1"/>
      <c r="GRX1"/>
      <c r="GRY1"/>
      <c r="GRZ1"/>
      <c r="GSA1"/>
      <c r="GSB1"/>
      <c r="GSC1"/>
      <c r="GSD1"/>
      <c r="GSE1"/>
      <c r="GSF1"/>
      <c r="GSG1"/>
      <c r="GSH1"/>
      <c r="GSI1"/>
      <c r="GSJ1"/>
      <c r="GSK1"/>
      <c r="GSL1"/>
      <c r="GSM1"/>
      <c r="GSN1"/>
      <c r="GSO1"/>
      <c r="GSP1"/>
      <c r="GSQ1"/>
      <c r="GSR1"/>
      <c r="GSS1"/>
      <c r="GST1"/>
      <c r="GSU1"/>
      <c r="GSV1"/>
      <c r="GSW1"/>
      <c r="GSX1"/>
      <c r="GSY1"/>
      <c r="GSZ1"/>
      <c r="GTA1"/>
      <c r="GTB1"/>
      <c r="GTC1"/>
      <c r="GTD1"/>
      <c r="GTE1"/>
      <c r="GTF1"/>
      <c r="GTG1"/>
      <c r="GTH1"/>
      <c r="GTI1"/>
      <c r="GTJ1"/>
      <c r="GTK1"/>
      <c r="GTL1"/>
      <c r="GTM1"/>
      <c r="GTN1"/>
      <c r="GTO1"/>
      <c r="GTP1"/>
      <c r="GTQ1"/>
      <c r="GTR1"/>
      <c r="GTS1"/>
      <c r="GTT1"/>
      <c r="GTU1"/>
      <c r="GTV1"/>
      <c r="GTW1"/>
      <c r="GTX1"/>
      <c r="GTY1"/>
      <c r="GTZ1"/>
      <c r="GUA1"/>
      <c r="GUB1"/>
      <c r="GUC1"/>
      <c r="GUD1"/>
      <c r="GUE1"/>
      <c r="GUF1"/>
      <c r="GUG1"/>
      <c r="GUH1"/>
      <c r="GUI1"/>
      <c r="GUJ1"/>
      <c r="GUK1"/>
      <c r="GUL1"/>
      <c r="GUM1"/>
      <c r="GUN1"/>
      <c r="GUO1"/>
      <c r="GUP1"/>
      <c r="GUQ1"/>
      <c r="GUR1"/>
      <c r="GUS1"/>
      <c r="GUT1"/>
      <c r="GUU1"/>
      <c r="GUV1"/>
      <c r="GUW1"/>
      <c r="GUX1"/>
      <c r="GUY1"/>
      <c r="GUZ1"/>
      <c r="GVA1"/>
      <c r="GVB1"/>
      <c r="GVC1"/>
      <c r="GVD1"/>
      <c r="GVE1"/>
      <c r="GVF1"/>
      <c r="GVG1"/>
      <c r="GVH1"/>
      <c r="GVI1"/>
      <c r="GVJ1"/>
      <c r="GVK1"/>
      <c r="GVL1"/>
      <c r="GVM1"/>
      <c r="GVN1"/>
      <c r="GVO1"/>
      <c r="GVP1"/>
      <c r="GVQ1"/>
      <c r="GVR1"/>
      <c r="GVS1"/>
      <c r="GVT1"/>
      <c r="GVU1"/>
      <c r="GVV1"/>
      <c r="GVW1"/>
      <c r="GVX1"/>
      <c r="GVY1"/>
      <c r="GVZ1"/>
      <c r="GWA1"/>
      <c r="GWB1"/>
      <c r="GWC1"/>
      <c r="GWD1"/>
      <c r="GWE1"/>
      <c r="GWF1"/>
      <c r="GWG1"/>
      <c r="GWH1"/>
      <c r="GWI1"/>
      <c r="GWJ1"/>
      <c r="GWK1"/>
      <c r="GWL1"/>
      <c r="GWM1"/>
      <c r="GWN1"/>
      <c r="GWO1"/>
      <c r="GWP1"/>
      <c r="GWQ1"/>
      <c r="GWR1"/>
      <c r="GWS1"/>
      <c r="GWT1"/>
      <c r="GWU1"/>
      <c r="GWV1"/>
      <c r="GWW1"/>
      <c r="GWX1"/>
      <c r="GWY1"/>
      <c r="GWZ1"/>
      <c r="GXA1"/>
      <c r="GXB1"/>
      <c r="GXC1"/>
      <c r="GXD1"/>
      <c r="GXE1"/>
      <c r="GXF1"/>
      <c r="GXG1"/>
      <c r="GXH1"/>
      <c r="GXI1"/>
      <c r="GXJ1"/>
      <c r="GXK1"/>
      <c r="GXL1"/>
      <c r="GXM1"/>
      <c r="GXN1"/>
      <c r="GXO1"/>
      <c r="GXP1"/>
      <c r="GXQ1"/>
      <c r="GXR1"/>
      <c r="GXS1"/>
      <c r="GXT1"/>
      <c r="GXU1"/>
      <c r="GXV1"/>
      <c r="GXW1"/>
      <c r="GXX1"/>
      <c r="GXY1"/>
      <c r="GXZ1"/>
      <c r="GYA1"/>
      <c r="GYB1"/>
      <c r="GYC1"/>
      <c r="GYD1"/>
      <c r="GYE1"/>
      <c r="GYF1"/>
      <c r="GYG1"/>
      <c r="GYH1"/>
      <c r="GYI1"/>
      <c r="GYJ1"/>
      <c r="GYK1"/>
      <c r="GYL1"/>
      <c r="GYM1"/>
      <c r="GYN1"/>
      <c r="GYO1"/>
      <c r="GYP1"/>
      <c r="GYQ1"/>
      <c r="GYR1"/>
      <c r="GYS1"/>
      <c r="GYT1"/>
      <c r="GYU1"/>
      <c r="GYV1"/>
      <c r="GYW1"/>
      <c r="GYX1"/>
      <c r="GYY1"/>
      <c r="GYZ1"/>
      <c r="GZA1"/>
      <c r="GZB1"/>
      <c r="GZC1"/>
      <c r="GZD1"/>
      <c r="GZE1"/>
      <c r="GZF1"/>
      <c r="GZG1"/>
      <c r="GZH1"/>
      <c r="GZI1"/>
      <c r="GZJ1"/>
      <c r="GZK1"/>
      <c r="GZL1"/>
      <c r="GZM1"/>
      <c r="GZN1"/>
      <c r="GZO1"/>
      <c r="GZP1"/>
      <c r="GZQ1"/>
      <c r="GZR1"/>
      <c r="GZS1"/>
      <c r="GZT1"/>
      <c r="GZU1"/>
      <c r="GZV1"/>
      <c r="GZW1"/>
      <c r="GZX1"/>
      <c r="GZY1"/>
      <c r="GZZ1"/>
      <c r="HAA1"/>
      <c r="HAB1"/>
      <c r="HAC1"/>
      <c r="HAD1"/>
      <c r="HAE1"/>
      <c r="HAF1"/>
      <c r="HAG1"/>
      <c r="HAH1"/>
      <c r="HAI1"/>
      <c r="HAJ1"/>
      <c r="HAK1"/>
      <c r="HAL1"/>
      <c r="HAM1"/>
      <c r="HAN1"/>
      <c r="HAO1"/>
      <c r="HAP1"/>
      <c r="HAQ1"/>
      <c r="HAR1"/>
      <c r="HAS1"/>
      <c r="HAT1"/>
      <c r="HAU1"/>
      <c r="HAV1"/>
      <c r="HAW1"/>
      <c r="HAX1"/>
      <c r="HAY1"/>
      <c r="HAZ1"/>
      <c r="HBA1"/>
      <c r="HBB1"/>
      <c r="HBC1"/>
      <c r="HBD1"/>
      <c r="HBE1"/>
      <c r="HBF1"/>
      <c r="HBG1"/>
      <c r="HBH1"/>
      <c r="HBI1"/>
      <c r="HBJ1"/>
      <c r="HBK1"/>
      <c r="HBL1"/>
      <c r="HBM1"/>
      <c r="HBN1"/>
      <c r="HBO1"/>
      <c r="HBP1"/>
      <c r="HBQ1"/>
      <c r="HBR1"/>
      <c r="HBS1"/>
      <c r="HBT1"/>
      <c r="HBU1"/>
      <c r="HBV1"/>
      <c r="HBW1"/>
      <c r="HBX1"/>
      <c r="HBY1"/>
      <c r="HBZ1"/>
      <c r="HCA1"/>
      <c r="HCB1"/>
      <c r="HCC1"/>
      <c r="HCD1"/>
      <c r="HCE1"/>
      <c r="HCF1"/>
      <c r="HCG1"/>
      <c r="HCH1"/>
      <c r="HCI1"/>
      <c r="HCJ1"/>
      <c r="HCK1"/>
      <c r="HCL1"/>
      <c r="HCM1"/>
      <c r="HCN1"/>
      <c r="HCO1"/>
      <c r="HCP1"/>
      <c r="HCQ1"/>
      <c r="HCR1"/>
      <c r="HCS1"/>
      <c r="HCT1"/>
      <c r="HCU1"/>
      <c r="HCV1"/>
      <c r="HCW1"/>
      <c r="HCX1"/>
      <c r="HCY1"/>
      <c r="HCZ1"/>
      <c r="HDA1"/>
      <c r="HDB1"/>
      <c r="HDC1"/>
      <c r="HDD1"/>
      <c r="HDE1"/>
      <c r="HDF1"/>
      <c r="HDG1"/>
      <c r="HDH1"/>
      <c r="HDI1"/>
      <c r="HDJ1"/>
      <c r="HDK1"/>
      <c r="HDL1"/>
      <c r="HDM1"/>
      <c r="HDN1"/>
      <c r="HDO1"/>
      <c r="HDP1"/>
      <c r="HDQ1"/>
      <c r="HDR1"/>
      <c r="HDS1"/>
      <c r="HDT1"/>
      <c r="HDU1"/>
      <c r="HDV1"/>
      <c r="HDW1"/>
      <c r="HDX1"/>
      <c r="HDY1"/>
      <c r="HDZ1"/>
      <c r="HEA1"/>
      <c r="HEB1"/>
      <c r="HEC1"/>
      <c r="HED1"/>
      <c r="HEE1"/>
      <c r="HEF1"/>
      <c r="HEG1"/>
      <c r="HEH1"/>
      <c r="HEI1"/>
      <c r="HEJ1"/>
      <c r="HEK1"/>
      <c r="HEL1"/>
      <c r="HEM1"/>
      <c r="HEN1"/>
      <c r="HEO1"/>
      <c r="HEP1"/>
      <c r="HEQ1"/>
      <c r="HER1"/>
      <c r="HES1"/>
      <c r="HET1"/>
      <c r="HEU1"/>
      <c r="HEV1"/>
      <c r="HEW1"/>
      <c r="HEX1"/>
      <c r="HEY1"/>
      <c r="HEZ1"/>
      <c r="HFA1"/>
      <c r="HFB1"/>
      <c r="HFC1"/>
      <c r="HFD1"/>
      <c r="HFE1"/>
      <c r="HFF1"/>
      <c r="HFG1"/>
      <c r="HFH1"/>
      <c r="HFI1"/>
      <c r="HFJ1"/>
      <c r="HFK1"/>
      <c r="HFL1"/>
      <c r="HFM1"/>
      <c r="HFN1"/>
      <c r="HFO1"/>
      <c r="HFP1"/>
      <c r="HFQ1"/>
      <c r="HFR1"/>
      <c r="HFS1"/>
      <c r="HFT1"/>
      <c r="HFU1"/>
      <c r="HFV1"/>
      <c r="HFW1"/>
      <c r="HFX1"/>
      <c r="HFY1"/>
      <c r="HFZ1"/>
      <c r="HGA1"/>
      <c r="HGB1"/>
      <c r="HGC1"/>
      <c r="HGD1"/>
      <c r="HGE1"/>
      <c r="HGF1"/>
      <c r="HGG1"/>
      <c r="HGH1"/>
      <c r="HGI1"/>
      <c r="HGJ1"/>
      <c r="HGK1"/>
      <c r="HGL1"/>
      <c r="HGM1"/>
      <c r="HGN1"/>
      <c r="HGO1"/>
      <c r="HGP1"/>
      <c r="HGQ1"/>
      <c r="HGR1"/>
      <c r="HGS1"/>
      <c r="HGT1"/>
      <c r="HGU1"/>
      <c r="HGV1"/>
      <c r="HGW1"/>
      <c r="HGX1"/>
      <c r="HGY1"/>
      <c r="HGZ1"/>
      <c r="HHA1"/>
      <c r="HHB1"/>
      <c r="HHC1"/>
      <c r="HHD1"/>
      <c r="HHE1"/>
      <c r="HHF1"/>
      <c r="HHG1"/>
      <c r="HHH1"/>
      <c r="HHI1"/>
      <c r="HHJ1"/>
      <c r="HHK1"/>
      <c r="HHL1"/>
      <c r="HHM1"/>
      <c r="HHN1"/>
      <c r="HHO1"/>
      <c r="HHP1"/>
      <c r="HHQ1"/>
      <c r="HHR1"/>
      <c r="HHS1"/>
      <c r="HHT1"/>
      <c r="HHU1"/>
      <c r="HHV1"/>
      <c r="HHW1"/>
      <c r="HHX1"/>
      <c r="HHY1"/>
      <c r="HHZ1"/>
      <c r="HIA1"/>
      <c r="HIB1"/>
      <c r="HIC1"/>
      <c r="HID1"/>
      <c r="HIE1"/>
      <c r="HIF1"/>
      <c r="HIG1"/>
      <c r="HIH1"/>
      <c r="HII1"/>
      <c r="HIJ1"/>
      <c r="HIK1"/>
      <c r="HIL1"/>
      <c r="HIM1"/>
      <c r="HIN1"/>
      <c r="HIO1"/>
      <c r="HIP1"/>
      <c r="HIQ1"/>
      <c r="HIR1"/>
      <c r="HIS1"/>
      <c r="HIT1"/>
      <c r="HIU1"/>
      <c r="HIV1"/>
      <c r="HIW1"/>
      <c r="HIX1"/>
      <c r="HIY1"/>
      <c r="HIZ1"/>
      <c r="HJA1"/>
      <c r="HJB1"/>
      <c r="HJC1"/>
      <c r="HJD1"/>
      <c r="HJE1"/>
      <c r="HJF1"/>
      <c r="HJG1"/>
      <c r="HJH1"/>
      <c r="HJI1"/>
      <c r="HJJ1"/>
      <c r="HJK1"/>
      <c r="HJL1"/>
      <c r="HJM1"/>
      <c r="HJN1"/>
      <c r="HJO1"/>
      <c r="HJP1"/>
      <c r="HJQ1"/>
      <c r="HJR1"/>
      <c r="HJS1"/>
      <c r="HJT1"/>
      <c r="HJU1"/>
      <c r="HJV1"/>
      <c r="HJW1"/>
      <c r="HJX1"/>
      <c r="HJY1"/>
      <c r="HJZ1"/>
      <c r="HKA1"/>
      <c r="HKB1"/>
      <c r="HKC1"/>
      <c r="HKD1"/>
      <c r="HKE1"/>
      <c r="HKF1"/>
      <c r="HKG1"/>
      <c r="HKH1"/>
      <c r="HKI1"/>
      <c r="HKJ1"/>
      <c r="HKK1"/>
      <c r="HKL1"/>
      <c r="HKM1"/>
      <c r="HKN1"/>
      <c r="HKO1"/>
      <c r="HKP1"/>
      <c r="HKQ1"/>
      <c r="HKR1"/>
      <c r="HKS1"/>
      <c r="HKT1"/>
      <c r="HKU1"/>
      <c r="HKV1"/>
      <c r="HKW1"/>
      <c r="HKX1"/>
      <c r="HKY1"/>
      <c r="HKZ1"/>
      <c r="HLA1"/>
      <c r="HLB1"/>
      <c r="HLC1"/>
      <c r="HLD1"/>
      <c r="HLE1"/>
      <c r="HLF1"/>
      <c r="HLG1"/>
      <c r="HLH1"/>
      <c r="HLI1"/>
      <c r="HLJ1"/>
      <c r="HLK1"/>
      <c r="HLL1"/>
      <c r="HLM1"/>
      <c r="HLN1"/>
      <c r="HLO1"/>
      <c r="HLP1"/>
      <c r="HLQ1"/>
      <c r="HLR1"/>
      <c r="HLS1"/>
      <c r="HLT1"/>
      <c r="HLU1"/>
      <c r="HLV1"/>
      <c r="HLW1"/>
      <c r="HLX1"/>
      <c r="HLY1"/>
      <c r="HLZ1"/>
      <c r="HMA1"/>
      <c r="HMB1"/>
      <c r="HMC1"/>
      <c r="HMD1"/>
      <c r="HME1"/>
      <c r="HMF1"/>
      <c r="HMG1"/>
      <c r="HMH1"/>
      <c r="HMI1"/>
      <c r="HMJ1"/>
      <c r="HMK1"/>
      <c r="HML1"/>
      <c r="HMM1"/>
      <c r="HMN1"/>
      <c r="HMO1"/>
      <c r="HMP1"/>
      <c r="HMQ1"/>
      <c r="HMR1"/>
      <c r="HMS1"/>
      <c r="HMT1"/>
      <c r="HMU1"/>
      <c r="HMV1"/>
      <c r="HMW1"/>
      <c r="HMX1"/>
      <c r="HMY1"/>
      <c r="HMZ1"/>
      <c r="HNA1"/>
      <c r="HNB1"/>
      <c r="HNC1"/>
      <c r="HND1"/>
      <c r="HNE1"/>
      <c r="HNF1"/>
      <c r="HNG1"/>
      <c r="HNH1"/>
      <c r="HNI1"/>
      <c r="HNJ1"/>
      <c r="HNK1"/>
      <c r="HNL1"/>
      <c r="HNM1"/>
      <c r="HNN1"/>
      <c r="HNO1"/>
      <c r="HNP1"/>
      <c r="HNQ1"/>
      <c r="HNR1"/>
      <c r="HNS1"/>
      <c r="HNT1"/>
      <c r="HNU1"/>
      <c r="HNV1"/>
      <c r="HNW1"/>
      <c r="HNX1"/>
      <c r="HNY1"/>
      <c r="HNZ1"/>
      <c r="HOA1"/>
      <c r="HOB1"/>
      <c r="HOC1"/>
      <c r="HOD1"/>
      <c r="HOE1"/>
      <c r="HOF1"/>
      <c r="HOG1"/>
      <c r="HOH1"/>
      <c r="HOI1"/>
      <c r="HOJ1"/>
      <c r="HOK1"/>
      <c r="HOL1"/>
      <c r="HOM1"/>
      <c r="HON1"/>
      <c r="HOO1"/>
      <c r="HOP1"/>
      <c r="HOQ1"/>
      <c r="HOR1"/>
      <c r="HOS1"/>
      <c r="HOT1"/>
      <c r="HOU1"/>
      <c r="HOV1"/>
      <c r="HOW1"/>
      <c r="HOX1"/>
      <c r="HOY1"/>
      <c r="HOZ1"/>
      <c r="HPA1"/>
      <c r="HPB1"/>
      <c r="HPC1"/>
      <c r="HPD1"/>
      <c r="HPE1"/>
      <c r="HPF1"/>
      <c r="HPG1"/>
      <c r="HPH1"/>
      <c r="HPI1"/>
      <c r="HPJ1"/>
      <c r="HPK1"/>
      <c r="HPL1"/>
      <c r="HPM1"/>
      <c r="HPN1"/>
      <c r="HPO1"/>
      <c r="HPP1"/>
      <c r="HPQ1"/>
      <c r="HPR1"/>
      <c r="HPS1"/>
      <c r="HPT1"/>
      <c r="HPU1"/>
      <c r="HPV1"/>
      <c r="HPW1"/>
      <c r="HPX1"/>
      <c r="HPY1"/>
      <c r="HPZ1"/>
      <c r="HQA1"/>
      <c r="HQB1"/>
      <c r="HQC1"/>
      <c r="HQD1"/>
      <c r="HQE1"/>
      <c r="HQF1"/>
      <c r="HQG1"/>
      <c r="HQH1"/>
      <c r="HQI1"/>
      <c r="HQJ1"/>
      <c r="HQK1"/>
      <c r="HQL1"/>
      <c r="HQM1"/>
      <c r="HQN1"/>
      <c r="HQO1"/>
      <c r="HQP1"/>
      <c r="HQQ1"/>
      <c r="HQR1"/>
      <c r="HQS1"/>
      <c r="HQT1"/>
      <c r="HQU1"/>
      <c r="HQV1"/>
      <c r="HQW1"/>
      <c r="HQX1"/>
      <c r="HQY1"/>
      <c r="HQZ1"/>
      <c r="HRA1"/>
      <c r="HRB1"/>
      <c r="HRC1"/>
      <c r="HRD1"/>
      <c r="HRE1"/>
      <c r="HRF1"/>
      <c r="HRG1"/>
      <c r="HRH1"/>
      <c r="HRI1"/>
      <c r="HRJ1"/>
      <c r="HRK1"/>
      <c r="HRL1"/>
      <c r="HRM1"/>
      <c r="HRN1"/>
      <c r="HRO1"/>
      <c r="HRP1"/>
      <c r="HRQ1"/>
      <c r="HRR1"/>
      <c r="HRS1"/>
      <c r="HRT1"/>
      <c r="HRU1"/>
      <c r="HRV1"/>
      <c r="HRW1"/>
      <c r="HRX1"/>
      <c r="HRY1"/>
      <c r="HRZ1"/>
      <c r="HSA1"/>
      <c r="HSB1"/>
      <c r="HSC1"/>
      <c r="HSD1"/>
      <c r="HSE1"/>
      <c r="HSF1"/>
      <c r="HSG1"/>
      <c r="HSH1"/>
      <c r="HSI1"/>
      <c r="HSJ1"/>
      <c r="HSK1"/>
      <c r="HSL1"/>
      <c r="HSM1"/>
      <c r="HSN1"/>
      <c r="HSO1"/>
      <c r="HSP1"/>
      <c r="HSQ1"/>
      <c r="HSR1"/>
      <c r="HSS1"/>
      <c r="HST1"/>
      <c r="HSU1"/>
      <c r="HSV1"/>
      <c r="HSW1"/>
      <c r="HSX1"/>
      <c r="HSY1"/>
      <c r="HSZ1"/>
      <c r="HTA1"/>
      <c r="HTB1"/>
      <c r="HTC1"/>
      <c r="HTD1"/>
      <c r="HTE1"/>
      <c r="HTF1"/>
      <c r="HTG1"/>
      <c r="HTH1"/>
      <c r="HTI1"/>
      <c r="HTJ1"/>
      <c r="HTK1"/>
      <c r="HTL1"/>
      <c r="HTM1"/>
      <c r="HTN1"/>
      <c r="HTO1"/>
      <c r="HTP1"/>
      <c r="HTQ1"/>
      <c r="HTR1"/>
      <c r="HTS1"/>
      <c r="HTT1"/>
      <c r="HTU1"/>
      <c r="HTV1"/>
      <c r="HTW1"/>
      <c r="HTX1"/>
      <c r="HTY1"/>
      <c r="HTZ1"/>
      <c r="HUA1"/>
      <c r="HUB1"/>
      <c r="HUC1"/>
      <c r="HUD1"/>
      <c r="HUE1"/>
      <c r="HUF1"/>
      <c r="HUG1"/>
      <c r="HUH1"/>
      <c r="HUI1"/>
      <c r="HUJ1"/>
      <c r="HUK1"/>
      <c r="HUL1"/>
      <c r="HUM1"/>
      <c r="HUN1"/>
      <c r="HUO1"/>
      <c r="HUP1"/>
      <c r="HUQ1"/>
      <c r="HUR1"/>
      <c r="HUS1"/>
      <c r="HUT1"/>
      <c r="HUU1"/>
      <c r="HUV1"/>
      <c r="HUW1"/>
      <c r="HUX1"/>
      <c r="HUY1"/>
      <c r="HUZ1"/>
      <c r="HVA1"/>
      <c r="HVB1"/>
      <c r="HVC1"/>
      <c r="HVD1"/>
      <c r="HVE1"/>
      <c r="HVF1"/>
      <c r="HVG1"/>
      <c r="HVH1"/>
      <c r="HVI1"/>
      <c r="HVJ1"/>
      <c r="HVK1"/>
      <c r="HVL1"/>
      <c r="HVM1"/>
      <c r="HVN1"/>
      <c r="HVO1"/>
      <c r="HVP1"/>
      <c r="HVQ1"/>
      <c r="HVR1"/>
      <c r="HVS1"/>
      <c r="HVT1"/>
      <c r="HVU1"/>
      <c r="HVV1"/>
      <c r="HVW1"/>
      <c r="HVX1"/>
      <c r="HVY1"/>
      <c r="HVZ1"/>
      <c r="HWA1"/>
      <c r="HWB1"/>
      <c r="HWC1"/>
      <c r="HWD1"/>
      <c r="HWE1"/>
      <c r="HWF1"/>
      <c r="HWG1"/>
      <c r="HWH1"/>
      <c r="HWI1"/>
      <c r="HWJ1"/>
      <c r="HWK1"/>
      <c r="HWL1"/>
      <c r="HWM1"/>
      <c r="HWN1"/>
      <c r="HWO1"/>
      <c r="HWP1"/>
      <c r="HWQ1"/>
      <c r="HWR1"/>
      <c r="HWS1"/>
      <c r="HWT1"/>
      <c r="HWU1"/>
      <c r="HWV1"/>
      <c r="HWW1"/>
      <c r="HWX1"/>
      <c r="HWY1"/>
      <c r="HWZ1"/>
      <c r="HXA1"/>
      <c r="HXB1"/>
      <c r="HXC1"/>
      <c r="HXD1"/>
      <c r="HXE1"/>
      <c r="HXF1"/>
      <c r="HXG1"/>
      <c r="HXH1"/>
      <c r="HXI1"/>
      <c r="HXJ1"/>
      <c r="HXK1"/>
      <c r="HXL1"/>
      <c r="HXM1"/>
      <c r="HXN1"/>
      <c r="HXO1"/>
      <c r="HXP1"/>
      <c r="HXQ1"/>
      <c r="HXR1"/>
      <c r="HXS1"/>
      <c r="HXT1"/>
      <c r="HXU1"/>
      <c r="HXV1"/>
      <c r="HXW1"/>
      <c r="HXX1"/>
      <c r="HXY1"/>
      <c r="HXZ1"/>
      <c r="HYA1"/>
      <c r="HYB1"/>
      <c r="HYC1"/>
      <c r="HYD1"/>
      <c r="HYE1"/>
      <c r="HYF1"/>
      <c r="HYG1"/>
      <c r="HYH1"/>
      <c r="HYI1"/>
      <c r="HYJ1"/>
      <c r="HYK1"/>
      <c r="HYL1"/>
      <c r="HYM1"/>
      <c r="HYN1"/>
      <c r="HYO1"/>
      <c r="HYP1"/>
      <c r="HYQ1"/>
      <c r="HYR1"/>
      <c r="HYS1"/>
      <c r="HYT1"/>
      <c r="HYU1"/>
      <c r="HYV1"/>
      <c r="HYW1"/>
      <c r="HYX1"/>
      <c r="HYY1"/>
      <c r="HYZ1"/>
      <c r="HZA1"/>
      <c r="HZB1"/>
      <c r="HZC1"/>
      <c r="HZD1"/>
      <c r="HZE1"/>
      <c r="HZF1"/>
      <c r="HZG1"/>
      <c r="HZH1"/>
      <c r="HZI1"/>
      <c r="HZJ1"/>
      <c r="HZK1"/>
      <c r="HZL1"/>
      <c r="HZM1"/>
      <c r="HZN1"/>
      <c r="HZO1"/>
      <c r="HZP1"/>
      <c r="HZQ1"/>
      <c r="HZR1"/>
      <c r="HZS1"/>
      <c r="HZT1"/>
      <c r="HZU1"/>
      <c r="HZV1"/>
      <c r="HZW1"/>
      <c r="HZX1"/>
      <c r="HZY1"/>
      <c r="HZZ1"/>
      <c r="IAA1"/>
      <c r="IAB1"/>
      <c r="IAC1"/>
      <c r="IAD1"/>
      <c r="IAE1"/>
      <c r="IAF1"/>
      <c r="IAG1"/>
      <c r="IAH1"/>
      <c r="IAI1"/>
      <c r="IAJ1"/>
      <c r="IAK1"/>
      <c r="IAL1"/>
      <c r="IAM1"/>
      <c r="IAN1"/>
      <c r="IAO1"/>
      <c r="IAP1"/>
      <c r="IAQ1"/>
      <c r="IAR1"/>
      <c r="IAS1"/>
      <c r="IAT1"/>
      <c r="IAU1"/>
      <c r="IAV1"/>
      <c r="IAW1"/>
      <c r="IAX1"/>
      <c r="IAY1"/>
      <c r="IAZ1"/>
      <c r="IBA1"/>
      <c r="IBB1"/>
      <c r="IBC1"/>
      <c r="IBD1"/>
      <c r="IBE1"/>
      <c r="IBF1"/>
      <c r="IBG1"/>
      <c r="IBH1"/>
      <c r="IBI1"/>
      <c r="IBJ1"/>
      <c r="IBK1"/>
      <c r="IBL1"/>
      <c r="IBM1"/>
      <c r="IBN1"/>
      <c r="IBO1"/>
      <c r="IBP1"/>
      <c r="IBQ1"/>
      <c r="IBR1"/>
      <c r="IBS1"/>
      <c r="IBT1"/>
      <c r="IBU1"/>
      <c r="IBV1"/>
      <c r="IBW1"/>
      <c r="IBX1"/>
      <c r="IBY1"/>
      <c r="IBZ1"/>
      <c r="ICA1"/>
      <c r="ICB1"/>
      <c r="ICC1"/>
      <c r="ICD1"/>
      <c r="ICE1"/>
      <c r="ICF1"/>
      <c r="ICG1"/>
      <c r="ICH1"/>
      <c r="ICI1"/>
      <c r="ICJ1"/>
      <c r="ICK1"/>
      <c r="ICL1"/>
      <c r="ICM1"/>
      <c r="ICN1"/>
      <c r="ICO1"/>
      <c r="ICP1"/>
      <c r="ICQ1"/>
      <c r="ICR1"/>
      <c r="ICS1"/>
      <c r="ICT1"/>
      <c r="ICU1"/>
      <c r="ICV1"/>
      <c r="ICW1"/>
      <c r="ICX1"/>
      <c r="ICY1"/>
      <c r="ICZ1"/>
      <c r="IDA1"/>
      <c r="IDB1"/>
      <c r="IDC1"/>
      <c r="IDD1"/>
      <c r="IDE1"/>
      <c r="IDF1"/>
      <c r="IDG1"/>
      <c r="IDH1"/>
      <c r="IDI1"/>
      <c r="IDJ1"/>
      <c r="IDK1"/>
      <c r="IDL1"/>
      <c r="IDM1"/>
      <c r="IDN1"/>
      <c r="IDO1"/>
      <c r="IDP1"/>
      <c r="IDQ1"/>
      <c r="IDR1"/>
      <c r="IDS1"/>
      <c r="IDT1"/>
      <c r="IDU1"/>
      <c r="IDV1"/>
      <c r="IDW1"/>
      <c r="IDX1"/>
      <c r="IDY1"/>
      <c r="IDZ1"/>
      <c r="IEA1"/>
      <c r="IEB1"/>
      <c r="IEC1"/>
      <c r="IED1"/>
      <c r="IEE1"/>
      <c r="IEF1"/>
      <c r="IEG1"/>
      <c r="IEH1"/>
      <c r="IEI1"/>
      <c r="IEJ1"/>
      <c r="IEK1"/>
      <c r="IEL1"/>
      <c r="IEM1"/>
      <c r="IEN1"/>
      <c r="IEO1"/>
      <c r="IEP1"/>
      <c r="IEQ1"/>
      <c r="IER1"/>
      <c r="IES1"/>
      <c r="IET1"/>
      <c r="IEU1"/>
      <c r="IEV1"/>
      <c r="IEW1"/>
      <c r="IEX1"/>
      <c r="IEY1"/>
      <c r="IEZ1"/>
      <c r="IFA1"/>
      <c r="IFB1"/>
      <c r="IFC1"/>
      <c r="IFD1"/>
      <c r="IFE1"/>
      <c r="IFF1"/>
      <c r="IFG1"/>
      <c r="IFH1"/>
      <c r="IFI1"/>
      <c r="IFJ1"/>
      <c r="IFK1"/>
      <c r="IFL1"/>
      <c r="IFM1"/>
      <c r="IFN1"/>
      <c r="IFO1"/>
      <c r="IFP1"/>
      <c r="IFQ1"/>
      <c r="IFR1"/>
      <c r="IFS1"/>
      <c r="IFT1"/>
      <c r="IFU1"/>
      <c r="IFV1"/>
      <c r="IFW1"/>
      <c r="IFX1"/>
      <c r="IFY1"/>
      <c r="IFZ1"/>
      <c r="IGA1"/>
      <c r="IGB1"/>
      <c r="IGC1"/>
      <c r="IGD1"/>
      <c r="IGE1"/>
      <c r="IGF1"/>
      <c r="IGG1"/>
      <c r="IGH1"/>
      <c r="IGI1"/>
      <c r="IGJ1"/>
      <c r="IGK1"/>
      <c r="IGL1"/>
      <c r="IGM1"/>
      <c r="IGN1"/>
      <c r="IGO1"/>
      <c r="IGP1"/>
      <c r="IGQ1"/>
      <c r="IGR1"/>
      <c r="IGS1"/>
      <c r="IGT1"/>
      <c r="IGU1"/>
      <c r="IGV1"/>
      <c r="IGW1"/>
      <c r="IGX1"/>
      <c r="IGY1"/>
      <c r="IGZ1"/>
      <c r="IHA1"/>
      <c r="IHB1"/>
      <c r="IHC1"/>
      <c r="IHD1"/>
      <c r="IHE1"/>
      <c r="IHF1"/>
      <c r="IHG1"/>
      <c r="IHH1"/>
      <c r="IHI1"/>
      <c r="IHJ1"/>
      <c r="IHK1"/>
      <c r="IHL1"/>
      <c r="IHM1"/>
      <c r="IHN1"/>
      <c r="IHO1"/>
      <c r="IHP1"/>
      <c r="IHQ1"/>
      <c r="IHR1"/>
      <c r="IHS1"/>
      <c r="IHT1"/>
      <c r="IHU1"/>
      <c r="IHV1"/>
      <c r="IHW1"/>
      <c r="IHX1"/>
      <c r="IHY1"/>
      <c r="IHZ1"/>
      <c r="IIA1"/>
      <c r="IIB1"/>
      <c r="IIC1"/>
      <c r="IID1"/>
      <c r="IIE1"/>
      <c r="IIF1"/>
      <c r="IIG1"/>
      <c r="IIH1"/>
      <c r="III1"/>
      <c r="IIJ1"/>
      <c r="IIK1"/>
      <c r="IIL1"/>
      <c r="IIM1"/>
      <c r="IIN1"/>
      <c r="IIO1"/>
      <c r="IIP1"/>
      <c r="IIQ1"/>
      <c r="IIR1"/>
      <c r="IIS1"/>
      <c r="IIT1"/>
      <c r="IIU1"/>
      <c r="IIV1"/>
      <c r="IIW1"/>
      <c r="IIX1"/>
      <c r="IIY1"/>
      <c r="IIZ1"/>
      <c r="IJA1"/>
      <c r="IJB1"/>
      <c r="IJC1"/>
      <c r="IJD1"/>
      <c r="IJE1"/>
      <c r="IJF1"/>
      <c r="IJG1"/>
      <c r="IJH1"/>
      <c r="IJI1"/>
      <c r="IJJ1"/>
      <c r="IJK1"/>
      <c r="IJL1"/>
      <c r="IJM1"/>
      <c r="IJN1"/>
      <c r="IJO1"/>
      <c r="IJP1"/>
      <c r="IJQ1"/>
      <c r="IJR1"/>
      <c r="IJS1"/>
      <c r="IJT1"/>
      <c r="IJU1"/>
      <c r="IJV1"/>
      <c r="IJW1"/>
      <c r="IJX1"/>
      <c r="IJY1"/>
      <c r="IJZ1"/>
      <c r="IKA1"/>
      <c r="IKB1"/>
      <c r="IKC1"/>
      <c r="IKD1"/>
      <c r="IKE1"/>
      <c r="IKF1"/>
      <c r="IKG1"/>
      <c r="IKH1"/>
      <c r="IKI1"/>
      <c r="IKJ1"/>
      <c r="IKK1"/>
      <c r="IKL1"/>
      <c r="IKM1"/>
      <c r="IKN1"/>
      <c r="IKO1"/>
      <c r="IKP1"/>
      <c r="IKQ1"/>
      <c r="IKR1"/>
      <c r="IKS1"/>
      <c r="IKT1"/>
      <c r="IKU1"/>
      <c r="IKV1"/>
      <c r="IKW1"/>
      <c r="IKX1"/>
      <c r="IKY1"/>
      <c r="IKZ1"/>
      <c r="ILA1"/>
      <c r="ILB1"/>
      <c r="ILC1"/>
      <c r="ILD1"/>
      <c r="ILE1"/>
      <c r="ILF1"/>
      <c r="ILG1"/>
      <c r="ILH1"/>
      <c r="ILI1"/>
      <c r="ILJ1"/>
      <c r="ILK1"/>
      <c r="ILL1"/>
      <c r="ILM1"/>
      <c r="ILN1"/>
      <c r="ILO1"/>
      <c r="ILP1"/>
      <c r="ILQ1"/>
      <c r="ILR1"/>
      <c r="ILS1"/>
      <c r="ILT1"/>
      <c r="ILU1"/>
      <c r="ILV1"/>
      <c r="ILW1"/>
      <c r="ILX1"/>
      <c r="ILY1"/>
      <c r="ILZ1"/>
      <c r="IMA1"/>
      <c r="IMB1"/>
      <c r="IMC1"/>
      <c r="IMD1"/>
      <c r="IME1"/>
      <c r="IMF1"/>
      <c r="IMG1"/>
      <c r="IMH1"/>
      <c r="IMI1"/>
      <c r="IMJ1"/>
      <c r="IMK1"/>
      <c r="IML1"/>
      <c r="IMM1"/>
      <c r="IMN1"/>
      <c r="IMO1"/>
      <c r="IMP1"/>
      <c r="IMQ1"/>
      <c r="IMR1"/>
      <c r="IMS1"/>
      <c r="IMT1"/>
      <c r="IMU1"/>
      <c r="IMV1"/>
      <c r="IMW1"/>
      <c r="IMX1"/>
      <c r="IMY1"/>
      <c r="IMZ1"/>
      <c r="INA1"/>
      <c r="INB1"/>
      <c r="INC1"/>
      <c r="IND1"/>
      <c r="INE1"/>
      <c r="INF1"/>
      <c r="ING1"/>
      <c r="INH1"/>
      <c r="INI1"/>
      <c r="INJ1"/>
      <c r="INK1"/>
      <c r="INL1"/>
      <c r="INM1"/>
      <c r="INN1"/>
      <c r="INO1"/>
      <c r="INP1"/>
      <c r="INQ1"/>
      <c r="INR1"/>
      <c r="INS1"/>
      <c r="INT1"/>
      <c r="INU1"/>
      <c r="INV1"/>
      <c r="INW1"/>
      <c r="INX1"/>
      <c r="INY1"/>
      <c r="INZ1"/>
      <c r="IOA1"/>
      <c r="IOB1"/>
      <c r="IOC1"/>
      <c r="IOD1"/>
      <c r="IOE1"/>
      <c r="IOF1"/>
      <c r="IOG1"/>
      <c r="IOH1"/>
      <c r="IOI1"/>
      <c r="IOJ1"/>
      <c r="IOK1"/>
      <c r="IOL1"/>
      <c r="IOM1"/>
      <c r="ION1"/>
      <c r="IOO1"/>
      <c r="IOP1"/>
      <c r="IOQ1"/>
      <c r="IOR1"/>
      <c r="IOS1"/>
      <c r="IOT1"/>
      <c r="IOU1"/>
      <c r="IOV1"/>
      <c r="IOW1"/>
      <c r="IOX1"/>
      <c r="IOY1"/>
      <c r="IOZ1"/>
      <c r="IPA1"/>
      <c r="IPB1"/>
      <c r="IPC1"/>
      <c r="IPD1"/>
      <c r="IPE1"/>
      <c r="IPF1"/>
      <c r="IPG1"/>
      <c r="IPH1"/>
      <c r="IPI1"/>
      <c r="IPJ1"/>
      <c r="IPK1"/>
      <c r="IPL1"/>
      <c r="IPM1"/>
      <c r="IPN1"/>
      <c r="IPO1"/>
      <c r="IPP1"/>
      <c r="IPQ1"/>
      <c r="IPR1"/>
      <c r="IPS1"/>
      <c r="IPT1"/>
      <c r="IPU1"/>
      <c r="IPV1"/>
      <c r="IPW1"/>
      <c r="IPX1"/>
      <c r="IPY1"/>
      <c r="IPZ1"/>
      <c r="IQA1"/>
      <c r="IQB1"/>
      <c r="IQC1"/>
      <c r="IQD1"/>
      <c r="IQE1"/>
      <c r="IQF1"/>
      <c r="IQG1"/>
      <c r="IQH1"/>
      <c r="IQI1"/>
      <c r="IQJ1"/>
      <c r="IQK1"/>
      <c r="IQL1"/>
      <c r="IQM1"/>
      <c r="IQN1"/>
      <c r="IQO1"/>
      <c r="IQP1"/>
      <c r="IQQ1"/>
      <c r="IQR1"/>
      <c r="IQS1"/>
      <c r="IQT1"/>
      <c r="IQU1"/>
      <c r="IQV1"/>
      <c r="IQW1"/>
      <c r="IQX1"/>
      <c r="IQY1"/>
      <c r="IQZ1"/>
      <c r="IRA1"/>
      <c r="IRB1"/>
      <c r="IRC1"/>
      <c r="IRD1"/>
      <c r="IRE1"/>
      <c r="IRF1"/>
      <c r="IRG1"/>
      <c r="IRH1"/>
      <c r="IRI1"/>
      <c r="IRJ1"/>
      <c r="IRK1"/>
      <c r="IRL1"/>
      <c r="IRM1"/>
      <c r="IRN1"/>
      <c r="IRO1"/>
      <c r="IRP1"/>
      <c r="IRQ1"/>
      <c r="IRR1"/>
      <c r="IRS1"/>
      <c r="IRT1"/>
      <c r="IRU1"/>
      <c r="IRV1"/>
      <c r="IRW1"/>
      <c r="IRX1"/>
      <c r="IRY1"/>
      <c r="IRZ1"/>
      <c r="ISA1"/>
      <c r="ISB1"/>
      <c r="ISC1"/>
      <c r="ISD1"/>
      <c r="ISE1"/>
      <c r="ISF1"/>
      <c r="ISG1"/>
      <c r="ISH1"/>
      <c r="ISI1"/>
      <c r="ISJ1"/>
      <c r="ISK1"/>
      <c r="ISL1"/>
      <c r="ISM1"/>
      <c r="ISN1"/>
      <c r="ISO1"/>
      <c r="ISP1"/>
      <c r="ISQ1"/>
      <c r="ISR1"/>
      <c r="ISS1"/>
      <c r="IST1"/>
      <c r="ISU1"/>
      <c r="ISV1"/>
      <c r="ISW1"/>
      <c r="ISX1"/>
      <c r="ISY1"/>
      <c r="ISZ1"/>
      <c r="ITA1"/>
      <c r="ITB1"/>
      <c r="ITC1"/>
      <c r="ITD1"/>
      <c r="ITE1"/>
      <c r="ITF1"/>
      <c r="ITG1"/>
      <c r="ITH1"/>
      <c r="ITI1"/>
      <c r="ITJ1"/>
      <c r="ITK1"/>
      <c r="ITL1"/>
      <c r="ITM1"/>
      <c r="ITN1"/>
      <c r="ITO1"/>
      <c r="ITP1"/>
      <c r="ITQ1"/>
      <c r="ITR1"/>
      <c r="ITS1"/>
      <c r="ITT1"/>
      <c r="ITU1"/>
      <c r="ITV1"/>
      <c r="ITW1"/>
      <c r="ITX1"/>
      <c r="ITY1"/>
      <c r="ITZ1"/>
      <c r="IUA1"/>
      <c r="IUB1"/>
      <c r="IUC1"/>
      <c r="IUD1"/>
      <c r="IUE1"/>
      <c r="IUF1"/>
      <c r="IUG1"/>
      <c r="IUH1"/>
      <c r="IUI1"/>
      <c r="IUJ1"/>
      <c r="IUK1"/>
      <c r="IUL1"/>
      <c r="IUM1"/>
      <c r="IUN1"/>
      <c r="IUO1"/>
      <c r="IUP1"/>
      <c r="IUQ1"/>
      <c r="IUR1"/>
      <c r="IUS1"/>
      <c r="IUT1"/>
      <c r="IUU1"/>
      <c r="IUV1"/>
      <c r="IUW1"/>
      <c r="IUX1"/>
      <c r="IUY1"/>
      <c r="IUZ1"/>
      <c r="IVA1"/>
      <c r="IVB1"/>
      <c r="IVC1"/>
      <c r="IVD1"/>
      <c r="IVE1"/>
      <c r="IVF1"/>
      <c r="IVG1"/>
      <c r="IVH1"/>
      <c r="IVI1"/>
      <c r="IVJ1"/>
      <c r="IVK1"/>
      <c r="IVL1"/>
      <c r="IVM1"/>
      <c r="IVN1"/>
      <c r="IVO1"/>
      <c r="IVP1"/>
      <c r="IVQ1"/>
      <c r="IVR1"/>
      <c r="IVS1"/>
      <c r="IVT1"/>
      <c r="IVU1"/>
      <c r="IVV1"/>
      <c r="IVW1"/>
      <c r="IVX1"/>
      <c r="IVY1"/>
      <c r="IVZ1"/>
      <c r="IWA1"/>
      <c r="IWB1"/>
      <c r="IWC1"/>
      <c r="IWD1"/>
      <c r="IWE1"/>
      <c r="IWF1"/>
      <c r="IWG1"/>
      <c r="IWH1"/>
      <c r="IWI1"/>
      <c r="IWJ1"/>
      <c r="IWK1"/>
      <c r="IWL1"/>
      <c r="IWM1"/>
      <c r="IWN1"/>
      <c r="IWO1"/>
      <c r="IWP1"/>
      <c r="IWQ1"/>
      <c r="IWR1"/>
      <c r="IWS1"/>
      <c r="IWT1"/>
      <c r="IWU1"/>
      <c r="IWV1"/>
      <c r="IWW1"/>
      <c r="IWX1"/>
      <c r="IWY1"/>
      <c r="IWZ1"/>
      <c r="IXA1"/>
      <c r="IXB1"/>
      <c r="IXC1"/>
      <c r="IXD1"/>
      <c r="IXE1"/>
      <c r="IXF1"/>
      <c r="IXG1"/>
      <c r="IXH1"/>
      <c r="IXI1"/>
      <c r="IXJ1"/>
      <c r="IXK1"/>
      <c r="IXL1"/>
      <c r="IXM1"/>
      <c r="IXN1"/>
      <c r="IXO1"/>
      <c r="IXP1"/>
      <c r="IXQ1"/>
      <c r="IXR1"/>
      <c r="IXS1"/>
      <c r="IXT1"/>
      <c r="IXU1"/>
      <c r="IXV1"/>
      <c r="IXW1"/>
      <c r="IXX1"/>
      <c r="IXY1"/>
      <c r="IXZ1"/>
      <c r="IYA1"/>
      <c r="IYB1"/>
      <c r="IYC1"/>
      <c r="IYD1"/>
      <c r="IYE1"/>
      <c r="IYF1"/>
      <c r="IYG1"/>
      <c r="IYH1"/>
      <c r="IYI1"/>
      <c r="IYJ1"/>
      <c r="IYK1"/>
      <c r="IYL1"/>
      <c r="IYM1"/>
      <c r="IYN1"/>
      <c r="IYO1"/>
      <c r="IYP1"/>
      <c r="IYQ1"/>
      <c r="IYR1"/>
      <c r="IYS1"/>
      <c r="IYT1"/>
      <c r="IYU1"/>
      <c r="IYV1"/>
      <c r="IYW1"/>
      <c r="IYX1"/>
      <c r="IYY1"/>
      <c r="IYZ1"/>
      <c r="IZA1"/>
      <c r="IZB1"/>
      <c r="IZC1"/>
      <c r="IZD1"/>
      <c r="IZE1"/>
      <c r="IZF1"/>
      <c r="IZG1"/>
      <c r="IZH1"/>
      <c r="IZI1"/>
      <c r="IZJ1"/>
      <c r="IZK1"/>
      <c r="IZL1"/>
      <c r="IZM1"/>
      <c r="IZN1"/>
      <c r="IZO1"/>
      <c r="IZP1"/>
      <c r="IZQ1"/>
      <c r="IZR1"/>
      <c r="IZS1"/>
      <c r="IZT1"/>
      <c r="IZU1"/>
      <c r="IZV1"/>
      <c r="IZW1"/>
      <c r="IZX1"/>
      <c r="IZY1"/>
      <c r="IZZ1"/>
      <c r="JAA1"/>
      <c r="JAB1"/>
      <c r="JAC1"/>
      <c r="JAD1"/>
      <c r="JAE1"/>
      <c r="JAF1"/>
      <c r="JAG1"/>
      <c r="JAH1"/>
      <c r="JAI1"/>
      <c r="JAJ1"/>
      <c r="JAK1"/>
      <c r="JAL1"/>
      <c r="JAM1"/>
      <c r="JAN1"/>
      <c r="JAO1"/>
      <c r="JAP1"/>
      <c r="JAQ1"/>
      <c r="JAR1"/>
      <c r="JAS1"/>
      <c r="JAT1"/>
      <c r="JAU1"/>
      <c r="JAV1"/>
      <c r="JAW1"/>
      <c r="JAX1"/>
      <c r="JAY1"/>
      <c r="JAZ1"/>
      <c r="JBA1"/>
      <c r="JBB1"/>
      <c r="JBC1"/>
      <c r="JBD1"/>
      <c r="JBE1"/>
      <c r="JBF1"/>
      <c r="JBG1"/>
      <c r="JBH1"/>
      <c r="JBI1"/>
      <c r="JBJ1"/>
      <c r="JBK1"/>
      <c r="JBL1"/>
      <c r="JBM1"/>
      <c r="JBN1"/>
      <c r="JBO1"/>
      <c r="JBP1"/>
      <c r="JBQ1"/>
      <c r="JBR1"/>
      <c r="JBS1"/>
      <c r="JBT1"/>
      <c r="JBU1"/>
      <c r="JBV1"/>
      <c r="JBW1"/>
      <c r="JBX1"/>
      <c r="JBY1"/>
      <c r="JBZ1"/>
      <c r="JCA1"/>
      <c r="JCB1"/>
      <c r="JCC1"/>
      <c r="JCD1"/>
      <c r="JCE1"/>
      <c r="JCF1"/>
      <c r="JCG1"/>
      <c r="JCH1"/>
      <c r="JCI1"/>
      <c r="JCJ1"/>
      <c r="JCK1"/>
      <c r="JCL1"/>
      <c r="JCM1"/>
      <c r="JCN1"/>
      <c r="JCO1"/>
      <c r="JCP1"/>
      <c r="JCQ1"/>
      <c r="JCR1"/>
      <c r="JCS1"/>
      <c r="JCT1"/>
      <c r="JCU1"/>
      <c r="JCV1"/>
      <c r="JCW1"/>
      <c r="JCX1"/>
      <c r="JCY1"/>
      <c r="JCZ1"/>
      <c r="JDA1"/>
      <c r="JDB1"/>
      <c r="JDC1"/>
      <c r="JDD1"/>
      <c r="JDE1"/>
      <c r="JDF1"/>
      <c r="JDG1"/>
      <c r="JDH1"/>
      <c r="JDI1"/>
      <c r="JDJ1"/>
      <c r="JDK1"/>
      <c r="JDL1"/>
      <c r="JDM1"/>
      <c r="JDN1"/>
      <c r="JDO1"/>
      <c r="JDP1"/>
      <c r="JDQ1"/>
      <c r="JDR1"/>
      <c r="JDS1"/>
      <c r="JDT1"/>
      <c r="JDU1"/>
      <c r="JDV1"/>
      <c r="JDW1"/>
      <c r="JDX1"/>
      <c r="JDY1"/>
      <c r="JDZ1"/>
      <c r="JEA1"/>
      <c r="JEB1"/>
      <c r="JEC1"/>
      <c r="JED1"/>
      <c r="JEE1"/>
      <c r="JEF1"/>
      <c r="JEG1"/>
      <c r="JEH1"/>
      <c r="JEI1"/>
      <c r="JEJ1"/>
      <c r="JEK1"/>
      <c r="JEL1"/>
      <c r="JEM1"/>
      <c r="JEN1"/>
      <c r="JEO1"/>
      <c r="JEP1"/>
      <c r="JEQ1"/>
      <c r="JER1"/>
      <c r="JES1"/>
      <c r="JET1"/>
      <c r="JEU1"/>
      <c r="JEV1"/>
      <c r="JEW1"/>
      <c r="JEX1"/>
      <c r="JEY1"/>
      <c r="JEZ1"/>
      <c r="JFA1"/>
      <c r="JFB1"/>
      <c r="JFC1"/>
      <c r="JFD1"/>
      <c r="JFE1"/>
      <c r="JFF1"/>
      <c r="JFG1"/>
      <c r="JFH1"/>
      <c r="JFI1"/>
      <c r="JFJ1"/>
      <c r="JFK1"/>
      <c r="JFL1"/>
      <c r="JFM1"/>
      <c r="JFN1"/>
      <c r="JFO1"/>
      <c r="JFP1"/>
      <c r="JFQ1"/>
      <c r="JFR1"/>
      <c r="JFS1"/>
      <c r="JFT1"/>
      <c r="JFU1"/>
      <c r="JFV1"/>
      <c r="JFW1"/>
      <c r="JFX1"/>
      <c r="JFY1"/>
      <c r="JFZ1"/>
      <c r="JGA1"/>
      <c r="JGB1"/>
      <c r="JGC1"/>
      <c r="JGD1"/>
      <c r="JGE1"/>
      <c r="JGF1"/>
      <c r="JGG1"/>
      <c r="JGH1"/>
      <c r="JGI1"/>
      <c r="JGJ1"/>
      <c r="JGK1"/>
      <c r="JGL1"/>
      <c r="JGM1"/>
      <c r="JGN1"/>
      <c r="JGO1"/>
      <c r="JGP1"/>
      <c r="JGQ1"/>
      <c r="JGR1"/>
      <c r="JGS1"/>
      <c r="JGT1"/>
      <c r="JGU1"/>
      <c r="JGV1"/>
      <c r="JGW1"/>
      <c r="JGX1"/>
      <c r="JGY1"/>
      <c r="JGZ1"/>
      <c r="JHA1"/>
      <c r="JHB1"/>
      <c r="JHC1"/>
      <c r="JHD1"/>
      <c r="JHE1"/>
      <c r="JHF1"/>
      <c r="JHG1"/>
      <c r="JHH1"/>
      <c r="JHI1"/>
      <c r="JHJ1"/>
      <c r="JHK1"/>
      <c r="JHL1"/>
      <c r="JHM1"/>
      <c r="JHN1"/>
      <c r="JHO1"/>
      <c r="JHP1"/>
      <c r="JHQ1"/>
      <c r="JHR1"/>
      <c r="JHS1"/>
      <c r="JHT1"/>
      <c r="JHU1"/>
      <c r="JHV1"/>
      <c r="JHW1"/>
      <c r="JHX1"/>
      <c r="JHY1"/>
      <c r="JHZ1"/>
      <c r="JIA1"/>
      <c r="JIB1"/>
      <c r="JIC1"/>
      <c r="JID1"/>
      <c r="JIE1"/>
      <c r="JIF1"/>
      <c r="JIG1"/>
      <c r="JIH1"/>
      <c r="JII1"/>
      <c r="JIJ1"/>
      <c r="JIK1"/>
      <c r="JIL1"/>
      <c r="JIM1"/>
      <c r="JIN1"/>
      <c r="JIO1"/>
      <c r="JIP1"/>
      <c r="JIQ1"/>
      <c r="JIR1"/>
      <c r="JIS1"/>
      <c r="JIT1"/>
      <c r="JIU1"/>
      <c r="JIV1"/>
      <c r="JIW1"/>
      <c r="JIX1"/>
      <c r="JIY1"/>
      <c r="JIZ1"/>
      <c r="JJA1"/>
      <c r="JJB1"/>
      <c r="JJC1"/>
      <c r="JJD1"/>
      <c r="JJE1"/>
      <c r="JJF1"/>
      <c r="JJG1"/>
      <c r="JJH1"/>
      <c r="JJI1"/>
      <c r="JJJ1"/>
      <c r="JJK1"/>
      <c r="JJL1"/>
      <c r="JJM1"/>
      <c r="JJN1"/>
      <c r="JJO1"/>
      <c r="JJP1"/>
      <c r="JJQ1"/>
      <c r="JJR1"/>
      <c r="JJS1"/>
      <c r="JJT1"/>
      <c r="JJU1"/>
      <c r="JJV1"/>
      <c r="JJW1"/>
      <c r="JJX1"/>
      <c r="JJY1"/>
      <c r="JJZ1"/>
      <c r="JKA1"/>
      <c r="JKB1"/>
      <c r="JKC1"/>
      <c r="JKD1"/>
      <c r="JKE1"/>
      <c r="JKF1"/>
      <c r="JKG1"/>
      <c r="JKH1"/>
      <c r="JKI1"/>
      <c r="JKJ1"/>
      <c r="JKK1"/>
      <c r="JKL1"/>
      <c r="JKM1"/>
      <c r="JKN1"/>
      <c r="JKO1"/>
      <c r="JKP1"/>
      <c r="JKQ1"/>
      <c r="JKR1"/>
      <c r="JKS1"/>
      <c r="JKT1"/>
      <c r="JKU1"/>
      <c r="JKV1"/>
      <c r="JKW1"/>
      <c r="JKX1"/>
      <c r="JKY1"/>
      <c r="JKZ1"/>
      <c r="JLA1"/>
      <c r="JLB1"/>
      <c r="JLC1"/>
      <c r="JLD1"/>
      <c r="JLE1"/>
      <c r="JLF1"/>
      <c r="JLG1"/>
      <c r="JLH1"/>
      <c r="JLI1"/>
      <c r="JLJ1"/>
      <c r="JLK1"/>
      <c r="JLL1"/>
      <c r="JLM1"/>
      <c r="JLN1"/>
      <c r="JLO1"/>
      <c r="JLP1"/>
      <c r="JLQ1"/>
      <c r="JLR1"/>
      <c r="JLS1"/>
      <c r="JLT1"/>
      <c r="JLU1"/>
      <c r="JLV1"/>
      <c r="JLW1"/>
      <c r="JLX1"/>
      <c r="JLY1"/>
      <c r="JLZ1"/>
      <c r="JMA1"/>
      <c r="JMB1"/>
      <c r="JMC1"/>
      <c r="JMD1"/>
      <c r="JME1"/>
      <c r="JMF1"/>
      <c r="JMG1"/>
      <c r="JMH1"/>
      <c r="JMI1"/>
      <c r="JMJ1"/>
      <c r="JMK1"/>
      <c r="JML1"/>
      <c r="JMM1"/>
      <c r="JMN1"/>
      <c r="JMO1"/>
      <c r="JMP1"/>
      <c r="JMQ1"/>
      <c r="JMR1"/>
      <c r="JMS1"/>
      <c r="JMT1"/>
      <c r="JMU1"/>
      <c r="JMV1"/>
      <c r="JMW1"/>
      <c r="JMX1"/>
      <c r="JMY1"/>
      <c r="JMZ1"/>
      <c r="JNA1"/>
      <c r="JNB1"/>
      <c r="JNC1"/>
      <c r="JND1"/>
      <c r="JNE1"/>
      <c r="JNF1"/>
      <c r="JNG1"/>
      <c r="JNH1"/>
      <c r="JNI1"/>
      <c r="JNJ1"/>
      <c r="JNK1"/>
      <c r="JNL1"/>
      <c r="JNM1"/>
      <c r="JNN1"/>
      <c r="JNO1"/>
      <c r="JNP1"/>
      <c r="JNQ1"/>
      <c r="JNR1"/>
      <c r="JNS1"/>
      <c r="JNT1"/>
      <c r="JNU1"/>
      <c r="JNV1"/>
      <c r="JNW1"/>
      <c r="JNX1"/>
      <c r="JNY1"/>
      <c r="JNZ1"/>
      <c r="JOA1"/>
      <c r="JOB1"/>
      <c r="JOC1"/>
      <c r="JOD1"/>
      <c r="JOE1"/>
      <c r="JOF1"/>
      <c r="JOG1"/>
      <c r="JOH1"/>
      <c r="JOI1"/>
      <c r="JOJ1"/>
      <c r="JOK1"/>
      <c r="JOL1"/>
      <c r="JOM1"/>
      <c r="JON1"/>
      <c r="JOO1"/>
      <c r="JOP1"/>
      <c r="JOQ1"/>
      <c r="JOR1"/>
      <c r="JOS1"/>
      <c r="JOT1"/>
      <c r="JOU1"/>
      <c r="JOV1"/>
      <c r="JOW1"/>
      <c r="JOX1"/>
      <c r="JOY1"/>
      <c r="JOZ1"/>
      <c r="JPA1"/>
      <c r="JPB1"/>
      <c r="JPC1"/>
      <c r="JPD1"/>
      <c r="JPE1"/>
      <c r="JPF1"/>
      <c r="JPG1"/>
      <c r="JPH1"/>
      <c r="JPI1"/>
      <c r="JPJ1"/>
      <c r="JPK1"/>
      <c r="JPL1"/>
      <c r="JPM1"/>
      <c r="JPN1"/>
      <c r="JPO1"/>
      <c r="JPP1"/>
      <c r="JPQ1"/>
      <c r="JPR1"/>
      <c r="JPS1"/>
      <c r="JPT1"/>
      <c r="JPU1"/>
      <c r="JPV1"/>
      <c r="JPW1"/>
      <c r="JPX1"/>
      <c r="JPY1"/>
      <c r="JPZ1"/>
      <c r="JQA1"/>
      <c r="JQB1"/>
      <c r="JQC1"/>
      <c r="JQD1"/>
      <c r="JQE1"/>
      <c r="JQF1"/>
      <c r="JQG1"/>
      <c r="JQH1"/>
      <c r="JQI1"/>
      <c r="JQJ1"/>
      <c r="JQK1"/>
      <c r="JQL1"/>
      <c r="JQM1"/>
      <c r="JQN1"/>
      <c r="JQO1"/>
      <c r="JQP1"/>
      <c r="JQQ1"/>
      <c r="JQR1"/>
      <c r="JQS1"/>
      <c r="JQT1"/>
      <c r="JQU1"/>
      <c r="JQV1"/>
      <c r="JQW1"/>
      <c r="JQX1"/>
      <c r="JQY1"/>
      <c r="JQZ1"/>
      <c r="JRA1"/>
      <c r="JRB1"/>
      <c r="JRC1"/>
      <c r="JRD1"/>
      <c r="JRE1"/>
      <c r="JRF1"/>
      <c r="JRG1"/>
      <c r="JRH1"/>
      <c r="JRI1"/>
      <c r="JRJ1"/>
      <c r="JRK1"/>
      <c r="JRL1"/>
      <c r="JRM1"/>
      <c r="JRN1"/>
      <c r="JRO1"/>
      <c r="JRP1"/>
      <c r="JRQ1"/>
      <c r="JRR1"/>
      <c r="JRS1"/>
      <c r="JRT1"/>
      <c r="JRU1"/>
      <c r="JRV1"/>
      <c r="JRW1"/>
      <c r="JRX1"/>
      <c r="JRY1"/>
      <c r="JRZ1"/>
      <c r="JSA1"/>
      <c r="JSB1"/>
      <c r="JSC1"/>
      <c r="JSD1"/>
      <c r="JSE1"/>
      <c r="JSF1"/>
      <c r="JSG1"/>
      <c r="JSH1"/>
      <c r="JSI1"/>
      <c r="JSJ1"/>
      <c r="JSK1"/>
      <c r="JSL1"/>
      <c r="JSM1"/>
      <c r="JSN1"/>
      <c r="JSO1"/>
      <c r="JSP1"/>
      <c r="JSQ1"/>
      <c r="JSR1"/>
      <c r="JSS1"/>
      <c r="JST1"/>
      <c r="JSU1"/>
      <c r="JSV1"/>
      <c r="JSW1"/>
      <c r="JSX1"/>
      <c r="JSY1"/>
      <c r="JSZ1"/>
      <c r="JTA1"/>
      <c r="JTB1"/>
      <c r="JTC1"/>
      <c r="JTD1"/>
      <c r="JTE1"/>
      <c r="JTF1"/>
      <c r="JTG1"/>
      <c r="JTH1"/>
      <c r="JTI1"/>
      <c r="JTJ1"/>
      <c r="JTK1"/>
      <c r="JTL1"/>
      <c r="JTM1"/>
      <c r="JTN1"/>
      <c r="JTO1"/>
      <c r="JTP1"/>
      <c r="JTQ1"/>
      <c r="JTR1"/>
      <c r="JTS1"/>
      <c r="JTT1"/>
      <c r="JTU1"/>
      <c r="JTV1"/>
      <c r="JTW1"/>
      <c r="JTX1"/>
      <c r="JTY1"/>
      <c r="JTZ1"/>
      <c r="JUA1"/>
      <c r="JUB1"/>
      <c r="JUC1"/>
      <c r="JUD1"/>
      <c r="JUE1"/>
      <c r="JUF1"/>
      <c r="JUG1"/>
      <c r="JUH1"/>
      <c r="JUI1"/>
      <c r="JUJ1"/>
      <c r="JUK1"/>
      <c r="JUL1"/>
      <c r="JUM1"/>
      <c r="JUN1"/>
      <c r="JUO1"/>
      <c r="JUP1"/>
      <c r="JUQ1"/>
      <c r="JUR1"/>
      <c r="JUS1"/>
      <c r="JUT1"/>
      <c r="JUU1"/>
      <c r="JUV1"/>
      <c r="JUW1"/>
      <c r="JUX1"/>
      <c r="JUY1"/>
      <c r="JUZ1"/>
      <c r="JVA1"/>
      <c r="JVB1"/>
      <c r="JVC1"/>
      <c r="JVD1"/>
      <c r="JVE1"/>
      <c r="JVF1"/>
      <c r="JVG1"/>
      <c r="JVH1"/>
      <c r="JVI1"/>
      <c r="JVJ1"/>
      <c r="JVK1"/>
      <c r="JVL1"/>
      <c r="JVM1"/>
      <c r="JVN1"/>
      <c r="JVO1"/>
      <c r="JVP1"/>
      <c r="JVQ1"/>
      <c r="JVR1"/>
      <c r="JVS1"/>
      <c r="JVT1"/>
      <c r="JVU1"/>
      <c r="JVV1"/>
      <c r="JVW1"/>
      <c r="JVX1"/>
      <c r="JVY1"/>
      <c r="JVZ1"/>
      <c r="JWA1"/>
      <c r="JWB1"/>
      <c r="JWC1"/>
      <c r="JWD1"/>
      <c r="JWE1"/>
      <c r="JWF1"/>
      <c r="JWG1"/>
      <c r="JWH1"/>
      <c r="JWI1"/>
      <c r="JWJ1"/>
      <c r="JWK1"/>
      <c r="JWL1"/>
      <c r="JWM1"/>
      <c r="JWN1"/>
      <c r="JWO1"/>
      <c r="JWP1"/>
      <c r="JWQ1"/>
      <c r="JWR1"/>
      <c r="JWS1"/>
      <c r="JWT1"/>
      <c r="JWU1"/>
      <c r="JWV1"/>
      <c r="JWW1"/>
      <c r="JWX1"/>
      <c r="JWY1"/>
      <c r="JWZ1"/>
      <c r="JXA1"/>
      <c r="JXB1"/>
      <c r="JXC1"/>
      <c r="JXD1"/>
      <c r="JXE1"/>
      <c r="JXF1"/>
      <c r="JXG1"/>
      <c r="JXH1"/>
      <c r="JXI1"/>
      <c r="JXJ1"/>
      <c r="JXK1"/>
      <c r="JXL1"/>
      <c r="JXM1"/>
      <c r="JXN1"/>
      <c r="JXO1"/>
      <c r="JXP1"/>
      <c r="JXQ1"/>
      <c r="JXR1"/>
      <c r="JXS1"/>
      <c r="JXT1"/>
      <c r="JXU1"/>
      <c r="JXV1"/>
      <c r="JXW1"/>
      <c r="JXX1"/>
      <c r="JXY1"/>
      <c r="JXZ1"/>
      <c r="JYA1"/>
      <c r="JYB1"/>
      <c r="JYC1"/>
      <c r="JYD1"/>
      <c r="JYE1"/>
      <c r="JYF1"/>
      <c r="JYG1"/>
      <c r="JYH1"/>
      <c r="JYI1"/>
      <c r="JYJ1"/>
      <c r="JYK1"/>
      <c r="JYL1"/>
      <c r="JYM1"/>
      <c r="JYN1"/>
      <c r="JYO1"/>
      <c r="JYP1"/>
      <c r="JYQ1"/>
      <c r="JYR1"/>
      <c r="JYS1"/>
      <c r="JYT1"/>
      <c r="JYU1"/>
      <c r="JYV1"/>
      <c r="JYW1"/>
      <c r="JYX1"/>
      <c r="JYY1"/>
      <c r="JYZ1"/>
      <c r="JZA1"/>
      <c r="JZB1"/>
      <c r="JZC1"/>
      <c r="JZD1"/>
      <c r="JZE1"/>
      <c r="JZF1"/>
      <c r="JZG1"/>
      <c r="JZH1"/>
      <c r="JZI1"/>
      <c r="JZJ1"/>
      <c r="JZK1"/>
      <c r="JZL1"/>
      <c r="JZM1"/>
      <c r="JZN1"/>
      <c r="JZO1"/>
      <c r="JZP1"/>
      <c r="JZQ1"/>
      <c r="JZR1"/>
      <c r="JZS1"/>
      <c r="JZT1"/>
      <c r="JZU1"/>
      <c r="JZV1"/>
      <c r="JZW1"/>
      <c r="JZX1"/>
      <c r="JZY1"/>
      <c r="JZZ1"/>
      <c r="KAA1"/>
      <c r="KAB1"/>
      <c r="KAC1"/>
      <c r="KAD1"/>
      <c r="KAE1"/>
      <c r="KAF1"/>
      <c r="KAG1"/>
      <c r="KAH1"/>
      <c r="KAI1"/>
      <c r="KAJ1"/>
      <c r="KAK1"/>
      <c r="KAL1"/>
      <c r="KAM1"/>
      <c r="KAN1"/>
      <c r="KAO1"/>
      <c r="KAP1"/>
      <c r="KAQ1"/>
      <c r="KAR1"/>
      <c r="KAS1"/>
      <c r="KAT1"/>
      <c r="KAU1"/>
      <c r="KAV1"/>
      <c r="KAW1"/>
      <c r="KAX1"/>
      <c r="KAY1"/>
      <c r="KAZ1"/>
      <c r="KBA1"/>
      <c r="KBB1"/>
      <c r="KBC1"/>
      <c r="KBD1"/>
      <c r="KBE1"/>
      <c r="KBF1"/>
      <c r="KBG1"/>
      <c r="KBH1"/>
      <c r="KBI1"/>
      <c r="KBJ1"/>
      <c r="KBK1"/>
      <c r="KBL1"/>
      <c r="KBM1"/>
      <c r="KBN1"/>
      <c r="KBO1"/>
      <c r="KBP1"/>
      <c r="KBQ1"/>
      <c r="KBR1"/>
      <c r="KBS1"/>
      <c r="KBT1"/>
      <c r="KBU1"/>
      <c r="KBV1"/>
      <c r="KBW1"/>
      <c r="KBX1"/>
      <c r="KBY1"/>
      <c r="KBZ1"/>
      <c r="KCA1"/>
      <c r="KCB1"/>
      <c r="KCC1"/>
      <c r="KCD1"/>
      <c r="KCE1"/>
      <c r="KCF1"/>
      <c r="KCG1"/>
      <c r="KCH1"/>
      <c r="KCI1"/>
      <c r="KCJ1"/>
      <c r="KCK1"/>
      <c r="KCL1"/>
      <c r="KCM1"/>
      <c r="KCN1"/>
      <c r="KCO1"/>
      <c r="KCP1"/>
      <c r="KCQ1"/>
      <c r="KCR1"/>
      <c r="KCS1"/>
      <c r="KCT1"/>
      <c r="KCU1"/>
      <c r="KCV1"/>
      <c r="KCW1"/>
      <c r="KCX1"/>
      <c r="KCY1"/>
      <c r="KCZ1"/>
      <c r="KDA1"/>
      <c r="KDB1"/>
      <c r="KDC1"/>
      <c r="KDD1"/>
      <c r="KDE1"/>
      <c r="KDF1"/>
      <c r="KDG1"/>
      <c r="KDH1"/>
      <c r="KDI1"/>
      <c r="KDJ1"/>
      <c r="KDK1"/>
      <c r="KDL1"/>
      <c r="KDM1"/>
      <c r="KDN1"/>
      <c r="KDO1"/>
      <c r="KDP1"/>
      <c r="KDQ1"/>
      <c r="KDR1"/>
      <c r="KDS1"/>
      <c r="KDT1"/>
      <c r="KDU1"/>
      <c r="KDV1"/>
      <c r="KDW1"/>
      <c r="KDX1"/>
      <c r="KDY1"/>
      <c r="KDZ1"/>
      <c r="KEA1"/>
      <c r="KEB1"/>
      <c r="KEC1"/>
      <c r="KED1"/>
      <c r="KEE1"/>
      <c r="KEF1"/>
      <c r="KEG1"/>
      <c r="KEH1"/>
      <c r="KEI1"/>
      <c r="KEJ1"/>
      <c r="KEK1"/>
      <c r="KEL1"/>
      <c r="KEM1"/>
      <c r="KEN1"/>
      <c r="KEO1"/>
      <c r="KEP1"/>
      <c r="KEQ1"/>
      <c r="KER1"/>
      <c r="KES1"/>
      <c r="KET1"/>
      <c r="KEU1"/>
      <c r="KEV1"/>
      <c r="KEW1"/>
      <c r="KEX1"/>
      <c r="KEY1"/>
      <c r="KEZ1"/>
      <c r="KFA1"/>
      <c r="KFB1"/>
      <c r="KFC1"/>
      <c r="KFD1"/>
      <c r="KFE1"/>
      <c r="KFF1"/>
      <c r="KFG1"/>
      <c r="KFH1"/>
      <c r="KFI1"/>
      <c r="KFJ1"/>
      <c r="KFK1"/>
      <c r="KFL1"/>
      <c r="KFM1"/>
      <c r="KFN1"/>
      <c r="KFO1"/>
      <c r="KFP1"/>
      <c r="KFQ1"/>
      <c r="KFR1"/>
      <c r="KFS1"/>
      <c r="KFT1"/>
      <c r="KFU1"/>
      <c r="KFV1"/>
      <c r="KFW1"/>
      <c r="KFX1"/>
      <c r="KFY1"/>
      <c r="KFZ1"/>
      <c r="KGA1"/>
      <c r="KGB1"/>
      <c r="KGC1"/>
      <c r="KGD1"/>
      <c r="KGE1"/>
      <c r="KGF1"/>
      <c r="KGG1"/>
      <c r="KGH1"/>
      <c r="KGI1"/>
      <c r="KGJ1"/>
      <c r="KGK1"/>
      <c r="KGL1"/>
      <c r="KGM1"/>
      <c r="KGN1"/>
      <c r="KGO1"/>
      <c r="KGP1"/>
      <c r="KGQ1"/>
      <c r="KGR1"/>
      <c r="KGS1"/>
      <c r="KGT1"/>
      <c r="KGU1"/>
      <c r="KGV1"/>
      <c r="KGW1"/>
      <c r="KGX1"/>
      <c r="KGY1"/>
      <c r="KGZ1"/>
      <c r="KHA1"/>
      <c r="KHB1"/>
      <c r="KHC1"/>
      <c r="KHD1"/>
      <c r="KHE1"/>
      <c r="KHF1"/>
      <c r="KHG1"/>
      <c r="KHH1"/>
      <c r="KHI1"/>
      <c r="KHJ1"/>
      <c r="KHK1"/>
      <c r="KHL1"/>
      <c r="KHM1"/>
      <c r="KHN1"/>
      <c r="KHO1"/>
      <c r="KHP1"/>
      <c r="KHQ1"/>
      <c r="KHR1"/>
      <c r="KHS1"/>
      <c r="KHT1"/>
      <c r="KHU1"/>
      <c r="KHV1"/>
      <c r="KHW1"/>
      <c r="KHX1"/>
      <c r="KHY1"/>
      <c r="KHZ1"/>
      <c r="KIA1"/>
      <c r="KIB1"/>
      <c r="KIC1"/>
      <c r="KID1"/>
      <c r="KIE1"/>
      <c r="KIF1"/>
      <c r="KIG1"/>
      <c r="KIH1"/>
      <c r="KII1"/>
      <c r="KIJ1"/>
      <c r="KIK1"/>
      <c r="KIL1"/>
      <c r="KIM1"/>
      <c r="KIN1"/>
      <c r="KIO1"/>
      <c r="KIP1"/>
      <c r="KIQ1"/>
      <c r="KIR1"/>
      <c r="KIS1"/>
      <c r="KIT1"/>
      <c r="KIU1"/>
      <c r="KIV1"/>
      <c r="KIW1"/>
      <c r="KIX1"/>
      <c r="KIY1"/>
      <c r="KIZ1"/>
      <c r="KJA1"/>
      <c r="KJB1"/>
      <c r="KJC1"/>
      <c r="KJD1"/>
      <c r="KJE1"/>
      <c r="KJF1"/>
      <c r="KJG1"/>
      <c r="KJH1"/>
      <c r="KJI1"/>
      <c r="KJJ1"/>
      <c r="KJK1"/>
      <c r="KJL1"/>
      <c r="KJM1"/>
      <c r="KJN1"/>
      <c r="KJO1"/>
      <c r="KJP1"/>
      <c r="KJQ1"/>
      <c r="KJR1"/>
      <c r="KJS1"/>
      <c r="KJT1"/>
      <c r="KJU1"/>
      <c r="KJV1"/>
      <c r="KJW1"/>
      <c r="KJX1"/>
      <c r="KJY1"/>
      <c r="KJZ1"/>
      <c r="KKA1"/>
      <c r="KKB1"/>
      <c r="KKC1"/>
      <c r="KKD1"/>
      <c r="KKE1"/>
      <c r="KKF1"/>
      <c r="KKG1"/>
      <c r="KKH1"/>
      <c r="KKI1"/>
      <c r="KKJ1"/>
      <c r="KKK1"/>
      <c r="KKL1"/>
      <c r="KKM1"/>
      <c r="KKN1"/>
      <c r="KKO1"/>
      <c r="KKP1"/>
      <c r="KKQ1"/>
      <c r="KKR1"/>
      <c r="KKS1"/>
      <c r="KKT1"/>
      <c r="KKU1"/>
      <c r="KKV1"/>
      <c r="KKW1"/>
      <c r="KKX1"/>
      <c r="KKY1"/>
      <c r="KKZ1"/>
      <c r="KLA1"/>
      <c r="KLB1"/>
      <c r="KLC1"/>
      <c r="KLD1"/>
      <c r="KLE1"/>
      <c r="KLF1"/>
      <c r="KLG1"/>
      <c r="KLH1"/>
      <c r="KLI1"/>
      <c r="KLJ1"/>
      <c r="KLK1"/>
      <c r="KLL1"/>
      <c r="KLM1"/>
      <c r="KLN1"/>
      <c r="KLO1"/>
      <c r="KLP1"/>
      <c r="KLQ1"/>
      <c r="KLR1"/>
      <c r="KLS1"/>
      <c r="KLT1"/>
      <c r="KLU1"/>
      <c r="KLV1"/>
      <c r="KLW1"/>
      <c r="KLX1"/>
      <c r="KLY1"/>
      <c r="KLZ1"/>
      <c r="KMA1"/>
      <c r="KMB1"/>
      <c r="KMC1"/>
      <c r="KMD1"/>
      <c r="KME1"/>
      <c r="KMF1"/>
      <c r="KMG1"/>
      <c r="KMH1"/>
      <c r="KMI1"/>
      <c r="KMJ1"/>
      <c r="KMK1"/>
      <c r="KML1"/>
      <c r="KMM1"/>
      <c r="KMN1"/>
      <c r="KMO1"/>
      <c r="KMP1"/>
      <c r="KMQ1"/>
      <c r="KMR1"/>
      <c r="KMS1"/>
      <c r="KMT1"/>
      <c r="KMU1"/>
      <c r="KMV1"/>
      <c r="KMW1"/>
      <c r="KMX1"/>
      <c r="KMY1"/>
      <c r="KMZ1"/>
      <c r="KNA1"/>
      <c r="KNB1"/>
      <c r="KNC1"/>
      <c r="KND1"/>
      <c r="KNE1"/>
      <c r="KNF1"/>
      <c r="KNG1"/>
      <c r="KNH1"/>
      <c r="KNI1"/>
      <c r="KNJ1"/>
      <c r="KNK1"/>
      <c r="KNL1"/>
      <c r="KNM1"/>
      <c r="KNN1"/>
      <c r="KNO1"/>
      <c r="KNP1"/>
      <c r="KNQ1"/>
      <c r="KNR1"/>
      <c r="KNS1"/>
      <c r="KNT1"/>
      <c r="KNU1"/>
      <c r="KNV1"/>
      <c r="KNW1"/>
      <c r="KNX1"/>
      <c r="KNY1"/>
      <c r="KNZ1"/>
      <c r="KOA1"/>
      <c r="KOB1"/>
      <c r="KOC1"/>
      <c r="KOD1"/>
      <c r="KOE1"/>
      <c r="KOF1"/>
      <c r="KOG1"/>
      <c r="KOH1"/>
      <c r="KOI1"/>
      <c r="KOJ1"/>
      <c r="KOK1"/>
      <c r="KOL1"/>
      <c r="KOM1"/>
      <c r="KON1"/>
      <c r="KOO1"/>
      <c r="KOP1"/>
      <c r="KOQ1"/>
      <c r="KOR1"/>
      <c r="KOS1"/>
      <c r="KOT1"/>
      <c r="KOU1"/>
      <c r="KOV1"/>
      <c r="KOW1"/>
      <c r="KOX1"/>
      <c r="KOY1"/>
      <c r="KOZ1"/>
      <c r="KPA1"/>
      <c r="KPB1"/>
      <c r="KPC1"/>
      <c r="KPD1"/>
      <c r="KPE1"/>
      <c r="KPF1"/>
      <c r="KPG1"/>
      <c r="KPH1"/>
      <c r="KPI1"/>
      <c r="KPJ1"/>
      <c r="KPK1"/>
      <c r="KPL1"/>
      <c r="KPM1"/>
      <c r="KPN1"/>
      <c r="KPO1"/>
      <c r="KPP1"/>
      <c r="KPQ1"/>
      <c r="KPR1"/>
      <c r="KPS1"/>
      <c r="KPT1"/>
      <c r="KPU1"/>
      <c r="KPV1"/>
      <c r="KPW1"/>
      <c r="KPX1"/>
      <c r="KPY1"/>
      <c r="KPZ1"/>
      <c r="KQA1"/>
      <c r="KQB1"/>
      <c r="KQC1"/>
      <c r="KQD1"/>
      <c r="KQE1"/>
      <c r="KQF1"/>
      <c r="KQG1"/>
      <c r="KQH1"/>
      <c r="KQI1"/>
      <c r="KQJ1"/>
      <c r="KQK1"/>
      <c r="KQL1"/>
      <c r="KQM1"/>
      <c r="KQN1"/>
      <c r="KQO1"/>
      <c r="KQP1"/>
      <c r="KQQ1"/>
      <c r="KQR1"/>
      <c r="KQS1"/>
      <c r="KQT1"/>
      <c r="KQU1"/>
      <c r="KQV1"/>
      <c r="KQW1"/>
      <c r="KQX1"/>
      <c r="KQY1"/>
      <c r="KQZ1"/>
      <c r="KRA1"/>
      <c r="KRB1"/>
      <c r="KRC1"/>
      <c r="KRD1"/>
      <c r="KRE1"/>
      <c r="KRF1"/>
      <c r="KRG1"/>
      <c r="KRH1"/>
      <c r="KRI1"/>
      <c r="KRJ1"/>
      <c r="KRK1"/>
      <c r="KRL1"/>
      <c r="KRM1"/>
      <c r="KRN1"/>
      <c r="KRO1"/>
      <c r="KRP1"/>
      <c r="KRQ1"/>
      <c r="KRR1"/>
      <c r="KRS1"/>
      <c r="KRT1"/>
      <c r="KRU1"/>
      <c r="KRV1"/>
      <c r="KRW1"/>
      <c r="KRX1"/>
      <c r="KRY1"/>
      <c r="KRZ1"/>
      <c r="KSA1"/>
      <c r="KSB1"/>
      <c r="KSC1"/>
      <c r="KSD1"/>
      <c r="KSE1"/>
      <c r="KSF1"/>
      <c r="KSG1"/>
      <c r="KSH1"/>
      <c r="KSI1"/>
      <c r="KSJ1"/>
      <c r="KSK1"/>
      <c r="KSL1"/>
      <c r="KSM1"/>
      <c r="KSN1"/>
      <c r="KSO1"/>
      <c r="KSP1"/>
      <c r="KSQ1"/>
      <c r="KSR1"/>
      <c r="KSS1"/>
      <c r="KST1"/>
      <c r="KSU1"/>
      <c r="KSV1"/>
      <c r="KSW1"/>
      <c r="KSX1"/>
      <c r="KSY1"/>
      <c r="KSZ1"/>
      <c r="KTA1"/>
      <c r="KTB1"/>
      <c r="KTC1"/>
      <c r="KTD1"/>
      <c r="KTE1"/>
      <c r="KTF1"/>
      <c r="KTG1"/>
      <c r="KTH1"/>
      <c r="KTI1"/>
      <c r="KTJ1"/>
      <c r="KTK1"/>
      <c r="KTL1"/>
      <c r="KTM1"/>
      <c r="KTN1"/>
      <c r="KTO1"/>
      <c r="KTP1"/>
      <c r="KTQ1"/>
      <c r="KTR1"/>
      <c r="KTS1"/>
      <c r="KTT1"/>
      <c r="KTU1"/>
      <c r="KTV1"/>
      <c r="KTW1"/>
      <c r="KTX1"/>
      <c r="KTY1"/>
      <c r="KTZ1"/>
      <c r="KUA1"/>
      <c r="KUB1"/>
      <c r="KUC1"/>
      <c r="KUD1"/>
      <c r="KUE1"/>
      <c r="KUF1"/>
      <c r="KUG1"/>
      <c r="KUH1"/>
      <c r="KUI1"/>
      <c r="KUJ1"/>
      <c r="KUK1"/>
      <c r="KUL1"/>
      <c r="KUM1"/>
      <c r="KUN1"/>
      <c r="KUO1"/>
      <c r="KUP1"/>
      <c r="KUQ1"/>
      <c r="KUR1"/>
      <c r="KUS1"/>
      <c r="KUT1"/>
      <c r="KUU1"/>
      <c r="KUV1"/>
      <c r="KUW1"/>
      <c r="KUX1"/>
      <c r="KUY1"/>
      <c r="KUZ1"/>
      <c r="KVA1"/>
      <c r="KVB1"/>
      <c r="KVC1"/>
      <c r="KVD1"/>
      <c r="KVE1"/>
      <c r="KVF1"/>
      <c r="KVG1"/>
      <c r="KVH1"/>
      <c r="KVI1"/>
      <c r="KVJ1"/>
      <c r="KVK1"/>
      <c r="KVL1"/>
      <c r="KVM1"/>
      <c r="KVN1"/>
      <c r="KVO1"/>
      <c r="KVP1"/>
      <c r="KVQ1"/>
      <c r="KVR1"/>
      <c r="KVS1"/>
      <c r="KVT1"/>
      <c r="KVU1"/>
      <c r="KVV1"/>
      <c r="KVW1"/>
      <c r="KVX1"/>
      <c r="KVY1"/>
      <c r="KVZ1"/>
      <c r="KWA1"/>
      <c r="KWB1"/>
      <c r="KWC1"/>
      <c r="KWD1"/>
      <c r="KWE1"/>
      <c r="KWF1"/>
      <c r="KWG1"/>
      <c r="KWH1"/>
      <c r="KWI1"/>
      <c r="KWJ1"/>
      <c r="KWK1"/>
      <c r="KWL1"/>
      <c r="KWM1"/>
      <c r="KWN1"/>
      <c r="KWO1"/>
      <c r="KWP1"/>
      <c r="KWQ1"/>
      <c r="KWR1"/>
      <c r="KWS1"/>
      <c r="KWT1"/>
      <c r="KWU1"/>
      <c r="KWV1"/>
      <c r="KWW1"/>
      <c r="KWX1"/>
      <c r="KWY1"/>
      <c r="KWZ1"/>
      <c r="KXA1"/>
      <c r="KXB1"/>
      <c r="KXC1"/>
      <c r="KXD1"/>
      <c r="KXE1"/>
      <c r="KXF1"/>
      <c r="KXG1"/>
      <c r="KXH1"/>
      <c r="KXI1"/>
      <c r="KXJ1"/>
      <c r="KXK1"/>
      <c r="KXL1"/>
      <c r="KXM1"/>
      <c r="KXN1"/>
      <c r="KXO1"/>
      <c r="KXP1"/>
      <c r="KXQ1"/>
      <c r="KXR1"/>
      <c r="KXS1"/>
      <c r="KXT1"/>
      <c r="KXU1"/>
      <c r="KXV1"/>
      <c r="KXW1"/>
      <c r="KXX1"/>
      <c r="KXY1"/>
      <c r="KXZ1"/>
      <c r="KYA1"/>
      <c r="KYB1"/>
      <c r="KYC1"/>
      <c r="KYD1"/>
      <c r="KYE1"/>
      <c r="KYF1"/>
      <c r="KYG1"/>
      <c r="KYH1"/>
      <c r="KYI1"/>
      <c r="KYJ1"/>
      <c r="KYK1"/>
      <c r="KYL1"/>
      <c r="KYM1"/>
      <c r="KYN1"/>
      <c r="KYO1"/>
      <c r="KYP1"/>
      <c r="KYQ1"/>
      <c r="KYR1"/>
      <c r="KYS1"/>
      <c r="KYT1"/>
      <c r="KYU1"/>
      <c r="KYV1"/>
      <c r="KYW1"/>
      <c r="KYX1"/>
      <c r="KYY1"/>
      <c r="KYZ1"/>
      <c r="KZA1"/>
      <c r="KZB1"/>
      <c r="KZC1"/>
      <c r="KZD1"/>
      <c r="KZE1"/>
      <c r="KZF1"/>
      <c r="KZG1"/>
      <c r="KZH1"/>
      <c r="KZI1"/>
      <c r="KZJ1"/>
      <c r="KZK1"/>
      <c r="KZL1"/>
      <c r="KZM1"/>
      <c r="KZN1"/>
      <c r="KZO1"/>
      <c r="KZP1"/>
      <c r="KZQ1"/>
      <c r="KZR1"/>
      <c r="KZS1"/>
      <c r="KZT1"/>
      <c r="KZU1"/>
      <c r="KZV1"/>
      <c r="KZW1"/>
      <c r="KZX1"/>
      <c r="KZY1"/>
      <c r="KZZ1"/>
      <c r="LAA1"/>
      <c r="LAB1"/>
      <c r="LAC1"/>
      <c r="LAD1"/>
      <c r="LAE1"/>
      <c r="LAF1"/>
      <c r="LAG1"/>
      <c r="LAH1"/>
      <c r="LAI1"/>
      <c r="LAJ1"/>
      <c r="LAK1"/>
      <c r="LAL1"/>
      <c r="LAM1"/>
      <c r="LAN1"/>
      <c r="LAO1"/>
      <c r="LAP1"/>
      <c r="LAQ1"/>
      <c r="LAR1"/>
      <c r="LAS1"/>
      <c r="LAT1"/>
      <c r="LAU1"/>
      <c r="LAV1"/>
      <c r="LAW1"/>
      <c r="LAX1"/>
      <c r="LAY1"/>
      <c r="LAZ1"/>
      <c r="LBA1"/>
      <c r="LBB1"/>
      <c r="LBC1"/>
      <c r="LBD1"/>
      <c r="LBE1"/>
      <c r="LBF1"/>
      <c r="LBG1"/>
      <c r="LBH1"/>
      <c r="LBI1"/>
      <c r="LBJ1"/>
      <c r="LBK1"/>
      <c r="LBL1"/>
      <c r="LBM1"/>
      <c r="LBN1"/>
      <c r="LBO1"/>
      <c r="LBP1"/>
      <c r="LBQ1"/>
      <c r="LBR1"/>
      <c r="LBS1"/>
      <c r="LBT1"/>
      <c r="LBU1"/>
      <c r="LBV1"/>
      <c r="LBW1"/>
      <c r="LBX1"/>
      <c r="LBY1"/>
      <c r="LBZ1"/>
      <c r="LCA1"/>
      <c r="LCB1"/>
      <c r="LCC1"/>
      <c r="LCD1"/>
      <c r="LCE1"/>
      <c r="LCF1"/>
      <c r="LCG1"/>
      <c r="LCH1"/>
      <c r="LCI1"/>
      <c r="LCJ1"/>
      <c r="LCK1"/>
      <c r="LCL1"/>
      <c r="LCM1"/>
      <c r="LCN1"/>
      <c r="LCO1"/>
      <c r="LCP1"/>
      <c r="LCQ1"/>
      <c r="LCR1"/>
      <c r="LCS1"/>
      <c r="LCT1"/>
      <c r="LCU1"/>
      <c r="LCV1"/>
      <c r="LCW1"/>
      <c r="LCX1"/>
      <c r="LCY1"/>
      <c r="LCZ1"/>
      <c r="LDA1"/>
      <c r="LDB1"/>
      <c r="LDC1"/>
      <c r="LDD1"/>
      <c r="LDE1"/>
      <c r="LDF1"/>
      <c r="LDG1"/>
      <c r="LDH1"/>
      <c r="LDI1"/>
      <c r="LDJ1"/>
      <c r="LDK1"/>
      <c r="LDL1"/>
      <c r="LDM1"/>
      <c r="LDN1"/>
      <c r="LDO1"/>
      <c r="LDP1"/>
      <c r="LDQ1"/>
      <c r="LDR1"/>
      <c r="LDS1"/>
      <c r="LDT1"/>
      <c r="LDU1"/>
      <c r="LDV1"/>
      <c r="LDW1"/>
      <c r="LDX1"/>
      <c r="LDY1"/>
      <c r="LDZ1"/>
      <c r="LEA1"/>
      <c r="LEB1"/>
      <c r="LEC1"/>
      <c r="LED1"/>
      <c r="LEE1"/>
      <c r="LEF1"/>
      <c r="LEG1"/>
      <c r="LEH1"/>
      <c r="LEI1"/>
      <c r="LEJ1"/>
      <c r="LEK1"/>
      <c r="LEL1"/>
      <c r="LEM1"/>
      <c r="LEN1"/>
      <c r="LEO1"/>
      <c r="LEP1"/>
      <c r="LEQ1"/>
      <c r="LER1"/>
      <c r="LES1"/>
      <c r="LET1"/>
      <c r="LEU1"/>
      <c r="LEV1"/>
      <c r="LEW1"/>
      <c r="LEX1"/>
      <c r="LEY1"/>
      <c r="LEZ1"/>
      <c r="LFA1"/>
      <c r="LFB1"/>
      <c r="LFC1"/>
      <c r="LFD1"/>
      <c r="LFE1"/>
      <c r="LFF1"/>
      <c r="LFG1"/>
      <c r="LFH1"/>
      <c r="LFI1"/>
      <c r="LFJ1"/>
      <c r="LFK1"/>
      <c r="LFL1"/>
      <c r="LFM1"/>
      <c r="LFN1"/>
      <c r="LFO1"/>
      <c r="LFP1"/>
      <c r="LFQ1"/>
      <c r="LFR1"/>
      <c r="LFS1"/>
      <c r="LFT1"/>
      <c r="LFU1"/>
      <c r="LFV1"/>
      <c r="LFW1"/>
      <c r="LFX1"/>
      <c r="LFY1"/>
      <c r="LFZ1"/>
      <c r="LGA1"/>
      <c r="LGB1"/>
      <c r="LGC1"/>
      <c r="LGD1"/>
      <c r="LGE1"/>
      <c r="LGF1"/>
      <c r="LGG1"/>
      <c r="LGH1"/>
      <c r="LGI1"/>
      <c r="LGJ1"/>
      <c r="LGK1"/>
      <c r="LGL1"/>
      <c r="LGM1"/>
      <c r="LGN1"/>
      <c r="LGO1"/>
      <c r="LGP1"/>
      <c r="LGQ1"/>
      <c r="LGR1"/>
      <c r="LGS1"/>
      <c r="LGT1"/>
      <c r="LGU1"/>
      <c r="LGV1"/>
      <c r="LGW1"/>
      <c r="LGX1"/>
      <c r="LGY1"/>
      <c r="LGZ1"/>
      <c r="LHA1"/>
      <c r="LHB1"/>
      <c r="LHC1"/>
      <c r="LHD1"/>
      <c r="LHE1"/>
      <c r="LHF1"/>
      <c r="LHG1"/>
      <c r="LHH1"/>
      <c r="LHI1"/>
      <c r="LHJ1"/>
      <c r="LHK1"/>
      <c r="LHL1"/>
      <c r="LHM1"/>
      <c r="LHN1"/>
      <c r="LHO1"/>
      <c r="LHP1"/>
      <c r="LHQ1"/>
      <c r="LHR1"/>
      <c r="LHS1"/>
      <c r="LHT1"/>
      <c r="LHU1"/>
      <c r="LHV1"/>
      <c r="LHW1"/>
      <c r="LHX1"/>
      <c r="LHY1"/>
      <c r="LHZ1"/>
      <c r="LIA1"/>
      <c r="LIB1"/>
      <c r="LIC1"/>
      <c r="LID1"/>
      <c r="LIE1"/>
      <c r="LIF1"/>
      <c r="LIG1"/>
      <c r="LIH1"/>
      <c r="LII1"/>
      <c r="LIJ1"/>
      <c r="LIK1"/>
      <c r="LIL1"/>
      <c r="LIM1"/>
      <c r="LIN1"/>
      <c r="LIO1"/>
      <c r="LIP1"/>
      <c r="LIQ1"/>
      <c r="LIR1"/>
      <c r="LIS1"/>
      <c r="LIT1"/>
      <c r="LIU1"/>
      <c r="LIV1"/>
      <c r="LIW1"/>
      <c r="LIX1"/>
      <c r="LIY1"/>
      <c r="LIZ1"/>
      <c r="LJA1"/>
      <c r="LJB1"/>
      <c r="LJC1"/>
      <c r="LJD1"/>
      <c r="LJE1"/>
      <c r="LJF1"/>
      <c r="LJG1"/>
      <c r="LJH1"/>
      <c r="LJI1"/>
      <c r="LJJ1"/>
      <c r="LJK1"/>
      <c r="LJL1"/>
      <c r="LJM1"/>
      <c r="LJN1"/>
      <c r="LJO1"/>
      <c r="LJP1"/>
      <c r="LJQ1"/>
      <c r="LJR1"/>
      <c r="LJS1"/>
      <c r="LJT1"/>
      <c r="LJU1"/>
      <c r="LJV1"/>
      <c r="LJW1"/>
      <c r="LJX1"/>
      <c r="LJY1"/>
      <c r="LJZ1"/>
      <c r="LKA1"/>
      <c r="LKB1"/>
      <c r="LKC1"/>
      <c r="LKD1"/>
      <c r="LKE1"/>
      <c r="LKF1"/>
      <c r="LKG1"/>
      <c r="LKH1"/>
      <c r="LKI1"/>
      <c r="LKJ1"/>
      <c r="LKK1"/>
      <c r="LKL1"/>
      <c r="LKM1"/>
      <c r="LKN1"/>
      <c r="LKO1"/>
      <c r="LKP1"/>
      <c r="LKQ1"/>
      <c r="LKR1"/>
      <c r="LKS1"/>
      <c r="LKT1"/>
      <c r="LKU1"/>
      <c r="LKV1"/>
      <c r="LKW1"/>
      <c r="LKX1"/>
      <c r="LKY1"/>
      <c r="LKZ1"/>
      <c r="LLA1"/>
      <c r="LLB1"/>
      <c r="LLC1"/>
      <c r="LLD1"/>
      <c r="LLE1"/>
      <c r="LLF1"/>
      <c r="LLG1"/>
      <c r="LLH1"/>
      <c r="LLI1"/>
      <c r="LLJ1"/>
      <c r="LLK1"/>
      <c r="LLL1"/>
      <c r="LLM1"/>
      <c r="LLN1"/>
      <c r="LLO1"/>
      <c r="LLP1"/>
      <c r="LLQ1"/>
      <c r="LLR1"/>
      <c r="LLS1"/>
      <c r="LLT1"/>
      <c r="LLU1"/>
      <c r="LLV1"/>
      <c r="LLW1"/>
      <c r="LLX1"/>
      <c r="LLY1"/>
      <c r="LLZ1"/>
      <c r="LMA1"/>
      <c r="LMB1"/>
      <c r="LMC1"/>
      <c r="LMD1"/>
      <c r="LME1"/>
      <c r="LMF1"/>
      <c r="LMG1"/>
      <c r="LMH1"/>
      <c r="LMI1"/>
      <c r="LMJ1"/>
      <c r="LMK1"/>
      <c r="LML1"/>
      <c r="LMM1"/>
      <c r="LMN1"/>
      <c r="LMO1"/>
      <c r="LMP1"/>
      <c r="LMQ1"/>
      <c r="LMR1"/>
      <c r="LMS1"/>
      <c r="LMT1"/>
      <c r="LMU1"/>
      <c r="LMV1"/>
      <c r="LMW1"/>
      <c r="LMX1"/>
      <c r="LMY1"/>
      <c r="LMZ1"/>
      <c r="LNA1"/>
      <c r="LNB1"/>
      <c r="LNC1"/>
      <c r="LND1"/>
      <c r="LNE1"/>
      <c r="LNF1"/>
      <c r="LNG1"/>
      <c r="LNH1"/>
      <c r="LNI1"/>
      <c r="LNJ1"/>
      <c r="LNK1"/>
      <c r="LNL1"/>
      <c r="LNM1"/>
      <c r="LNN1"/>
      <c r="LNO1"/>
      <c r="LNP1"/>
      <c r="LNQ1"/>
      <c r="LNR1"/>
      <c r="LNS1"/>
      <c r="LNT1"/>
      <c r="LNU1"/>
      <c r="LNV1"/>
      <c r="LNW1"/>
      <c r="LNX1"/>
      <c r="LNY1"/>
      <c r="LNZ1"/>
      <c r="LOA1"/>
      <c r="LOB1"/>
      <c r="LOC1"/>
      <c r="LOD1"/>
      <c r="LOE1"/>
      <c r="LOF1"/>
      <c r="LOG1"/>
      <c r="LOH1"/>
      <c r="LOI1"/>
      <c r="LOJ1"/>
      <c r="LOK1"/>
      <c r="LOL1"/>
      <c r="LOM1"/>
      <c r="LON1"/>
      <c r="LOO1"/>
      <c r="LOP1"/>
      <c r="LOQ1"/>
      <c r="LOR1"/>
      <c r="LOS1"/>
      <c r="LOT1"/>
      <c r="LOU1"/>
      <c r="LOV1"/>
      <c r="LOW1"/>
      <c r="LOX1"/>
      <c r="LOY1"/>
      <c r="LOZ1"/>
      <c r="LPA1"/>
      <c r="LPB1"/>
      <c r="LPC1"/>
      <c r="LPD1"/>
      <c r="LPE1"/>
      <c r="LPF1"/>
      <c r="LPG1"/>
      <c r="LPH1"/>
      <c r="LPI1"/>
      <c r="LPJ1"/>
      <c r="LPK1"/>
      <c r="LPL1"/>
      <c r="LPM1"/>
      <c r="LPN1"/>
      <c r="LPO1"/>
      <c r="LPP1"/>
      <c r="LPQ1"/>
      <c r="LPR1"/>
      <c r="LPS1"/>
      <c r="LPT1"/>
      <c r="LPU1"/>
      <c r="LPV1"/>
      <c r="LPW1"/>
      <c r="LPX1"/>
      <c r="LPY1"/>
      <c r="LPZ1"/>
      <c r="LQA1"/>
      <c r="LQB1"/>
      <c r="LQC1"/>
      <c r="LQD1"/>
      <c r="LQE1"/>
      <c r="LQF1"/>
      <c r="LQG1"/>
      <c r="LQH1"/>
      <c r="LQI1"/>
      <c r="LQJ1"/>
      <c r="LQK1"/>
      <c r="LQL1"/>
      <c r="LQM1"/>
      <c r="LQN1"/>
      <c r="LQO1"/>
      <c r="LQP1"/>
      <c r="LQQ1"/>
      <c r="LQR1"/>
      <c r="LQS1"/>
      <c r="LQT1"/>
      <c r="LQU1"/>
      <c r="LQV1"/>
      <c r="LQW1"/>
      <c r="LQX1"/>
      <c r="LQY1"/>
      <c r="LQZ1"/>
      <c r="LRA1"/>
      <c r="LRB1"/>
      <c r="LRC1"/>
      <c r="LRD1"/>
      <c r="LRE1"/>
      <c r="LRF1"/>
      <c r="LRG1"/>
      <c r="LRH1"/>
      <c r="LRI1"/>
      <c r="LRJ1"/>
      <c r="LRK1"/>
      <c r="LRL1"/>
      <c r="LRM1"/>
      <c r="LRN1"/>
      <c r="LRO1"/>
      <c r="LRP1"/>
      <c r="LRQ1"/>
      <c r="LRR1"/>
      <c r="LRS1"/>
      <c r="LRT1"/>
      <c r="LRU1"/>
      <c r="LRV1"/>
      <c r="LRW1"/>
      <c r="LRX1"/>
      <c r="LRY1"/>
      <c r="LRZ1"/>
      <c r="LSA1"/>
      <c r="LSB1"/>
      <c r="LSC1"/>
      <c r="LSD1"/>
      <c r="LSE1"/>
      <c r="LSF1"/>
      <c r="LSG1"/>
      <c r="LSH1"/>
      <c r="LSI1"/>
      <c r="LSJ1"/>
      <c r="LSK1"/>
      <c r="LSL1"/>
      <c r="LSM1"/>
      <c r="LSN1"/>
      <c r="LSO1"/>
      <c r="LSP1"/>
      <c r="LSQ1"/>
      <c r="LSR1"/>
      <c r="LSS1"/>
      <c r="LST1"/>
      <c r="LSU1"/>
      <c r="LSV1"/>
      <c r="LSW1"/>
      <c r="LSX1"/>
      <c r="LSY1"/>
      <c r="LSZ1"/>
      <c r="LTA1"/>
      <c r="LTB1"/>
      <c r="LTC1"/>
      <c r="LTD1"/>
      <c r="LTE1"/>
      <c r="LTF1"/>
      <c r="LTG1"/>
      <c r="LTH1"/>
      <c r="LTI1"/>
      <c r="LTJ1"/>
      <c r="LTK1"/>
      <c r="LTL1"/>
      <c r="LTM1"/>
      <c r="LTN1"/>
      <c r="LTO1"/>
      <c r="LTP1"/>
      <c r="LTQ1"/>
      <c r="LTR1"/>
      <c r="LTS1"/>
      <c r="LTT1"/>
      <c r="LTU1"/>
      <c r="LTV1"/>
      <c r="LTW1"/>
      <c r="LTX1"/>
      <c r="LTY1"/>
      <c r="LTZ1"/>
      <c r="LUA1"/>
      <c r="LUB1"/>
      <c r="LUC1"/>
      <c r="LUD1"/>
      <c r="LUE1"/>
      <c r="LUF1"/>
      <c r="LUG1"/>
      <c r="LUH1"/>
      <c r="LUI1"/>
      <c r="LUJ1"/>
      <c r="LUK1"/>
      <c r="LUL1"/>
      <c r="LUM1"/>
      <c r="LUN1"/>
      <c r="LUO1"/>
      <c r="LUP1"/>
      <c r="LUQ1"/>
      <c r="LUR1"/>
      <c r="LUS1"/>
      <c r="LUT1"/>
      <c r="LUU1"/>
      <c r="LUV1"/>
      <c r="LUW1"/>
      <c r="LUX1"/>
      <c r="LUY1"/>
      <c r="LUZ1"/>
      <c r="LVA1"/>
      <c r="LVB1"/>
      <c r="LVC1"/>
      <c r="LVD1"/>
      <c r="LVE1"/>
      <c r="LVF1"/>
      <c r="LVG1"/>
      <c r="LVH1"/>
      <c r="LVI1"/>
      <c r="LVJ1"/>
      <c r="LVK1"/>
      <c r="LVL1"/>
      <c r="LVM1"/>
      <c r="LVN1"/>
      <c r="LVO1"/>
      <c r="LVP1"/>
      <c r="LVQ1"/>
      <c r="LVR1"/>
      <c r="LVS1"/>
      <c r="LVT1"/>
      <c r="LVU1"/>
      <c r="LVV1"/>
      <c r="LVW1"/>
      <c r="LVX1"/>
      <c r="LVY1"/>
      <c r="LVZ1"/>
      <c r="LWA1"/>
      <c r="LWB1"/>
      <c r="LWC1"/>
      <c r="LWD1"/>
      <c r="LWE1"/>
      <c r="LWF1"/>
      <c r="LWG1"/>
      <c r="LWH1"/>
      <c r="LWI1"/>
      <c r="LWJ1"/>
      <c r="LWK1"/>
      <c r="LWL1"/>
      <c r="LWM1"/>
      <c r="LWN1"/>
      <c r="LWO1"/>
      <c r="LWP1"/>
      <c r="LWQ1"/>
      <c r="LWR1"/>
      <c r="LWS1"/>
      <c r="LWT1"/>
      <c r="LWU1"/>
      <c r="LWV1"/>
      <c r="LWW1"/>
      <c r="LWX1"/>
      <c r="LWY1"/>
      <c r="LWZ1"/>
      <c r="LXA1"/>
      <c r="LXB1"/>
      <c r="LXC1"/>
      <c r="LXD1"/>
      <c r="LXE1"/>
      <c r="LXF1"/>
      <c r="LXG1"/>
      <c r="LXH1"/>
      <c r="LXI1"/>
      <c r="LXJ1"/>
      <c r="LXK1"/>
      <c r="LXL1"/>
      <c r="LXM1"/>
      <c r="LXN1"/>
      <c r="LXO1"/>
      <c r="LXP1"/>
      <c r="LXQ1"/>
      <c r="LXR1"/>
      <c r="LXS1"/>
      <c r="LXT1"/>
      <c r="LXU1"/>
      <c r="LXV1"/>
      <c r="LXW1"/>
      <c r="LXX1"/>
      <c r="LXY1"/>
      <c r="LXZ1"/>
      <c r="LYA1"/>
      <c r="LYB1"/>
      <c r="LYC1"/>
      <c r="LYD1"/>
      <c r="LYE1"/>
      <c r="LYF1"/>
      <c r="LYG1"/>
      <c r="LYH1"/>
      <c r="LYI1"/>
      <c r="LYJ1"/>
      <c r="LYK1"/>
      <c r="LYL1"/>
      <c r="LYM1"/>
      <c r="LYN1"/>
      <c r="LYO1"/>
      <c r="LYP1"/>
      <c r="LYQ1"/>
      <c r="LYR1"/>
      <c r="LYS1"/>
      <c r="LYT1"/>
      <c r="LYU1"/>
      <c r="LYV1"/>
      <c r="LYW1"/>
      <c r="LYX1"/>
      <c r="LYY1"/>
      <c r="LYZ1"/>
      <c r="LZA1"/>
      <c r="LZB1"/>
      <c r="LZC1"/>
      <c r="LZD1"/>
      <c r="LZE1"/>
      <c r="LZF1"/>
      <c r="LZG1"/>
      <c r="LZH1"/>
      <c r="LZI1"/>
      <c r="LZJ1"/>
      <c r="LZK1"/>
      <c r="LZL1"/>
      <c r="LZM1"/>
      <c r="LZN1"/>
      <c r="LZO1"/>
      <c r="LZP1"/>
      <c r="LZQ1"/>
      <c r="LZR1"/>
      <c r="LZS1"/>
      <c r="LZT1"/>
      <c r="LZU1"/>
      <c r="LZV1"/>
      <c r="LZW1"/>
      <c r="LZX1"/>
      <c r="LZY1"/>
      <c r="LZZ1"/>
      <c r="MAA1"/>
      <c r="MAB1"/>
      <c r="MAC1"/>
      <c r="MAD1"/>
      <c r="MAE1"/>
      <c r="MAF1"/>
      <c r="MAG1"/>
      <c r="MAH1"/>
      <c r="MAI1"/>
      <c r="MAJ1"/>
      <c r="MAK1"/>
      <c r="MAL1"/>
      <c r="MAM1"/>
      <c r="MAN1"/>
      <c r="MAO1"/>
      <c r="MAP1"/>
      <c r="MAQ1"/>
      <c r="MAR1"/>
      <c r="MAS1"/>
      <c r="MAT1"/>
      <c r="MAU1"/>
      <c r="MAV1"/>
      <c r="MAW1"/>
      <c r="MAX1"/>
      <c r="MAY1"/>
      <c r="MAZ1"/>
      <c r="MBA1"/>
      <c r="MBB1"/>
      <c r="MBC1"/>
      <c r="MBD1"/>
      <c r="MBE1"/>
      <c r="MBF1"/>
      <c r="MBG1"/>
      <c r="MBH1"/>
      <c r="MBI1"/>
      <c r="MBJ1"/>
      <c r="MBK1"/>
      <c r="MBL1"/>
      <c r="MBM1"/>
      <c r="MBN1"/>
      <c r="MBO1"/>
      <c r="MBP1"/>
      <c r="MBQ1"/>
      <c r="MBR1"/>
      <c r="MBS1"/>
      <c r="MBT1"/>
      <c r="MBU1"/>
      <c r="MBV1"/>
      <c r="MBW1"/>
      <c r="MBX1"/>
      <c r="MBY1"/>
      <c r="MBZ1"/>
      <c r="MCA1"/>
      <c r="MCB1"/>
      <c r="MCC1"/>
      <c r="MCD1"/>
      <c r="MCE1"/>
      <c r="MCF1"/>
      <c r="MCG1"/>
      <c r="MCH1"/>
      <c r="MCI1"/>
      <c r="MCJ1"/>
      <c r="MCK1"/>
      <c r="MCL1"/>
      <c r="MCM1"/>
      <c r="MCN1"/>
      <c r="MCO1"/>
      <c r="MCP1"/>
      <c r="MCQ1"/>
      <c r="MCR1"/>
      <c r="MCS1"/>
      <c r="MCT1"/>
      <c r="MCU1"/>
      <c r="MCV1"/>
      <c r="MCW1"/>
      <c r="MCX1"/>
      <c r="MCY1"/>
      <c r="MCZ1"/>
      <c r="MDA1"/>
      <c r="MDB1"/>
      <c r="MDC1"/>
      <c r="MDD1"/>
      <c r="MDE1"/>
      <c r="MDF1"/>
      <c r="MDG1"/>
      <c r="MDH1"/>
      <c r="MDI1"/>
      <c r="MDJ1"/>
      <c r="MDK1"/>
      <c r="MDL1"/>
      <c r="MDM1"/>
      <c r="MDN1"/>
      <c r="MDO1"/>
      <c r="MDP1"/>
      <c r="MDQ1"/>
      <c r="MDR1"/>
      <c r="MDS1"/>
      <c r="MDT1"/>
      <c r="MDU1"/>
      <c r="MDV1"/>
      <c r="MDW1"/>
      <c r="MDX1"/>
      <c r="MDY1"/>
      <c r="MDZ1"/>
      <c r="MEA1"/>
      <c r="MEB1"/>
      <c r="MEC1"/>
      <c r="MED1"/>
      <c r="MEE1"/>
      <c r="MEF1"/>
      <c r="MEG1"/>
      <c r="MEH1"/>
      <c r="MEI1"/>
      <c r="MEJ1"/>
      <c r="MEK1"/>
      <c r="MEL1"/>
      <c r="MEM1"/>
      <c r="MEN1"/>
      <c r="MEO1"/>
      <c r="MEP1"/>
      <c r="MEQ1"/>
      <c r="MER1"/>
      <c r="MES1"/>
      <c r="MET1"/>
      <c r="MEU1"/>
      <c r="MEV1"/>
      <c r="MEW1"/>
      <c r="MEX1"/>
      <c r="MEY1"/>
      <c r="MEZ1"/>
      <c r="MFA1"/>
      <c r="MFB1"/>
      <c r="MFC1"/>
      <c r="MFD1"/>
      <c r="MFE1"/>
      <c r="MFF1"/>
      <c r="MFG1"/>
      <c r="MFH1"/>
      <c r="MFI1"/>
      <c r="MFJ1"/>
      <c r="MFK1"/>
      <c r="MFL1"/>
      <c r="MFM1"/>
      <c r="MFN1"/>
      <c r="MFO1"/>
      <c r="MFP1"/>
      <c r="MFQ1"/>
      <c r="MFR1"/>
      <c r="MFS1"/>
      <c r="MFT1"/>
      <c r="MFU1"/>
      <c r="MFV1"/>
      <c r="MFW1"/>
      <c r="MFX1"/>
      <c r="MFY1"/>
      <c r="MFZ1"/>
      <c r="MGA1"/>
      <c r="MGB1"/>
      <c r="MGC1"/>
      <c r="MGD1"/>
      <c r="MGE1"/>
      <c r="MGF1"/>
      <c r="MGG1"/>
      <c r="MGH1"/>
      <c r="MGI1"/>
      <c r="MGJ1"/>
      <c r="MGK1"/>
      <c r="MGL1"/>
      <c r="MGM1"/>
      <c r="MGN1"/>
      <c r="MGO1"/>
      <c r="MGP1"/>
      <c r="MGQ1"/>
      <c r="MGR1"/>
      <c r="MGS1"/>
      <c r="MGT1"/>
      <c r="MGU1"/>
      <c r="MGV1"/>
      <c r="MGW1"/>
      <c r="MGX1"/>
      <c r="MGY1"/>
      <c r="MGZ1"/>
      <c r="MHA1"/>
      <c r="MHB1"/>
      <c r="MHC1"/>
      <c r="MHD1"/>
      <c r="MHE1"/>
      <c r="MHF1"/>
      <c r="MHG1"/>
      <c r="MHH1"/>
      <c r="MHI1"/>
      <c r="MHJ1"/>
      <c r="MHK1"/>
      <c r="MHL1"/>
      <c r="MHM1"/>
      <c r="MHN1"/>
      <c r="MHO1"/>
      <c r="MHP1"/>
      <c r="MHQ1"/>
      <c r="MHR1"/>
      <c r="MHS1"/>
      <c r="MHT1"/>
      <c r="MHU1"/>
      <c r="MHV1"/>
      <c r="MHW1"/>
      <c r="MHX1"/>
      <c r="MHY1"/>
      <c r="MHZ1"/>
      <c r="MIA1"/>
      <c r="MIB1"/>
      <c r="MIC1"/>
      <c r="MID1"/>
      <c r="MIE1"/>
      <c r="MIF1"/>
      <c r="MIG1"/>
      <c r="MIH1"/>
      <c r="MII1"/>
      <c r="MIJ1"/>
      <c r="MIK1"/>
      <c r="MIL1"/>
      <c r="MIM1"/>
      <c r="MIN1"/>
      <c r="MIO1"/>
      <c r="MIP1"/>
      <c r="MIQ1"/>
      <c r="MIR1"/>
      <c r="MIS1"/>
      <c r="MIT1"/>
      <c r="MIU1"/>
      <c r="MIV1"/>
      <c r="MIW1"/>
      <c r="MIX1"/>
      <c r="MIY1"/>
      <c r="MIZ1"/>
      <c r="MJA1"/>
      <c r="MJB1"/>
      <c r="MJC1"/>
      <c r="MJD1"/>
      <c r="MJE1"/>
      <c r="MJF1"/>
      <c r="MJG1"/>
      <c r="MJH1"/>
      <c r="MJI1"/>
      <c r="MJJ1"/>
      <c r="MJK1"/>
      <c r="MJL1"/>
      <c r="MJM1"/>
      <c r="MJN1"/>
      <c r="MJO1"/>
      <c r="MJP1"/>
      <c r="MJQ1"/>
      <c r="MJR1"/>
      <c r="MJS1"/>
      <c r="MJT1"/>
      <c r="MJU1"/>
      <c r="MJV1"/>
      <c r="MJW1"/>
      <c r="MJX1"/>
      <c r="MJY1"/>
      <c r="MJZ1"/>
      <c r="MKA1"/>
      <c r="MKB1"/>
      <c r="MKC1"/>
      <c r="MKD1"/>
      <c r="MKE1"/>
      <c r="MKF1"/>
      <c r="MKG1"/>
      <c r="MKH1"/>
      <c r="MKI1"/>
      <c r="MKJ1"/>
      <c r="MKK1"/>
      <c r="MKL1"/>
      <c r="MKM1"/>
      <c r="MKN1"/>
      <c r="MKO1"/>
      <c r="MKP1"/>
      <c r="MKQ1"/>
      <c r="MKR1"/>
      <c r="MKS1"/>
      <c r="MKT1"/>
      <c r="MKU1"/>
      <c r="MKV1"/>
      <c r="MKW1"/>
      <c r="MKX1"/>
      <c r="MKY1"/>
      <c r="MKZ1"/>
      <c r="MLA1"/>
      <c r="MLB1"/>
      <c r="MLC1"/>
      <c r="MLD1"/>
      <c r="MLE1"/>
      <c r="MLF1"/>
      <c r="MLG1"/>
      <c r="MLH1"/>
      <c r="MLI1"/>
      <c r="MLJ1"/>
      <c r="MLK1"/>
      <c r="MLL1"/>
      <c r="MLM1"/>
      <c r="MLN1"/>
      <c r="MLO1"/>
      <c r="MLP1"/>
      <c r="MLQ1"/>
      <c r="MLR1"/>
      <c r="MLS1"/>
      <c r="MLT1"/>
      <c r="MLU1"/>
      <c r="MLV1"/>
      <c r="MLW1"/>
      <c r="MLX1"/>
      <c r="MLY1"/>
      <c r="MLZ1"/>
      <c r="MMA1"/>
      <c r="MMB1"/>
      <c r="MMC1"/>
      <c r="MMD1"/>
      <c r="MME1"/>
      <c r="MMF1"/>
      <c r="MMG1"/>
      <c r="MMH1"/>
      <c r="MMI1"/>
      <c r="MMJ1"/>
      <c r="MMK1"/>
      <c r="MML1"/>
      <c r="MMM1"/>
      <c r="MMN1"/>
      <c r="MMO1"/>
      <c r="MMP1"/>
      <c r="MMQ1"/>
      <c r="MMR1"/>
      <c r="MMS1"/>
      <c r="MMT1"/>
      <c r="MMU1"/>
      <c r="MMV1"/>
      <c r="MMW1"/>
      <c r="MMX1"/>
      <c r="MMY1"/>
      <c r="MMZ1"/>
      <c r="MNA1"/>
      <c r="MNB1"/>
      <c r="MNC1"/>
      <c r="MND1"/>
      <c r="MNE1"/>
      <c r="MNF1"/>
      <c r="MNG1"/>
      <c r="MNH1"/>
      <c r="MNI1"/>
      <c r="MNJ1"/>
      <c r="MNK1"/>
      <c r="MNL1"/>
      <c r="MNM1"/>
      <c r="MNN1"/>
      <c r="MNO1"/>
      <c r="MNP1"/>
      <c r="MNQ1"/>
      <c r="MNR1"/>
      <c r="MNS1"/>
      <c r="MNT1"/>
      <c r="MNU1"/>
      <c r="MNV1"/>
      <c r="MNW1"/>
      <c r="MNX1"/>
      <c r="MNY1"/>
      <c r="MNZ1"/>
      <c r="MOA1"/>
      <c r="MOB1"/>
      <c r="MOC1"/>
      <c r="MOD1"/>
      <c r="MOE1"/>
      <c r="MOF1"/>
      <c r="MOG1"/>
      <c r="MOH1"/>
      <c r="MOI1"/>
      <c r="MOJ1"/>
      <c r="MOK1"/>
      <c r="MOL1"/>
      <c r="MOM1"/>
      <c r="MON1"/>
      <c r="MOO1"/>
      <c r="MOP1"/>
      <c r="MOQ1"/>
      <c r="MOR1"/>
      <c r="MOS1"/>
      <c r="MOT1"/>
      <c r="MOU1"/>
      <c r="MOV1"/>
      <c r="MOW1"/>
      <c r="MOX1"/>
      <c r="MOY1"/>
      <c r="MOZ1"/>
      <c r="MPA1"/>
      <c r="MPB1"/>
      <c r="MPC1"/>
      <c r="MPD1"/>
      <c r="MPE1"/>
      <c r="MPF1"/>
      <c r="MPG1"/>
      <c r="MPH1"/>
      <c r="MPI1"/>
      <c r="MPJ1"/>
      <c r="MPK1"/>
      <c r="MPL1"/>
      <c r="MPM1"/>
      <c r="MPN1"/>
      <c r="MPO1"/>
      <c r="MPP1"/>
      <c r="MPQ1"/>
      <c r="MPR1"/>
      <c r="MPS1"/>
      <c r="MPT1"/>
      <c r="MPU1"/>
      <c r="MPV1"/>
      <c r="MPW1"/>
      <c r="MPX1"/>
      <c r="MPY1"/>
      <c r="MPZ1"/>
      <c r="MQA1"/>
      <c r="MQB1"/>
      <c r="MQC1"/>
      <c r="MQD1"/>
      <c r="MQE1"/>
      <c r="MQF1"/>
      <c r="MQG1"/>
      <c r="MQH1"/>
      <c r="MQI1"/>
      <c r="MQJ1"/>
      <c r="MQK1"/>
      <c r="MQL1"/>
      <c r="MQM1"/>
      <c r="MQN1"/>
      <c r="MQO1"/>
      <c r="MQP1"/>
      <c r="MQQ1"/>
      <c r="MQR1"/>
      <c r="MQS1"/>
      <c r="MQT1"/>
      <c r="MQU1"/>
      <c r="MQV1"/>
      <c r="MQW1"/>
      <c r="MQX1"/>
      <c r="MQY1"/>
      <c r="MQZ1"/>
      <c r="MRA1"/>
      <c r="MRB1"/>
      <c r="MRC1"/>
      <c r="MRD1"/>
      <c r="MRE1"/>
      <c r="MRF1"/>
      <c r="MRG1"/>
      <c r="MRH1"/>
      <c r="MRI1"/>
      <c r="MRJ1"/>
      <c r="MRK1"/>
      <c r="MRL1"/>
      <c r="MRM1"/>
      <c r="MRN1"/>
      <c r="MRO1"/>
      <c r="MRP1"/>
      <c r="MRQ1"/>
      <c r="MRR1"/>
      <c r="MRS1"/>
      <c r="MRT1"/>
      <c r="MRU1"/>
      <c r="MRV1"/>
      <c r="MRW1"/>
      <c r="MRX1"/>
      <c r="MRY1"/>
      <c r="MRZ1"/>
      <c r="MSA1"/>
      <c r="MSB1"/>
      <c r="MSC1"/>
      <c r="MSD1"/>
      <c r="MSE1"/>
      <c r="MSF1"/>
      <c r="MSG1"/>
      <c r="MSH1"/>
      <c r="MSI1"/>
      <c r="MSJ1"/>
      <c r="MSK1"/>
      <c r="MSL1"/>
      <c r="MSM1"/>
      <c r="MSN1"/>
      <c r="MSO1"/>
      <c r="MSP1"/>
      <c r="MSQ1"/>
      <c r="MSR1"/>
      <c r="MSS1"/>
      <c r="MST1"/>
      <c r="MSU1"/>
      <c r="MSV1"/>
      <c r="MSW1"/>
      <c r="MSX1"/>
      <c r="MSY1"/>
      <c r="MSZ1"/>
      <c r="MTA1"/>
      <c r="MTB1"/>
      <c r="MTC1"/>
      <c r="MTD1"/>
      <c r="MTE1"/>
      <c r="MTF1"/>
      <c r="MTG1"/>
      <c r="MTH1"/>
      <c r="MTI1"/>
      <c r="MTJ1"/>
      <c r="MTK1"/>
      <c r="MTL1"/>
      <c r="MTM1"/>
      <c r="MTN1"/>
      <c r="MTO1"/>
      <c r="MTP1"/>
      <c r="MTQ1"/>
      <c r="MTR1"/>
      <c r="MTS1"/>
      <c r="MTT1"/>
      <c r="MTU1"/>
      <c r="MTV1"/>
      <c r="MTW1"/>
      <c r="MTX1"/>
      <c r="MTY1"/>
      <c r="MTZ1"/>
      <c r="MUA1"/>
      <c r="MUB1"/>
      <c r="MUC1"/>
      <c r="MUD1"/>
      <c r="MUE1"/>
      <c r="MUF1"/>
      <c r="MUG1"/>
      <c r="MUH1"/>
      <c r="MUI1"/>
      <c r="MUJ1"/>
      <c r="MUK1"/>
      <c r="MUL1"/>
      <c r="MUM1"/>
      <c r="MUN1"/>
      <c r="MUO1"/>
      <c r="MUP1"/>
      <c r="MUQ1"/>
      <c r="MUR1"/>
      <c r="MUS1"/>
      <c r="MUT1"/>
      <c r="MUU1"/>
      <c r="MUV1"/>
      <c r="MUW1"/>
      <c r="MUX1"/>
      <c r="MUY1"/>
      <c r="MUZ1"/>
      <c r="MVA1"/>
      <c r="MVB1"/>
      <c r="MVC1"/>
      <c r="MVD1"/>
      <c r="MVE1"/>
      <c r="MVF1"/>
      <c r="MVG1"/>
      <c r="MVH1"/>
      <c r="MVI1"/>
      <c r="MVJ1"/>
      <c r="MVK1"/>
      <c r="MVL1"/>
      <c r="MVM1"/>
      <c r="MVN1"/>
      <c r="MVO1"/>
      <c r="MVP1"/>
      <c r="MVQ1"/>
      <c r="MVR1"/>
      <c r="MVS1"/>
      <c r="MVT1"/>
      <c r="MVU1"/>
      <c r="MVV1"/>
      <c r="MVW1"/>
      <c r="MVX1"/>
      <c r="MVY1"/>
      <c r="MVZ1"/>
      <c r="MWA1"/>
      <c r="MWB1"/>
      <c r="MWC1"/>
      <c r="MWD1"/>
      <c r="MWE1"/>
      <c r="MWF1"/>
      <c r="MWG1"/>
      <c r="MWH1"/>
      <c r="MWI1"/>
      <c r="MWJ1"/>
      <c r="MWK1"/>
      <c r="MWL1"/>
      <c r="MWM1"/>
      <c r="MWN1"/>
      <c r="MWO1"/>
      <c r="MWP1"/>
      <c r="MWQ1"/>
      <c r="MWR1"/>
      <c r="MWS1"/>
      <c r="MWT1"/>
      <c r="MWU1"/>
      <c r="MWV1"/>
      <c r="MWW1"/>
      <c r="MWX1"/>
      <c r="MWY1"/>
      <c r="MWZ1"/>
      <c r="MXA1"/>
      <c r="MXB1"/>
      <c r="MXC1"/>
      <c r="MXD1"/>
      <c r="MXE1"/>
      <c r="MXF1"/>
      <c r="MXG1"/>
      <c r="MXH1"/>
      <c r="MXI1"/>
      <c r="MXJ1"/>
      <c r="MXK1"/>
      <c r="MXL1"/>
      <c r="MXM1"/>
      <c r="MXN1"/>
      <c r="MXO1"/>
      <c r="MXP1"/>
      <c r="MXQ1"/>
      <c r="MXR1"/>
      <c r="MXS1"/>
      <c r="MXT1"/>
      <c r="MXU1"/>
      <c r="MXV1"/>
      <c r="MXW1"/>
      <c r="MXX1"/>
      <c r="MXY1"/>
      <c r="MXZ1"/>
      <c r="MYA1"/>
      <c r="MYB1"/>
      <c r="MYC1"/>
      <c r="MYD1"/>
      <c r="MYE1"/>
      <c r="MYF1"/>
      <c r="MYG1"/>
      <c r="MYH1"/>
      <c r="MYI1"/>
      <c r="MYJ1"/>
      <c r="MYK1"/>
      <c r="MYL1"/>
      <c r="MYM1"/>
      <c r="MYN1"/>
      <c r="MYO1"/>
      <c r="MYP1"/>
      <c r="MYQ1"/>
      <c r="MYR1"/>
      <c r="MYS1"/>
      <c r="MYT1"/>
      <c r="MYU1"/>
      <c r="MYV1"/>
      <c r="MYW1"/>
      <c r="MYX1"/>
      <c r="MYY1"/>
      <c r="MYZ1"/>
      <c r="MZA1"/>
      <c r="MZB1"/>
      <c r="MZC1"/>
      <c r="MZD1"/>
      <c r="MZE1"/>
      <c r="MZF1"/>
      <c r="MZG1"/>
      <c r="MZH1"/>
      <c r="MZI1"/>
      <c r="MZJ1"/>
      <c r="MZK1"/>
      <c r="MZL1"/>
      <c r="MZM1"/>
      <c r="MZN1"/>
      <c r="MZO1"/>
      <c r="MZP1"/>
      <c r="MZQ1"/>
      <c r="MZR1"/>
      <c r="MZS1"/>
      <c r="MZT1"/>
      <c r="MZU1"/>
      <c r="MZV1"/>
      <c r="MZW1"/>
      <c r="MZX1"/>
      <c r="MZY1"/>
      <c r="MZZ1"/>
      <c r="NAA1"/>
      <c r="NAB1"/>
      <c r="NAC1"/>
      <c r="NAD1"/>
      <c r="NAE1"/>
      <c r="NAF1"/>
      <c r="NAG1"/>
      <c r="NAH1"/>
      <c r="NAI1"/>
      <c r="NAJ1"/>
      <c r="NAK1"/>
      <c r="NAL1"/>
      <c r="NAM1"/>
      <c r="NAN1"/>
      <c r="NAO1"/>
      <c r="NAP1"/>
      <c r="NAQ1"/>
      <c r="NAR1"/>
      <c r="NAS1"/>
      <c r="NAT1"/>
      <c r="NAU1"/>
      <c r="NAV1"/>
      <c r="NAW1"/>
      <c r="NAX1"/>
      <c r="NAY1"/>
      <c r="NAZ1"/>
      <c r="NBA1"/>
      <c r="NBB1"/>
      <c r="NBC1"/>
      <c r="NBD1"/>
      <c r="NBE1"/>
      <c r="NBF1"/>
      <c r="NBG1"/>
      <c r="NBH1"/>
      <c r="NBI1"/>
      <c r="NBJ1"/>
      <c r="NBK1"/>
      <c r="NBL1"/>
      <c r="NBM1"/>
      <c r="NBN1"/>
      <c r="NBO1"/>
      <c r="NBP1"/>
      <c r="NBQ1"/>
      <c r="NBR1"/>
      <c r="NBS1"/>
      <c r="NBT1"/>
      <c r="NBU1"/>
      <c r="NBV1"/>
      <c r="NBW1"/>
      <c r="NBX1"/>
      <c r="NBY1"/>
      <c r="NBZ1"/>
      <c r="NCA1"/>
      <c r="NCB1"/>
      <c r="NCC1"/>
      <c r="NCD1"/>
      <c r="NCE1"/>
      <c r="NCF1"/>
      <c r="NCG1"/>
      <c r="NCH1"/>
      <c r="NCI1"/>
      <c r="NCJ1"/>
      <c r="NCK1"/>
      <c r="NCL1"/>
      <c r="NCM1"/>
      <c r="NCN1"/>
      <c r="NCO1"/>
      <c r="NCP1"/>
      <c r="NCQ1"/>
      <c r="NCR1"/>
      <c r="NCS1"/>
      <c r="NCT1"/>
      <c r="NCU1"/>
      <c r="NCV1"/>
      <c r="NCW1"/>
      <c r="NCX1"/>
      <c r="NCY1"/>
      <c r="NCZ1"/>
      <c r="NDA1"/>
      <c r="NDB1"/>
      <c r="NDC1"/>
      <c r="NDD1"/>
      <c r="NDE1"/>
      <c r="NDF1"/>
      <c r="NDG1"/>
      <c r="NDH1"/>
      <c r="NDI1"/>
      <c r="NDJ1"/>
      <c r="NDK1"/>
      <c r="NDL1"/>
      <c r="NDM1"/>
      <c r="NDN1"/>
      <c r="NDO1"/>
      <c r="NDP1"/>
      <c r="NDQ1"/>
      <c r="NDR1"/>
      <c r="NDS1"/>
      <c r="NDT1"/>
      <c r="NDU1"/>
      <c r="NDV1"/>
      <c r="NDW1"/>
      <c r="NDX1"/>
      <c r="NDY1"/>
      <c r="NDZ1"/>
      <c r="NEA1"/>
      <c r="NEB1"/>
      <c r="NEC1"/>
      <c r="NED1"/>
      <c r="NEE1"/>
      <c r="NEF1"/>
      <c r="NEG1"/>
      <c r="NEH1"/>
      <c r="NEI1"/>
      <c r="NEJ1"/>
      <c r="NEK1"/>
      <c r="NEL1"/>
      <c r="NEM1"/>
      <c r="NEN1"/>
      <c r="NEO1"/>
      <c r="NEP1"/>
      <c r="NEQ1"/>
      <c r="NER1"/>
      <c r="NES1"/>
      <c r="NET1"/>
      <c r="NEU1"/>
      <c r="NEV1"/>
      <c r="NEW1"/>
      <c r="NEX1"/>
      <c r="NEY1"/>
      <c r="NEZ1"/>
      <c r="NFA1"/>
      <c r="NFB1"/>
      <c r="NFC1"/>
      <c r="NFD1"/>
      <c r="NFE1"/>
      <c r="NFF1"/>
      <c r="NFG1"/>
      <c r="NFH1"/>
      <c r="NFI1"/>
      <c r="NFJ1"/>
      <c r="NFK1"/>
      <c r="NFL1"/>
      <c r="NFM1"/>
      <c r="NFN1"/>
      <c r="NFO1"/>
      <c r="NFP1"/>
      <c r="NFQ1"/>
      <c r="NFR1"/>
      <c r="NFS1"/>
      <c r="NFT1"/>
      <c r="NFU1"/>
      <c r="NFV1"/>
      <c r="NFW1"/>
      <c r="NFX1"/>
      <c r="NFY1"/>
      <c r="NFZ1"/>
      <c r="NGA1"/>
      <c r="NGB1"/>
      <c r="NGC1"/>
      <c r="NGD1"/>
      <c r="NGE1"/>
      <c r="NGF1"/>
      <c r="NGG1"/>
      <c r="NGH1"/>
      <c r="NGI1"/>
      <c r="NGJ1"/>
      <c r="NGK1"/>
      <c r="NGL1"/>
      <c r="NGM1"/>
      <c r="NGN1"/>
      <c r="NGO1"/>
      <c r="NGP1"/>
      <c r="NGQ1"/>
      <c r="NGR1"/>
      <c r="NGS1"/>
      <c r="NGT1"/>
      <c r="NGU1"/>
      <c r="NGV1"/>
      <c r="NGW1"/>
      <c r="NGX1"/>
      <c r="NGY1"/>
      <c r="NGZ1"/>
      <c r="NHA1"/>
      <c r="NHB1"/>
      <c r="NHC1"/>
      <c r="NHD1"/>
      <c r="NHE1"/>
      <c r="NHF1"/>
      <c r="NHG1"/>
      <c r="NHH1"/>
      <c r="NHI1"/>
      <c r="NHJ1"/>
      <c r="NHK1"/>
      <c r="NHL1"/>
      <c r="NHM1"/>
      <c r="NHN1"/>
      <c r="NHO1"/>
      <c r="NHP1"/>
      <c r="NHQ1"/>
      <c r="NHR1"/>
      <c r="NHS1"/>
      <c r="NHT1"/>
      <c r="NHU1"/>
      <c r="NHV1"/>
      <c r="NHW1"/>
      <c r="NHX1"/>
      <c r="NHY1"/>
      <c r="NHZ1"/>
      <c r="NIA1"/>
      <c r="NIB1"/>
      <c r="NIC1"/>
      <c r="NID1"/>
      <c r="NIE1"/>
      <c r="NIF1"/>
      <c r="NIG1"/>
      <c r="NIH1"/>
      <c r="NII1"/>
      <c r="NIJ1"/>
      <c r="NIK1"/>
      <c r="NIL1"/>
      <c r="NIM1"/>
      <c r="NIN1"/>
      <c r="NIO1"/>
      <c r="NIP1"/>
      <c r="NIQ1"/>
      <c r="NIR1"/>
      <c r="NIS1"/>
      <c r="NIT1"/>
      <c r="NIU1"/>
      <c r="NIV1"/>
      <c r="NIW1"/>
      <c r="NIX1"/>
      <c r="NIY1"/>
      <c r="NIZ1"/>
      <c r="NJA1"/>
      <c r="NJB1"/>
      <c r="NJC1"/>
      <c r="NJD1"/>
      <c r="NJE1"/>
      <c r="NJF1"/>
      <c r="NJG1"/>
      <c r="NJH1"/>
      <c r="NJI1"/>
      <c r="NJJ1"/>
      <c r="NJK1"/>
      <c r="NJL1"/>
      <c r="NJM1"/>
      <c r="NJN1"/>
      <c r="NJO1"/>
      <c r="NJP1"/>
      <c r="NJQ1"/>
      <c r="NJR1"/>
      <c r="NJS1"/>
      <c r="NJT1"/>
      <c r="NJU1"/>
      <c r="NJV1"/>
      <c r="NJW1"/>
      <c r="NJX1"/>
      <c r="NJY1"/>
      <c r="NJZ1"/>
      <c r="NKA1"/>
      <c r="NKB1"/>
      <c r="NKC1"/>
      <c r="NKD1"/>
      <c r="NKE1"/>
      <c r="NKF1"/>
      <c r="NKG1"/>
      <c r="NKH1"/>
      <c r="NKI1"/>
      <c r="NKJ1"/>
      <c r="NKK1"/>
      <c r="NKL1"/>
      <c r="NKM1"/>
      <c r="NKN1"/>
      <c r="NKO1"/>
      <c r="NKP1"/>
      <c r="NKQ1"/>
      <c r="NKR1"/>
      <c r="NKS1"/>
      <c r="NKT1"/>
      <c r="NKU1"/>
      <c r="NKV1"/>
      <c r="NKW1"/>
      <c r="NKX1"/>
      <c r="NKY1"/>
      <c r="NKZ1"/>
      <c r="NLA1"/>
      <c r="NLB1"/>
      <c r="NLC1"/>
      <c r="NLD1"/>
      <c r="NLE1"/>
      <c r="NLF1"/>
      <c r="NLG1"/>
      <c r="NLH1"/>
      <c r="NLI1"/>
      <c r="NLJ1"/>
      <c r="NLK1"/>
      <c r="NLL1"/>
      <c r="NLM1"/>
      <c r="NLN1"/>
      <c r="NLO1"/>
      <c r="NLP1"/>
      <c r="NLQ1"/>
      <c r="NLR1"/>
      <c r="NLS1"/>
      <c r="NLT1"/>
      <c r="NLU1"/>
      <c r="NLV1"/>
      <c r="NLW1"/>
      <c r="NLX1"/>
      <c r="NLY1"/>
      <c r="NLZ1"/>
      <c r="NMA1"/>
      <c r="NMB1"/>
      <c r="NMC1"/>
      <c r="NMD1"/>
      <c r="NME1"/>
      <c r="NMF1"/>
      <c r="NMG1"/>
      <c r="NMH1"/>
      <c r="NMI1"/>
      <c r="NMJ1"/>
      <c r="NMK1"/>
      <c r="NML1"/>
      <c r="NMM1"/>
      <c r="NMN1"/>
      <c r="NMO1"/>
      <c r="NMP1"/>
      <c r="NMQ1"/>
      <c r="NMR1"/>
      <c r="NMS1"/>
      <c r="NMT1"/>
      <c r="NMU1"/>
      <c r="NMV1"/>
      <c r="NMW1"/>
      <c r="NMX1"/>
      <c r="NMY1"/>
      <c r="NMZ1"/>
      <c r="NNA1"/>
      <c r="NNB1"/>
      <c r="NNC1"/>
      <c r="NND1"/>
      <c r="NNE1"/>
      <c r="NNF1"/>
      <c r="NNG1"/>
      <c r="NNH1"/>
      <c r="NNI1"/>
      <c r="NNJ1"/>
      <c r="NNK1"/>
      <c r="NNL1"/>
      <c r="NNM1"/>
      <c r="NNN1"/>
      <c r="NNO1"/>
      <c r="NNP1"/>
      <c r="NNQ1"/>
      <c r="NNR1"/>
      <c r="NNS1"/>
      <c r="NNT1"/>
      <c r="NNU1"/>
      <c r="NNV1"/>
      <c r="NNW1"/>
      <c r="NNX1"/>
      <c r="NNY1"/>
      <c r="NNZ1"/>
      <c r="NOA1"/>
      <c r="NOB1"/>
      <c r="NOC1"/>
      <c r="NOD1"/>
      <c r="NOE1"/>
      <c r="NOF1"/>
      <c r="NOG1"/>
      <c r="NOH1"/>
      <c r="NOI1"/>
      <c r="NOJ1"/>
      <c r="NOK1"/>
      <c r="NOL1"/>
      <c r="NOM1"/>
      <c r="NON1"/>
      <c r="NOO1"/>
      <c r="NOP1"/>
      <c r="NOQ1"/>
      <c r="NOR1"/>
      <c r="NOS1"/>
      <c r="NOT1"/>
      <c r="NOU1"/>
      <c r="NOV1"/>
      <c r="NOW1"/>
      <c r="NOX1"/>
      <c r="NOY1"/>
      <c r="NOZ1"/>
      <c r="NPA1"/>
      <c r="NPB1"/>
      <c r="NPC1"/>
      <c r="NPD1"/>
      <c r="NPE1"/>
      <c r="NPF1"/>
      <c r="NPG1"/>
      <c r="NPH1"/>
      <c r="NPI1"/>
      <c r="NPJ1"/>
      <c r="NPK1"/>
      <c r="NPL1"/>
      <c r="NPM1"/>
      <c r="NPN1"/>
      <c r="NPO1"/>
      <c r="NPP1"/>
      <c r="NPQ1"/>
      <c r="NPR1"/>
      <c r="NPS1"/>
      <c r="NPT1"/>
      <c r="NPU1"/>
      <c r="NPV1"/>
      <c r="NPW1"/>
      <c r="NPX1"/>
      <c r="NPY1"/>
      <c r="NPZ1"/>
      <c r="NQA1"/>
      <c r="NQB1"/>
      <c r="NQC1"/>
      <c r="NQD1"/>
      <c r="NQE1"/>
      <c r="NQF1"/>
      <c r="NQG1"/>
      <c r="NQH1"/>
      <c r="NQI1"/>
      <c r="NQJ1"/>
      <c r="NQK1"/>
      <c r="NQL1"/>
      <c r="NQM1"/>
      <c r="NQN1"/>
      <c r="NQO1"/>
      <c r="NQP1"/>
      <c r="NQQ1"/>
      <c r="NQR1"/>
      <c r="NQS1"/>
      <c r="NQT1"/>
      <c r="NQU1"/>
      <c r="NQV1"/>
      <c r="NQW1"/>
      <c r="NQX1"/>
      <c r="NQY1"/>
      <c r="NQZ1"/>
      <c r="NRA1"/>
      <c r="NRB1"/>
      <c r="NRC1"/>
      <c r="NRD1"/>
      <c r="NRE1"/>
      <c r="NRF1"/>
      <c r="NRG1"/>
      <c r="NRH1"/>
      <c r="NRI1"/>
      <c r="NRJ1"/>
      <c r="NRK1"/>
      <c r="NRL1"/>
      <c r="NRM1"/>
      <c r="NRN1"/>
      <c r="NRO1"/>
      <c r="NRP1"/>
      <c r="NRQ1"/>
      <c r="NRR1"/>
      <c r="NRS1"/>
      <c r="NRT1"/>
      <c r="NRU1"/>
      <c r="NRV1"/>
      <c r="NRW1"/>
      <c r="NRX1"/>
      <c r="NRY1"/>
      <c r="NRZ1"/>
      <c r="NSA1"/>
      <c r="NSB1"/>
      <c r="NSC1"/>
      <c r="NSD1"/>
      <c r="NSE1"/>
      <c r="NSF1"/>
      <c r="NSG1"/>
      <c r="NSH1"/>
      <c r="NSI1"/>
      <c r="NSJ1"/>
      <c r="NSK1"/>
      <c r="NSL1"/>
      <c r="NSM1"/>
      <c r="NSN1"/>
      <c r="NSO1"/>
      <c r="NSP1"/>
      <c r="NSQ1"/>
      <c r="NSR1"/>
      <c r="NSS1"/>
      <c r="NST1"/>
      <c r="NSU1"/>
      <c r="NSV1"/>
      <c r="NSW1"/>
      <c r="NSX1"/>
      <c r="NSY1"/>
      <c r="NSZ1"/>
      <c r="NTA1"/>
      <c r="NTB1"/>
      <c r="NTC1"/>
      <c r="NTD1"/>
      <c r="NTE1"/>
      <c r="NTF1"/>
      <c r="NTG1"/>
      <c r="NTH1"/>
      <c r="NTI1"/>
      <c r="NTJ1"/>
      <c r="NTK1"/>
      <c r="NTL1"/>
      <c r="NTM1"/>
      <c r="NTN1"/>
      <c r="NTO1"/>
      <c r="NTP1"/>
      <c r="NTQ1"/>
      <c r="NTR1"/>
      <c r="NTS1"/>
      <c r="NTT1"/>
      <c r="NTU1"/>
      <c r="NTV1"/>
      <c r="NTW1"/>
      <c r="NTX1"/>
      <c r="NTY1"/>
      <c r="NTZ1"/>
      <c r="NUA1"/>
      <c r="NUB1"/>
      <c r="NUC1"/>
      <c r="NUD1"/>
      <c r="NUE1"/>
      <c r="NUF1"/>
      <c r="NUG1"/>
      <c r="NUH1"/>
      <c r="NUI1"/>
      <c r="NUJ1"/>
      <c r="NUK1"/>
      <c r="NUL1"/>
      <c r="NUM1"/>
      <c r="NUN1"/>
      <c r="NUO1"/>
      <c r="NUP1"/>
      <c r="NUQ1"/>
      <c r="NUR1"/>
      <c r="NUS1"/>
      <c r="NUT1"/>
      <c r="NUU1"/>
      <c r="NUV1"/>
      <c r="NUW1"/>
      <c r="NUX1"/>
      <c r="NUY1"/>
      <c r="NUZ1"/>
      <c r="NVA1"/>
      <c r="NVB1"/>
      <c r="NVC1"/>
      <c r="NVD1"/>
      <c r="NVE1"/>
      <c r="NVF1"/>
      <c r="NVG1"/>
      <c r="NVH1"/>
      <c r="NVI1"/>
      <c r="NVJ1"/>
      <c r="NVK1"/>
      <c r="NVL1"/>
      <c r="NVM1"/>
      <c r="NVN1"/>
      <c r="NVO1"/>
      <c r="NVP1"/>
      <c r="NVQ1"/>
      <c r="NVR1"/>
      <c r="NVS1"/>
      <c r="NVT1"/>
      <c r="NVU1"/>
      <c r="NVV1"/>
      <c r="NVW1"/>
      <c r="NVX1"/>
      <c r="NVY1"/>
      <c r="NVZ1"/>
      <c r="NWA1"/>
      <c r="NWB1"/>
      <c r="NWC1"/>
      <c r="NWD1"/>
      <c r="NWE1"/>
      <c r="NWF1"/>
      <c r="NWG1"/>
      <c r="NWH1"/>
      <c r="NWI1"/>
      <c r="NWJ1"/>
      <c r="NWK1"/>
      <c r="NWL1"/>
      <c r="NWM1"/>
      <c r="NWN1"/>
      <c r="NWO1"/>
      <c r="NWP1"/>
      <c r="NWQ1"/>
      <c r="NWR1"/>
      <c r="NWS1"/>
      <c r="NWT1"/>
      <c r="NWU1"/>
      <c r="NWV1"/>
      <c r="NWW1"/>
      <c r="NWX1"/>
      <c r="NWY1"/>
      <c r="NWZ1"/>
      <c r="NXA1"/>
      <c r="NXB1"/>
      <c r="NXC1"/>
      <c r="NXD1"/>
      <c r="NXE1"/>
      <c r="NXF1"/>
      <c r="NXG1"/>
      <c r="NXH1"/>
      <c r="NXI1"/>
      <c r="NXJ1"/>
      <c r="NXK1"/>
      <c r="NXL1"/>
      <c r="NXM1"/>
      <c r="NXN1"/>
      <c r="NXO1"/>
      <c r="NXP1"/>
      <c r="NXQ1"/>
      <c r="NXR1"/>
      <c r="NXS1"/>
      <c r="NXT1"/>
      <c r="NXU1"/>
      <c r="NXV1"/>
      <c r="NXW1"/>
      <c r="NXX1"/>
      <c r="NXY1"/>
      <c r="NXZ1"/>
      <c r="NYA1"/>
      <c r="NYB1"/>
      <c r="NYC1"/>
      <c r="NYD1"/>
      <c r="NYE1"/>
      <c r="NYF1"/>
      <c r="NYG1"/>
      <c r="NYH1"/>
      <c r="NYI1"/>
      <c r="NYJ1"/>
      <c r="NYK1"/>
      <c r="NYL1"/>
      <c r="NYM1"/>
      <c r="NYN1"/>
      <c r="NYO1"/>
      <c r="NYP1"/>
      <c r="NYQ1"/>
      <c r="NYR1"/>
      <c r="NYS1"/>
      <c r="NYT1"/>
      <c r="NYU1"/>
      <c r="NYV1"/>
      <c r="NYW1"/>
      <c r="NYX1"/>
      <c r="NYY1"/>
      <c r="NYZ1"/>
      <c r="NZA1"/>
      <c r="NZB1"/>
      <c r="NZC1"/>
      <c r="NZD1"/>
      <c r="NZE1"/>
      <c r="NZF1"/>
      <c r="NZG1"/>
      <c r="NZH1"/>
      <c r="NZI1"/>
      <c r="NZJ1"/>
      <c r="NZK1"/>
      <c r="NZL1"/>
      <c r="NZM1"/>
      <c r="NZN1"/>
      <c r="NZO1"/>
      <c r="NZP1"/>
      <c r="NZQ1"/>
      <c r="NZR1"/>
      <c r="NZS1"/>
      <c r="NZT1"/>
      <c r="NZU1"/>
      <c r="NZV1"/>
      <c r="NZW1"/>
      <c r="NZX1"/>
      <c r="NZY1"/>
      <c r="NZZ1"/>
      <c r="OAA1"/>
      <c r="OAB1"/>
      <c r="OAC1"/>
      <c r="OAD1"/>
      <c r="OAE1"/>
      <c r="OAF1"/>
      <c r="OAG1"/>
      <c r="OAH1"/>
      <c r="OAI1"/>
      <c r="OAJ1"/>
      <c r="OAK1"/>
      <c r="OAL1"/>
      <c r="OAM1"/>
      <c r="OAN1"/>
      <c r="OAO1"/>
      <c r="OAP1"/>
      <c r="OAQ1"/>
      <c r="OAR1"/>
      <c r="OAS1"/>
      <c r="OAT1"/>
      <c r="OAU1"/>
      <c r="OAV1"/>
      <c r="OAW1"/>
      <c r="OAX1"/>
      <c r="OAY1"/>
      <c r="OAZ1"/>
      <c r="OBA1"/>
      <c r="OBB1"/>
      <c r="OBC1"/>
      <c r="OBD1"/>
      <c r="OBE1"/>
      <c r="OBF1"/>
      <c r="OBG1"/>
      <c r="OBH1"/>
      <c r="OBI1"/>
      <c r="OBJ1"/>
      <c r="OBK1"/>
      <c r="OBL1"/>
      <c r="OBM1"/>
      <c r="OBN1"/>
      <c r="OBO1"/>
      <c r="OBP1"/>
      <c r="OBQ1"/>
      <c r="OBR1"/>
      <c r="OBS1"/>
      <c r="OBT1"/>
      <c r="OBU1"/>
      <c r="OBV1"/>
      <c r="OBW1"/>
      <c r="OBX1"/>
      <c r="OBY1"/>
      <c r="OBZ1"/>
      <c r="OCA1"/>
      <c r="OCB1"/>
      <c r="OCC1"/>
      <c r="OCD1"/>
      <c r="OCE1"/>
      <c r="OCF1"/>
      <c r="OCG1"/>
      <c r="OCH1"/>
      <c r="OCI1"/>
      <c r="OCJ1"/>
      <c r="OCK1"/>
      <c r="OCL1"/>
      <c r="OCM1"/>
      <c r="OCN1"/>
      <c r="OCO1"/>
      <c r="OCP1"/>
      <c r="OCQ1"/>
      <c r="OCR1"/>
      <c r="OCS1"/>
      <c r="OCT1"/>
      <c r="OCU1"/>
      <c r="OCV1"/>
      <c r="OCW1"/>
      <c r="OCX1"/>
      <c r="OCY1"/>
      <c r="OCZ1"/>
      <c r="ODA1"/>
      <c r="ODB1"/>
      <c r="ODC1"/>
      <c r="ODD1"/>
      <c r="ODE1"/>
      <c r="ODF1"/>
      <c r="ODG1"/>
      <c r="ODH1"/>
      <c r="ODI1"/>
      <c r="ODJ1"/>
      <c r="ODK1"/>
      <c r="ODL1"/>
      <c r="ODM1"/>
      <c r="ODN1"/>
      <c r="ODO1"/>
      <c r="ODP1"/>
      <c r="ODQ1"/>
      <c r="ODR1"/>
      <c r="ODS1"/>
      <c r="ODT1"/>
      <c r="ODU1"/>
      <c r="ODV1"/>
      <c r="ODW1"/>
      <c r="ODX1"/>
      <c r="ODY1"/>
      <c r="ODZ1"/>
      <c r="OEA1"/>
      <c r="OEB1"/>
      <c r="OEC1"/>
      <c r="OED1"/>
      <c r="OEE1"/>
      <c r="OEF1"/>
      <c r="OEG1"/>
      <c r="OEH1"/>
      <c r="OEI1"/>
      <c r="OEJ1"/>
      <c r="OEK1"/>
      <c r="OEL1"/>
      <c r="OEM1"/>
      <c r="OEN1"/>
      <c r="OEO1"/>
      <c r="OEP1"/>
      <c r="OEQ1"/>
      <c r="OER1"/>
      <c r="OES1"/>
      <c r="OET1"/>
      <c r="OEU1"/>
      <c r="OEV1"/>
      <c r="OEW1"/>
      <c r="OEX1"/>
      <c r="OEY1"/>
      <c r="OEZ1"/>
      <c r="OFA1"/>
      <c r="OFB1"/>
      <c r="OFC1"/>
      <c r="OFD1"/>
      <c r="OFE1"/>
      <c r="OFF1"/>
      <c r="OFG1"/>
      <c r="OFH1"/>
      <c r="OFI1"/>
      <c r="OFJ1"/>
      <c r="OFK1"/>
      <c r="OFL1"/>
      <c r="OFM1"/>
      <c r="OFN1"/>
      <c r="OFO1"/>
      <c r="OFP1"/>
      <c r="OFQ1"/>
      <c r="OFR1"/>
      <c r="OFS1"/>
      <c r="OFT1"/>
      <c r="OFU1"/>
      <c r="OFV1"/>
      <c r="OFW1"/>
      <c r="OFX1"/>
      <c r="OFY1"/>
      <c r="OFZ1"/>
      <c r="OGA1"/>
      <c r="OGB1"/>
      <c r="OGC1"/>
      <c r="OGD1"/>
      <c r="OGE1"/>
      <c r="OGF1"/>
      <c r="OGG1"/>
      <c r="OGH1"/>
      <c r="OGI1"/>
      <c r="OGJ1"/>
      <c r="OGK1"/>
      <c r="OGL1"/>
      <c r="OGM1"/>
      <c r="OGN1"/>
      <c r="OGO1"/>
      <c r="OGP1"/>
      <c r="OGQ1"/>
      <c r="OGR1"/>
      <c r="OGS1"/>
      <c r="OGT1"/>
      <c r="OGU1"/>
      <c r="OGV1"/>
      <c r="OGW1"/>
      <c r="OGX1"/>
      <c r="OGY1"/>
      <c r="OGZ1"/>
      <c r="OHA1"/>
      <c r="OHB1"/>
      <c r="OHC1"/>
      <c r="OHD1"/>
      <c r="OHE1"/>
      <c r="OHF1"/>
      <c r="OHG1"/>
      <c r="OHH1"/>
      <c r="OHI1"/>
      <c r="OHJ1"/>
      <c r="OHK1"/>
      <c r="OHL1"/>
      <c r="OHM1"/>
      <c r="OHN1"/>
      <c r="OHO1"/>
      <c r="OHP1"/>
      <c r="OHQ1"/>
      <c r="OHR1"/>
      <c r="OHS1"/>
      <c r="OHT1"/>
      <c r="OHU1"/>
      <c r="OHV1"/>
      <c r="OHW1"/>
      <c r="OHX1"/>
      <c r="OHY1"/>
      <c r="OHZ1"/>
      <c r="OIA1"/>
      <c r="OIB1"/>
      <c r="OIC1"/>
      <c r="OID1"/>
      <c r="OIE1"/>
      <c r="OIF1"/>
      <c r="OIG1"/>
      <c r="OIH1"/>
      <c r="OII1"/>
      <c r="OIJ1"/>
      <c r="OIK1"/>
      <c r="OIL1"/>
      <c r="OIM1"/>
      <c r="OIN1"/>
      <c r="OIO1"/>
      <c r="OIP1"/>
      <c r="OIQ1"/>
      <c r="OIR1"/>
      <c r="OIS1"/>
      <c r="OIT1"/>
      <c r="OIU1"/>
      <c r="OIV1"/>
      <c r="OIW1"/>
      <c r="OIX1"/>
      <c r="OIY1"/>
      <c r="OIZ1"/>
      <c r="OJA1"/>
      <c r="OJB1"/>
      <c r="OJC1"/>
      <c r="OJD1"/>
      <c r="OJE1"/>
      <c r="OJF1"/>
      <c r="OJG1"/>
      <c r="OJH1"/>
      <c r="OJI1"/>
      <c r="OJJ1"/>
      <c r="OJK1"/>
      <c r="OJL1"/>
      <c r="OJM1"/>
      <c r="OJN1"/>
      <c r="OJO1"/>
      <c r="OJP1"/>
      <c r="OJQ1"/>
      <c r="OJR1"/>
      <c r="OJS1"/>
      <c r="OJT1"/>
      <c r="OJU1"/>
      <c r="OJV1"/>
      <c r="OJW1"/>
      <c r="OJX1"/>
      <c r="OJY1"/>
      <c r="OJZ1"/>
      <c r="OKA1"/>
      <c r="OKB1"/>
      <c r="OKC1"/>
      <c r="OKD1"/>
      <c r="OKE1"/>
      <c r="OKF1"/>
      <c r="OKG1"/>
      <c r="OKH1"/>
      <c r="OKI1"/>
      <c r="OKJ1"/>
      <c r="OKK1"/>
      <c r="OKL1"/>
      <c r="OKM1"/>
      <c r="OKN1"/>
      <c r="OKO1"/>
      <c r="OKP1"/>
      <c r="OKQ1"/>
      <c r="OKR1"/>
      <c r="OKS1"/>
      <c r="OKT1"/>
      <c r="OKU1"/>
      <c r="OKV1"/>
      <c r="OKW1"/>
      <c r="OKX1"/>
      <c r="OKY1"/>
      <c r="OKZ1"/>
      <c r="OLA1"/>
      <c r="OLB1"/>
      <c r="OLC1"/>
      <c r="OLD1"/>
      <c r="OLE1"/>
      <c r="OLF1"/>
      <c r="OLG1"/>
      <c r="OLH1"/>
      <c r="OLI1"/>
      <c r="OLJ1"/>
      <c r="OLK1"/>
      <c r="OLL1"/>
      <c r="OLM1"/>
      <c r="OLN1"/>
      <c r="OLO1"/>
      <c r="OLP1"/>
      <c r="OLQ1"/>
      <c r="OLR1"/>
      <c r="OLS1"/>
      <c r="OLT1"/>
      <c r="OLU1"/>
      <c r="OLV1"/>
      <c r="OLW1"/>
      <c r="OLX1"/>
      <c r="OLY1"/>
      <c r="OLZ1"/>
      <c r="OMA1"/>
      <c r="OMB1"/>
      <c r="OMC1"/>
      <c r="OMD1"/>
      <c r="OME1"/>
      <c r="OMF1"/>
      <c r="OMG1"/>
      <c r="OMH1"/>
      <c r="OMI1"/>
      <c r="OMJ1"/>
      <c r="OMK1"/>
      <c r="OML1"/>
      <c r="OMM1"/>
      <c r="OMN1"/>
      <c r="OMO1"/>
      <c r="OMP1"/>
      <c r="OMQ1"/>
      <c r="OMR1"/>
      <c r="OMS1"/>
      <c r="OMT1"/>
      <c r="OMU1"/>
      <c r="OMV1"/>
      <c r="OMW1"/>
      <c r="OMX1"/>
      <c r="OMY1"/>
      <c r="OMZ1"/>
      <c r="ONA1"/>
      <c r="ONB1"/>
      <c r="ONC1"/>
      <c r="OND1"/>
      <c r="ONE1"/>
      <c r="ONF1"/>
      <c r="ONG1"/>
      <c r="ONH1"/>
      <c r="ONI1"/>
      <c r="ONJ1"/>
      <c r="ONK1"/>
      <c r="ONL1"/>
      <c r="ONM1"/>
      <c r="ONN1"/>
      <c r="ONO1"/>
      <c r="ONP1"/>
      <c r="ONQ1"/>
      <c r="ONR1"/>
      <c r="ONS1"/>
      <c r="ONT1"/>
      <c r="ONU1"/>
      <c r="ONV1"/>
      <c r="ONW1"/>
      <c r="ONX1"/>
      <c r="ONY1"/>
      <c r="ONZ1"/>
      <c r="OOA1"/>
      <c r="OOB1"/>
      <c r="OOC1"/>
      <c r="OOD1"/>
      <c r="OOE1"/>
      <c r="OOF1"/>
      <c r="OOG1"/>
      <c r="OOH1"/>
      <c r="OOI1"/>
      <c r="OOJ1"/>
      <c r="OOK1"/>
      <c r="OOL1"/>
      <c r="OOM1"/>
      <c r="OON1"/>
      <c r="OOO1"/>
      <c r="OOP1"/>
      <c r="OOQ1"/>
      <c r="OOR1"/>
      <c r="OOS1"/>
      <c r="OOT1"/>
      <c r="OOU1"/>
      <c r="OOV1"/>
      <c r="OOW1"/>
      <c r="OOX1"/>
      <c r="OOY1"/>
      <c r="OOZ1"/>
      <c r="OPA1"/>
      <c r="OPB1"/>
      <c r="OPC1"/>
      <c r="OPD1"/>
      <c r="OPE1"/>
      <c r="OPF1"/>
      <c r="OPG1"/>
      <c r="OPH1"/>
      <c r="OPI1"/>
      <c r="OPJ1"/>
      <c r="OPK1"/>
      <c r="OPL1"/>
      <c r="OPM1"/>
      <c r="OPN1"/>
      <c r="OPO1"/>
      <c r="OPP1"/>
      <c r="OPQ1"/>
      <c r="OPR1"/>
      <c r="OPS1"/>
      <c r="OPT1"/>
      <c r="OPU1"/>
      <c r="OPV1"/>
      <c r="OPW1"/>
      <c r="OPX1"/>
      <c r="OPY1"/>
      <c r="OPZ1"/>
      <c r="OQA1"/>
      <c r="OQB1"/>
      <c r="OQC1"/>
      <c r="OQD1"/>
      <c r="OQE1"/>
      <c r="OQF1"/>
      <c r="OQG1"/>
      <c r="OQH1"/>
      <c r="OQI1"/>
      <c r="OQJ1"/>
      <c r="OQK1"/>
      <c r="OQL1"/>
      <c r="OQM1"/>
      <c r="OQN1"/>
      <c r="OQO1"/>
      <c r="OQP1"/>
      <c r="OQQ1"/>
      <c r="OQR1"/>
      <c r="OQS1"/>
      <c r="OQT1"/>
      <c r="OQU1"/>
      <c r="OQV1"/>
      <c r="OQW1"/>
      <c r="OQX1"/>
      <c r="OQY1"/>
      <c r="OQZ1"/>
      <c r="ORA1"/>
      <c r="ORB1"/>
      <c r="ORC1"/>
      <c r="ORD1"/>
      <c r="ORE1"/>
      <c r="ORF1"/>
      <c r="ORG1"/>
      <c r="ORH1"/>
      <c r="ORI1"/>
      <c r="ORJ1"/>
      <c r="ORK1"/>
      <c r="ORL1"/>
      <c r="ORM1"/>
      <c r="ORN1"/>
      <c r="ORO1"/>
      <c r="ORP1"/>
      <c r="ORQ1"/>
      <c r="ORR1"/>
      <c r="ORS1"/>
      <c r="ORT1"/>
      <c r="ORU1"/>
      <c r="ORV1"/>
      <c r="ORW1"/>
      <c r="ORX1"/>
      <c r="ORY1"/>
      <c r="ORZ1"/>
      <c r="OSA1"/>
      <c r="OSB1"/>
      <c r="OSC1"/>
      <c r="OSD1"/>
      <c r="OSE1"/>
      <c r="OSF1"/>
      <c r="OSG1"/>
      <c r="OSH1"/>
      <c r="OSI1"/>
      <c r="OSJ1"/>
      <c r="OSK1"/>
      <c r="OSL1"/>
      <c r="OSM1"/>
      <c r="OSN1"/>
      <c r="OSO1"/>
      <c r="OSP1"/>
      <c r="OSQ1"/>
      <c r="OSR1"/>
      <c r="OSS1"/>
      <c r="OST1"/>
      <c r="OSU1"/>
      <c r="OSV1"/>
      <c r="OSW1"/>
      <c r="OSX1"/>
      <c r="OSY1"/>
      <c r="OSZ1"/>
      <c r="OTA1"/>
      <c r="OTB1"/>
      <c r="OTC1"/>
      <c r="OTD1"/>
      <c r="OTE1"/>
      <c r="OTF1"/>
      <c r="OTG1"/>
      <c r="OTH1"/>
      <c r="OTI1"/>
      <c r="OTJ1"/>
      <c r="OTK1"/>
      <c r="OTL1"/>
      <c r="OTM1"/>
      <c r="OTN1"/>
      <c r="OTO1"/>
      <c r="OTP1"/>
      <c r="OTQ1"/>
      <c r="OTR1"/>
      <c r="OTS1"/>
      <c r="OTT1"/>
      <c r="OTU1"/>
      <c r="OTV1"/>
      <c r="OTW1"/>
      <c r="OTX1"/>
      <c r="OTY1"/>
      <c r="OTZ1"/>
      <c r="OUA1"/>
      <c r="OUB1"/>
      <c r="OUC1"/>
      <c r="OUD1"/>
      <c r="OUE1"/>
      <c r="OUF1"/>
      <c r="OUG1"/>
      <c r="OUH1"/>
      <c r="OUI1"/>
      <c r="OUJ1"/>
      <c r="OUK1"/>
      <c r="OUL1"/>
      <c r="OUM1"/>
      <c r="OUN1"/>
      <c r="OUO1"/>
      <c r="OUP1"/>
      <c r="OUQ1"/>
      <c r="OUR1"/>
      <c r="OUS1"/>
      <c r="OUT1"/>
      <c r="OUU1"/>
      <c r="OUV1"/>
      <c r="OUW1"/>
      <c r="OUX1"/>
      <c r="OUY1"/>
      <c r="OUZ1"/>
      <c r="OVA1"/>
      <c r="OVB1"/>
      <c r="OVC1"/>
      <c r="OVD1"/>
      <c r="OVE1"/>
      <c r="OVF1"/>
      <c r="OVG1"/>
      <c r="OVH1"/>
      <c r="OVI1"/>
      <c r="OVJ1"/>
      <c r="OVK1"/>
      <c r="OVL1"/>
      <c r="OVM1"/>
      <c r="OVN1"/>
      <c r="OVO1"/>
      <c r="OVP1"/>
      <c r="OVQ1"/>
      <c r="OVR1"/>
      <c r="OVS1"/>
      <c r="OVT1"/>
      <c r="OVU1"/>
      <c r="OVV1"/>
      <c r="OVW1"/>
      <c r="OVX1"/>
      <c r="OVY1"/>
      <c r="OVZ1"/>
      <c r="OWA1"/>
      <c r="OWB1"/>
      <c r="OWC1"/>
      <c r="OWD1"/>
      <c r="OWE1"/>
      <c r="OWF1"/>
      <c r="OWG1"/>
      <c r="OWH1"/>
      <c r="OWI1"/>
      <c r="OWJ1"/>
      <c r="OWK1"/>
      <c r="OWL1"/>
      <c r="OWM1"/>
      <c r="OWN1"/>
      <c r="OWO1"/>
      <c r="OWP1"/>
      <c r="OWQ1"/>
      <c r="OWR1"/>
      <c r="OWS1"/>
      <c r="OWT1"/>
      <c r="OWU1"/>
      <c r="OWV1"/>
      <c r="OWW1"/>
      <c r="OWX1"/>
      <c r="OWY1"/>
      <c r="OWZ1"/>
      <c r="OXA1"/>
      <c r="OXB1"/>
      <c r="OXC1"/>
      <c r="OXD1"/>
      <c r="OXE1"/>
      <c r="OXF1"/>
      <c r="OXG1"/>
      <c r="OXH1"/>
      <c r="OXI1"/>
      <c r="OXJ1"/>
      <c r="OXK1"/>
      <c r="OXL1"/>
      <c r="OXM1"/>
      <c r="OXN1"/>
      <c r="OXO1"/>
      <c r="OXP1"/>
      <c r="OXQ1"/>
      <c r="OXR1"/>
      <c r="OXS1"/>
      <c r="OXT1"/>
      <c r="OXU1"/>
      <c r="OXV1"/>
      <c r="OXW1"/>
      <c r="OXX1"/>
      <c r="OXY1"/>
      <c r="OXZ1"/>
      <c r="OYA1"/>
      <c r="OYB1"/>
      <c r="OYC1"/>
      <c r="OYD1"/>
      <c r="OYE1"/>
      <c r="OYF1"/>
      <c r="OYG1"/>
      <c r="OYH1"/>
      <c r="OYI1"/>
      <c r="OYJ1"/>
      <c r="OYK1"/>
      <c r="OYL1"/>
      <c r="OYM1"/>
      <c r="OYN1"/>
      <c r="OYO1"/>
      <c r="OYP1"/>
      <c r="OYQ1"/>
      <c r="OYR1"/>
      <c r="OYS1"/>
      <c r="OYT1"/>
      <c r="OYU1"/>
      <c r="OYV1"/>
      <c r="OYW1"/>
      <c r="OYX1"/>
      <c r="OYY1"/>
      <c r="OYZ1"/>
      <c r="OZA1"/>
      <c r="OZB1"/>
      <c r="OZC1"/>
      <c r="OZD1"/>
      <c r="OZE1"/>
      <c r="OZF1"/>
      <c r="OZG1"/>
      <c r="OZH1"/>
      <c r="OZI1"/>
      <c r="OZJ1"/>
      <c r="OZK1"/>
      <c r="OZL1"/>
      <c r="OZM1"/>
      <c r="OZN1"/>
      <c r="OZO1"/>
      <c r="OZP1"/>
      <c r="OZQ1"/>
      <c r="OZR1"/>
      <c r="OZS1"/>
      <c r="OZT1"/>
      <c r="OZU1"/>
      <c r="OZV1"/>
      <c r="OZW1"/>
      <c r="OZX1"/>
      <c r="OZY1"/>
      <c r="OZZ1"/>
      <c r="PAA1"/>
      <c r="PAB1"/>
      <c r="PAC1"/>
      <c r="PAD1"/>
      <c r="PAE1"/>
      <c r="PAF1"/>
      <c r="PAG1"/>
      <c r="PAH1"/>
      <c r="PAI1"/>
      <c r="PAJ1"/>
      <c r="PAK1"/>
      <c r="PAL1"/>
      <c r="PAM1"/>
      <c r="PAN1"/>
      <c r="PAO1"/>
      <c r="PAP1"/>
      <c r="PAQ1"/>
      <c r="PAR1"/>
      <c r="PAS1"/>
      <c r="PAT1"/>
      <c r="PAU1"/>
      <c r="PAV1"/>
      <c r="PAW1"/>
      <c r="PAX1"/>
      <c r="PAY1"/>
      <c r="PAZ1"/>
      <c r="PBA1"/>
      <c r="PBB1"/>
      <c r="PBC1"/>
      <c r="PBD1"/>
      <c r="PBE1"/>
      <c r="PBF1"/>
      <c r="PBG1"/>
      <c r="PBH1"/>
      <c r="PBI1"/>
      <c r="PBJ1"/>
      <c r="PBK1"/>
      <c r="PBL1"/>
      <c r="PBM1"/>
      <c r="PBN1"/>
      <c r="PBO1"/>
      <c r="PBP1"/>
      <c r="PBQ1"/>
      <c r="PBR1"/>
      <c r="PBS1"/>
      <c r="PBT1"/>
      <c r="PBU1"/>
      <c r="PBV1"/>
      <c r="PBW1"/>
      <c r="PBX1"/>
      <c r="PBY1"/>
      <c r="PBZ1"/>
      <c r="PCA1"/>
      <c r="PCB1"/>
      <c r="PCC1"/>
      <c r="PCD1"/>
      <c r="PCE1"/>
      <c r="PCF1"/>
      <c r="PCG1"/>
      <c r="PCH1"/>
      <c r="PCI1"/>
      <c r="PCJ1"/>
      <c r="PCK1"/>
      <c r="PCL1"/>
      <c r="PCM1"/>
      <c r="PCN1"/>
      <c r="PCO1"/>
      <c r="PCP1"/>
      <c r="PCQ1"/>
      <c r="PCR1"/>
      <c r="PCS1"/>
      <c r="PCT1"/>
      <c r="PCU1"/>
      <c r="PCV1"/>
      <c r="PCW1"/>
      <c r="PCX1"/>
      <c r="PCY1"/>
      <c r="PCZ1"/>
      <c r="PDA1"/>
      <c r="PDB1"/>
      <c r="PDC1"/>
      <c r="PDD1"/>
      <c r="PDE1"/>
      <c r="PDF1"/>
      <c r="PDG1"/>
      <c r="PDH1"/>
      <c r="PDI1"/>
      <c r="PDJ1"/>
      <c r="PDK1"/>
      <c r="PDL1"/>
      <c r="PDM1"/>
      <c r="PDN1"/>
      <c r="PDO1"/>
      <c r="PDP1"/>
      <c r="PDQ1"/>
      <c r="PDR1"/>
      <c r="PDS1"/>
      <c r="PDT1"/>
      <c r="PDU1"/>
      <c r="PDV1"/>
      <c r="PDW1"/>
      <c r="PDX1"/>
      <c r="PDY1"/>
      <c r="PDZ1"/>
      <c r="PEA1"/>
      <c r="PEB1"/>
      <c r="PEC1"/>
      <c r="PED1"/>
      <c r="PEE1"/>
      <c r="PEF1"/>
      <c r="PEG1"/>
      <c r="PEH1"/>
      <c r="PEI1"/>
      <c r="PEJ1"/>
      <c r="PEK1"/>
      <c r="PEL1"/>
      <c r="PEM1"/>
      <c r="PEN1"/>
      <c r="PEO1"/>
      <c r="PEP1"/>
      <c r="PEQ1"/>
      <c r="PER1"/>
      <c r="PES1"/>
      <c r="PET1"/>
      <c r="PEU1"/>
      <c r="PEV1"/>
      <c r="PEW1"/>
      <c r="PEX1"/>
      <c r="PEY1"/>
      <c r="PEZ1"/>
      <c r="PFA1"/>
      <c r="PFB1"/>
      <c r="PFC1"/>
      <c r="PFD1"/>
      <c r="PFE1"/>
      <c r="PFF1"/>
      <c r="PFG1"/>
      <c r="PFH1"/>
      <c r="PFI1"/>
      <c r="PFJ1"/>
      <c r="PFK1"/>
      <c r="PFL1"/>
      <c r="PFM1"/>
      <c r="PFN1"/>
      <c r="PFO1"/>
      <c r="PFP1"/>
      <c r="PFQ1"/>
      <c r="PFR1"/>
      <c r="PFS1"/>
      <c r="PFT1"/>
      <c r="PFU1"/>
      <c r="PFV1"/>
      <c r="PFW1"/>
      <c r="PFX1"/>
      <c r="PFY1"/>
      <c r="PFZ1"/>
      <c r="PGA1"/>
      <c r="PGB1"/>
      <c r="PGC1"/>
      <c r="PGD1"/>
      <c r="PGE1"/>
      <c r="PGF1"/>
      <c r="PGG1"/>
      <c r="PGH1"/>
      <c r="PGI1"/>
      <c r="PGJ1"/>
      <c r="PGK1"/>
      <c r="PGL1"/>
      <c r="PGM1"/>
      <c r="PGN1"/>
      <c r="PGO1"/>
      <c r="PGP1"/>
      <c r="PGQ1"/>
      <c r="PGR1"/>
      <c r="PGS1"/>
      <c r="PGT1"/>
      <c r="PGU1"/>
      <c r="PGV1"/>
      <c r="PGW1"/>
      <c r="PGX1"/>
      <c r="PGY1"/>
      <c r="PGZ1"/>
      <c r="PHA1"/>
      <c r="PHB1"/>
      <c r="PHC1"/>
      <c r="PHD1"/>
      <c r="PHE1"/>
      <c r="PHF1"/>
      <c r="PHG1"/>
      <c r="PHH1"/>
      <c r="PHI1"/>
      <c r="PHJ1"/>
      <c r="PHK1"/>
      <c r="PHL1"/>
      <c r="PHM1"/>
      <c r="PHN1"/>
      <c r="PHO1"/>
      <c r="PHP1"/>
      <c r="PHQ1"/>
      <c r="PHR1"/>
      <c r="PHS1"/>
      <c r="PHT1"/>
      <c r="PHU1"/>
      <c r="PHV1"/>
      <c r="PHW1"/>
      <c r="PHX1"/>
      <c r="PHY1"/>
      <c r="PHZ1"/>
      <c r="PIA1"/>
      <c r="PIB1"/>
      <c r="PIC1"/>
      <c r="PID1"/>
      <c r="PIE1"/>
      <c r="PIF1"/>
      <c r="PIG1"/>
      <c r="PIH1"/>
      <c r="PII1"/>
      <c r="PIJ1"/>
      <c r="PIK1"/>
      <c r="PIL1"/>
      <c r="PIM1"/>
      <c r="PIN1"/>
      <c r="PIO1"/>
      <c r="PIP1"/>
      <c r="PIQ1"/>
      <c r="PIR1"/>
      <c r="PIS1"/>
      <c r="PIT1"/>
      <c r="PIU1"/>
      <c r="PIV1"/>
      <c r="PIW1"/>
      <c r="PIX1"/>
      <c r="PIY1"/>
      <c r="PIZ1"/>
      <c r="PJA1"/>
      <c r="PJB1"/>
      <c r="PJC1"/>
      <c r="PJD1"/>
      <c r="PJE1"/>
      <c r="PJF1"/>
      <c r="PJG1"/>
      <c r="PJH1"/>
      <c r="PJI1"/>
      <c r="PJJ1"/>
      <c r="PJK1"/>
      <c r="PJL1"/>
      <c r="PJM1"/>
      <c r="PJN1"/>
      <c r="PJO1"/>
      <c r="PJP1"/>
      <c r="PJQ1"/>
      <c r="PJR1"/>
      <c r="PJS1"/>
      <c r="PJT1"/>
      <c r="PJU1"/>
      <c r="PJV1"/>
      <c r="PJW1"/>
      <c r="PJX1"/>
      <c r="PJY1"/>
      <c r="PJZ1"/>
      <c r="PKA1"/>
      <c r="PKB1"/>
      <c r="PKC1"/>
      <c r="PKD1"/>
      <c r="PKE1"/>
      <c r="PKF1"/>
      <c r="PKG1"/>
      <c r="PKH1"/>
      <c r="PKI1"/>
      <c r="PKJ1"/>
      <c r="PKK1"/>
      <c r="PKL1"/>
      <c r="PKM1"/>
      <c r="PKN1"/>
      <c r="PKO1"/>
      <c r="PKP1"/>
      <c r="PKQ1"/>
      <c r="PKR1"/>
      <c r="PKS1"/>
      <c r="PKT1"/>
      <c r="PKU1"/>
      <c r="PKV1"/>
      <c r="PKW1"/>
      <c r="PKX1"/>
      <c r="PKY1"/>
      <c r="PKZ1"/>
      <c r="PLA1"/>
      <c r="PLB1"/>
      <c r="PLC1"/>
      <c r="PLD1"/>
      <c r="PLE1"/>
      <c r="PLF1"/>
      <c r="PLG1"/>
      <c r="PLH1"/>
      <c r="PLI1"/>
      <c r="PLJ1"/>
      <c r="PLK1"/>
      <c r="PLL1"/>
      <c r="PLM1"/>
      <c r="PLN1"/>
      <c r="PLO1"/>
      <c r="PLP1"/>
      <c r="PLQ1"/>
      <c r="PLR1"/>
      <c r="PLS1"/>
      <c r="PLT1"/>
      <c r="PLU1"/>
      <c r="PLV1"/>
      <c r="PLW1"/>
      <c r="PLX1"/>
      <c r="PLY1"/>
      <c r="PLZ1"/>
      <c r="PMA1"/>
      <c r="PMB1"/>
      <c r="PMC1"/>
      <c r="PMD1"/>
      <c r="PME1"/>
      <c r="PMF1"/>
      <c r="PMG1"/>
      <c r="PMH1"/>
      <c r="PMI1"/>
      <c r="PMJ1"/>
      <c r="PMK1"/>
      <c r="PML1"/>
      <c r="PMM1"/>
      <c r="PMN1"/>
      <c r="PMO1"/>
      <c r="PMP1"/>
      <c r="PMQ1"/>
      <c r="PMR1"/>
      <c r="PMS1"/>
      <c r="PMT1"/>
      <c r="PMU1"/>
      <c r="PMV1"/>
      <c r="PMW1"/>
      <c r="PMX1"/>
      <c r="PMY1"/>
      <c r="PMZ1"/>
      <c r="PNA1"/>
      <c r="PNB1"/>
      <c r="PNC1"/>
      <c r="PND1"/>
      <c r="PNE1"/>
      <c r="PNF1"/>
      <c r="PNG1"/>
      <c r="PNH1"/>
      <c r="PNI1"/>
      <c r="PNJ1"/>
      <c r="PNK1"/>
      <c r="PNL1"/>
      <c r="PNM1"/>
      <c r="PNN1"/>
      <c r="PNO1"/>
      <c r="PNP1"/>
      <c r="PNQ1"/>
      <c r="PNR1"/>
      <c r="PNS1"/>
      <c r="PNT1"/>
      <c r="PNU1"/>
      <c r="PNV1"/>
      <c r="PNW1"/>
      <c r="PNX1"/>
      <c r="PNY1"/>
      <c r="PNZ1"/>
      <c r="POA1"/>
      <c r="POB1"/>
      <c r="POC1"/>
      <c r="POD1"/>
      <c r="POE1"/>
      <c r="POF1"/>
      <c r="POG1"/>
      <c r="POH1"/>
      <c r="POI1"/>
      <c r="POJ1"/>
      <c r="POK1"/>
      <c r="POL1"/>
      <c r="POM1"/>
      <c r="PON1"/>
      <c r="POO1"/>
      <c r="POP1"/>
      <c r="POQ1"/>
      <c r="POR1"/>
      <c r="POS1"/>
      <c r="POT1"/>
      <c r="POU1"/>
      <c r="POV1"/>
      <c r="POW1"/>
      <c r="POX1"/>
      <c r="POY1"/>
      <c r="POZ1"/>
      <c r="PPA1"/>
      <c r="PPB1"/>
      <c r="PPC1"/>
      <c r="PPD1"/>
      <c r="PPE1"/>
      <c r="PPF1"/>
      <c r="PPG1"/>
      <c r="PPH1"/>
      <c r="PPI1"/>
      <c r="PPJ1"/>
      <c r="PPK1"/>
      <c r="PPL1"/>
      <c r="PPM1"/>
      <c r="PPN1"/>
      <c r="PPO1"/>
      <c r="PPP1"/>
      <c r="PPQ1"/>
      <c r="PPR1"/>
      <c r="PPS1"/>
      <c r="PPT1"/>
      <c r="PPU1"/>
      <c r="PPV1"/>
      <c r="PPW1"/>
      <c r="PPX1"/>
      <c r="PPY1"/>
      <c r="PPZ1"/>
      <c r="PQA1"/>
      <c r="PQB1"/>
      <c r="PQC1"/>
      <c r="PQD1"/>
      <c r="PQE1"/>
      <c r="PQF1"/>
      <c r="PQG1"/>
      <c r="PQH1"/>
      <c r="PQI1"/>
      <c r="PQJ1"/>
      <c r="PQK1"/>
      <c r="PQL1"/>
      <c r="PQM1"/>
      <c r="PQN1"/>
      <c r="PQO1"/>
      <c r="PQP1"/>
      <c r="PQQ1"/>
      <c r="PQR1"/>
      <c r="PQS1"/>
      <c r="PQT1"/>
      <c r="PQU1"/>
      <c r="PQV1"/>
      <c r="PQW1"/>
      <c r="PQX1"/>
      <c r="PQY1"/>
      <c r="PQZ1"/>
      <c r="PRA1"/>
      <c r="PRB1"/>
      <c r="PRC1"/>
      <c r="PRD1"/>
      <c r="PRE1"/>
      <c r="PRF1"/>
      <c r="PRG1"/>
      <c r="PRH1"/>
      <c r="PRI1"/>
      <c r="PRJ1"/>
      <c r="PRK1"/>
      <c r="PRL1"/>
      <c r="PRM1"/>
      <c r="PRN1"/>
      <c r="PRO1"/>
      <c r="PRP1"/>
      <c r="PRQ1"/>
      <c r="PRR1"/>
      <c r="PRS1"/>
      <c r="PRT1"/>
      <c r="PRU1"/>
      <c r="PRV1"/>
      <c r="PRW1"/>
      <c r="PRX1"/>
      <c r="PRY1"/>
      <c r="PRZ1"/>
      <c r="PSA1"/>
      <c r="PSB1"/>
      <c r="PSC1"/>
      <c r="PSD1"/>
      <c r="PSE1"/>
      <c r="PSF1"/>
      <c r="PSG1"/>
      <c r="PSH1"/>
      <c r="PSI1"/>
      <c r="PSJ1"/>
      <c r="PSK1"/>
      <c r="PSL1"/>
      <c r="PSM1"/>
      <c r="PSN1"/>
      <c r="PSO1"/>
      <c r="PSP1"/>
      <c r="PSQ1"/>
      <c r="PSR1"/>
      <c r="PSS1"/>
      <c r="PST1"/>
      <c r="PSU1"/>
      <c r="PSV1"/>
      <c r="PSW1"/>
      <c r="PSX1"/>
      <c r="PSY1"/>
      <c r="PSZ1"/>
      <c r="PTA1"/>
      <c r="PTB1"/>
      <c r="PTC1"/>
      <c r="PTD1"/>
      <c r="PTE1"/>
      <c r="PTF1"/>
      <c r="PTG1"/>
      <c r="PTH1"/>
      <c r="PTI1"/>
      <c r="PTJ1"/>
      <c r="PTK1"/>
      <c r="PTL1"/>
      <c r="PTM1"/>
      <c r="PTN1"/>
      <c r="PTO1"/>
      <c r="PTP1"/>
      <c r="PTQ1"/>
      <c r="PTR1"/>
      <c r="PTS1"/>
      <c r="PTT1"/>
      <c r="PTU1"/>
      <c r="PTV1"/>
      <c r="PTW1"/>
      <c r="PTX1"/>
      <c r="PTY1"/>
      <c r="PTZ1"/>
      <c r="PUA1"/>
      <c r="PUB1"/>
      <c r="PUC1"/>
      <c r="PUD1"/>
      <c r="PUE1"/>
      <c r="PUF1"/>
      <c r="PUG1"/>
      <c r="PUH1"/>
      <c r="PUI1"/>
      <c r="PUJ1"/>
      <c r="PUK1"/>
      <c r="PUL1"/>
      <c r="PUM1"/>
      <c r="PUN1"/>
      <c r="PUO1"/>
      <c r="PUP1"/>
      <c r="PUQ1"/>
      <c r="PUR1"/>
      <c r="PUS1"/>
      <c r="PUT1"/>
      <c r="PUU1"/>
      <c r="PUV1"/>
      <c r="PUW1"/>
      <c r="PUX1"/>
      <c r="PUY1"/>
      <c r="PUZ1"/>
      <c r="PVA1"/>
      <c r="PVB1"/>
      <c r="PVC1"/>
      <c r="PVD1"/>
      <c r="PVE1"/>
      <c r="PVF1"/>
      <c r="PVG1"/>
      <c r="PVH1"/>
      <c r="PVI1"/>
      <c r="PVJ1"/>
      <c r="PVK1"/>
      <c r="PVL1"/>
      <c r="PVM1"/>
      <c r="PVN1"/>
      <c r="PVO1"/>
      <c r="PVP1"/>
      <c r="PVQ1"/>
      <c r="PVR1"/>
      <c r="PVS1"/>
      <c r="PVT1"/>
      <c r="PVU1"/>
      <c r="PVV1"/>
      <c r="PVW1"/>
      <c r="PVX1"/>
      <c r="PVY1"/>
      <c r="PVZ1"/>
      <c r="PWA1"/>
      <c r="PWB1"/>
      <c r="PWC1"/>
      <c r="PWD1"/>
      <c r="PWE1"/>
      <c r="PWF1"/>
      <c r="PWG1"/>
      <c r="PWH1"/>
      <c r="PWI1"/>
      <c r="PWJ1"/>
      <c r="PWK1"/>
      <c r="PWL1"/>
      <c r="PWM1"/>
      <c r="PWN1"/>
      <c r="PWO1"/>
      <c r="PWP1"/>
      <c r="PWQ1"/>
      <c r="PWR1"/>
      <c r="PWS1"/>
      <c r="PWT1"/>
      <c r="PWU1"/>
      <c r="PWV1"/>
      <c r="PWW1"/>
      <c r="PWX1"/>
      <c r="PWY1"/>
      <c r="PWZ1"/>
      <c r="PXA1"/>
      <c r="PXB1"/>
      <c r="PXC1"/>
      <c r="PXD1"/>
      <c r="PXE1"/>
      <c r="PXF1"/>
      <c r="PXG1"/>
      <c r="PXH1"/>
      <c r="PXI1"/>
      <c r="PXJ1"/>
      <c r="PXK1"/>
      <c r="PXL1"/>
      <c r="PXM1"/>
      <c r="PXN1"/>
      <c r="PXO1"/>
      <c r="PXP1"/>
      <c r="PXQ1"/>
      <c r="PXR1"/>
      <c r="PXS1"/>
      <c r="PXT1"/>
      <c r="PXU1"/>
      <c r="PXV1"/>
      <c r="PXW1"/>
      <c r="PXX1"/>
      <c r="PXY1"/>
      <c r="PXZ1"/>
      <c r="PYA1"/>
      <c r="PYB1"/>
      <c r="PYC1"/>
      <c r="PYD1"/>
      <c r="PYE1"/>
      <c r="PYF1"/>
      <c r="PYG1"/>
      <c r="PYH1"/>
      <c r="PYI1"/>
      <c r="PYJ1"/>
      <c r="PYK1"/>
      <c r="PYL1"/>
      <c r="PYM1"/>
      <c r="PYN1"/>
      <c r="PYO1"/>
      <c r="PYP1"/>
      <c r="PYQ1"/>
      <c r="PYR1"/>
      <c r="PYS1"/>
      <c r="PYT1"/>
      <c r="PYU1"/>
      <c r="PYV1"/>
      <c r="PYW1"/>
      <c r="PYX1"/>
      <c r="PYY1"/>
      <c r="PYZ1"/>
      <c r="PZA1"/>
      <c r="PZB1"/>
      <c r="PZC1"/>
      <c r="PZD1"/>
      <c r="PZE1"/>
      <c r="PZF1"/>
      <c r="PZG1"/>
      <c r="PZH1"/>
      <c r="PZI1"/>
      <c r="PZJ1"/>
      <c r="PZK1"/>
      <c r="PZL1"/>
      <c r="PZM1"/>
      <c r="PZN1"/>
      <c r="PZO1"/>
      <c r="PZP1"/>
      <c r="PZQ1"/>
      <c r="PZR1"/>
      <c r="PZS1"/>
      <c r="PZT1"/>
      <c r="PZU1"/>
      <c r="PZV1"/>
      <c r="PZW1"/>
      <c r="PZX1"/>
      <c r="PZY1"/>
      <c r="PZZ1"/>
      <c r="QAA1"/>
      <c r="QAB1"/>
      <c r="QAC1"/>
      <c r="QAD1"/>
      <c r="QAE1"/>
      <c r="QAF1"/>
      <c r="QAG1"/>
      <c r="QAH1"/>
      <c r="QAI1"/>
      <c r="QAJ1"/>
      <c r="QAK1"/>
      <c r="QAL1"/>
      <c r="QAM1"/>
      <c r="QAN1"/>
      <c r="QAO1"/>
      <c r="QAP1"/>
      <c r="QAQ1"/>
      <c r="QAR1"/>
      <c r="QAS1"/>
      <c r="QAT1"/>
      <c r="QAU1"/>
      <c r="QAV1"/>
      <c r="QAW1"/>
      <c r="QAX1"/>
      <c r="QAY1"/>
      <c r="QAZ1"/>
      <c r="QBA1"/>
      <c r="QBB1"/>
      <c r="QBC1"/>
      <c r="QBD1"/>
      <c r="QBE1"/>
      <c r="QBF1"/>
      <c r="QBG1"/>
      <c r="QBH1"/>
      <c r="QBI1"/>
      <c r="QBJ1"/>
      <c r="QBK1"/>
      <c r="QBL1"/>
      <c r="QBM1"/>
      <c r="QBN1"/>
      <c r="QBO1"/>
      <c r="QBP1"/>
      <c r="QBQ1"/>
      <c r="QBR1"/>
      <c r="QBS1"/>
      <c r="QBT1"/>
      <c r="QBU1"/>
      <c r="QBV1"/>
      <c r="QBW1"/>
      <c r="QBX1"/>
      <c r="QBY1"/>
      <c r="QBZ1"/>
      <c r="QCA1"/>
      <c r="QCB1"/>
      <c r="QCC1"/>
      <c r="QCD1"/>
      <c r="QCE1"/>
      <c r="QCF1"/>
      <c r="QCG1"/>
      <c r="QCH1"/>
      <c r="QCI1"/>
      <c r="QCJ1"/>
      <c r="QCK1"/>
      <c r="QCL1"/>
      <c r="QCM1"/>
      <c r="QCN1"/>
      <c r="QCO1"/>
      <c r="QCP1"/>
      <c r="QCQ1"/>
      <c r="QCR1"/>
      <c r="QCS1"/>
      <c r="QCT1"/>
      <c r="QCU1"/>
      <c r="QCV1"/>
      <c r="QCW1"/>
      <c r="QCX1"/>
      <c r="QCY1"/>
      <c r="QCZ1"/>
      <c r="QDA1"/>
      <c r="QDB1"/>
      <c r="QDC1"/>
      <c r="QDD1"/>
      <c r="QDE1"/>
      <c r="QDF1"/>
      <c r="QDG1"/>
      <c r="QDH1"/>
      <c r="QDI1"/>
      <c r="QDJ1"/>
      <c r="QDK1"/>
      <c r="QDL1"/>
      <c r="QDM1"/>
      <c r="QDN1"/>
      <c r="QDO1"/>
      <c r="QDP1"/>
      <c r="QDQ1"/>
      <c r="QDR1"/>
      <c r="QDS1"/>
      <c r="QDT1"/>
      <c r="QDU1"/>
      <c r="QDV1"/>
      <c r="QDW1"/>
      <c r="QDX1"/>
      <c r="QDY1"/>
      <c r="QDZ1"/>
      <c r="QEA1"/>
      <c r="QEB1"/>
      <c r="QEC1"/>
      <c r="QED1"/>
      <c r="QEE1"/>
      <c r="QEF1"/>
      <c r="QEG1"/>
      <c r="QEH1"/>
      <c r="QEI1"/>
      <c r="QEJ1"/>
      <c r="QEK1"/>
      <c r="QEL1"/>
      <c r="QEM1"/>
      <c r="QEN1"/>
      <c r="QEO1"/>
      <c r="QEP1"/>
      <c r="QEQ1"/>
      <c r="QER1"/>
      <c r="QES1"/>
      <c r="QET1"/>
      <c r="QEU1"/>
      <c r="QEV1"/>
      <c r="QEW1"/>
      <c r="QEX1"/>
      <c r="QEY1"/>
      <c r="QEZ1"/>
      <c r="QFA1"/>
      <c r="QFB1"/>
      <c r="QFC1"/>
      <c r="QFD1"/>
      <c r="QFE1"/>
      <c r="QFF1"/>
      <c r="QFG1"/>
      <c r="QFH1"/>
      <c r="QFI1"/>
      <c r="QFJ1"/>
      <c r="QFK1"/>
      <c r="QFL1"/>
      <c r="QFM1"/>
      <c r="QFN1"/>
      <c r="QFO1"/>
      <c r="QFP1"/>
      <c r="QFQ1"/>
      <c r="QFR1"/>
      <c r="QFS1"/>
      <c r="QFT1"/>
      <c r="QFU1"/>
      <c r="QFV1"/>
      <c r="QFW1"/>
      <c r="QFX1"/>
      <c r="QFY1"/>
      <c r="QFZ1"/>
      <c r="QGA1"/>
      <c r="QGB1"/>
      <c r="QGC1"/>
      <c r="QGD1"/>
      <c r="QGE1"/>
      <c r="QGF1"/>
      <c r="QGG1"/>
      <c r="QGH1"/>
      <c r="QGI1"/>
      <c r="QGJ1"/>
      <c r="QGK1"/>
      <c r="QGL1"/>
      <c r="QGM1"/>
      <c r="QGN1"/>
      <c r="QGO1"/>
      <c r="QGP1"/>
      <c r="QGQ1"/>
      <c r="QGR1"/>
      <c r="QGS1"/>
      <c r="QGT1"/>
      <c r="QGU1"/>
      <c r="QGV1"/>
      <c r="QGW1"/>
      <c r="QGX1"/>
      <c r="QGY1"/>
      <c r="QGZ1"/>
      <c r="QHA1"/>
      <c r="QHB1"/>
      <c r="QHC1"/>
      <c r="QHD1"/>
      <c r="QHE1"/>
      <c r="QHF1"/>
      <c r="QHG1"/>
      <c r="QHH1"/>
      <c r="QHI1"/>
      <c r="QHJ1"/>
      <c r="QHK1"/>
      <c r="QHL1"/>
      <c r="QHM1"/>
      <c r="QHN1"/>
      <c r="QHO1"/>
      <c r="QHP1"/>
      <c r="QHQ1"/>
      <c r="QHR1"/>
      <c r="QHS1"/>
      <c r="QHT1"/>
      <c r="QHU1"/>
      <c r="QHV1"/>
      <c r="QHW1"/>
      <c r="QHX1"/>
      <c r="QHY1"/>
      <c r="QHZ1"/>
      <c r="QIA1"/>
      <c r="QIB1"/>
      <c r="QIC1"/>
      <c r="QID1"/>
      <c r="QIE1"/>
      <c r="QIF1"/>
      <c r="QIG1"/>
      <c r="QIH1"/>
      <c r="QII1"/>
      <c r="QIJ1"/>
      <c r="QIK1"/>
      <c r="QIL1"/>
      <c r="QIM1"/>
      <c r="QIN1"/>
      <c r="QIO1"/>
      <c r="QIP1"/>
      <c r="QIQ1"/>
      <c r="QIR1"/>
      <c r="QIS1"/>
      <c r="QIT1"/>
      <c r="QIU1"/>
      <c r="QIV1"/>
      <c r="QIW1"/>
      <c r="QIX1"/>
      <c r="QIY1"/>
      <c r="QIZ1"/>
      <c r="QJA1"/>
      <c r="QJB1"/>
      <c r="QJC1"/>
      <c r="QJD1"/>
      <c r="QJE1"/>
      <c r="QJF1"/>
      <c r="QJG1"/>
      <c r="QJH1"/>
      <c r="QJI1"/>
      <c r="QJJ1"/>
      <c r="QJK1"/>
      <c r="QJL1"/>
      <c r="QJM1"/>
      <c r="QJN1"/>
      <c r="QJO1"/>
      <c r="QJP1"/>
      <c r="QJQ1"/>
      <c r="QJR1"/>
      <c r="QJS1"/>
      <c r="QJT1"/>
      <c r="QJU1"/>
      <c r="QJV1"/>
      <c r="QJW1"/>
      <c r="QJX1"/>
      <c r="QJY1"/>
      <c r="QJZ1"/>
      <c r="QKA1"/>
      <c r="QKB1"/>
      <c r="QKC1"/>
      <c r="QKD1"/>
      <c r="QKE1"/>
      <c r="QKF1"/>
      <c r="QKG1"/>
      <c r="QKH1"/>
      <c r="QKI1"/>
      <c r="QKJ1"/>
      <c r="QKK1"/>
      <c r="QKL1"/>
      <c r="QKM1"/>
      <c r="QKN1"/>
      <c r="QKO1"/>
      <c r="QKP1"/>
      <c r="QKQ1"/>
      <c r="QKR1"/>
      <c r="QKS1"/>
      <c r="QKT1"/>
      <c r="QKU1"/>
      <c r="QKV1"/>
      <c r="QKW1"/>
      <c r="QKX1"/>
      <c r="QKY1"/>
      <c r="QKZ1"/>
      <c r="QLA1"/>
      <c r="QLB1"/>
      <c r="QLC1"/>
      <c r="QLD1"/>
      <c r="QLE1"/>
      <c r="QLF1"/>
      <c r="QLG1"/>
      <c r="QLH1"/>
      <c r="QLI1"/>
      <c r="QLJ1"/>
      <c r="QLK1"/>
      <c r="QLL1"/>
      <c r="QLM1"/>
      <c r="QLN1"/>
      <c r="QLO1"/>
      <c r="QLP1"/>
      <c r="QLQ1"/>
      <c r="QLR1"/>
      <c r="QLS1"/>
      <c r="QLT1"/>
      <c r="QLU1"/>
      <c r="QLV1"/>
      <c r="QLW1"/>
      <c r="QLX1"/>
      <c r="QLY1"/>
      <c r="QLZ1"/>
      <c r="QMA1"/>
      <c r="QMB1"/>
      <c r="QMC1"/>
      <c r="QMD1"/>
      <c r="QME1"/>
      <c r="QMF1"/>
      <c r="QMG1"/>
      <c r="QMH1"/>
      <c r="QMI1"/>
      <c r="QMJ1"/>
      <c r="QMK1"/>
      <c r="QML1"/>
      <c r="QMM1"/>
      <c r="QMN1"/>
      <c r="QMO1"/>
      <c r="QMP1"/>
      <c r="QMQ1"/>
      <c r="QMR1"/>
      <c r="QMS1"/>
      <c r="QMT1"/>
      <c r="QMU1"/>
      <c r="QMV1"/>
      <c r="QMW1"/>
      <c r="QMX1"/>
      <c r="QMY1"/>
      <c r="QMZ1"/>
      <c r="QNA1"/>
      <c r="QNB1"/>
      <c r="QNC1"/>
      <c r="QND1"/>
      <c r="QNE1"/>
      <c r="QNF1"/>
      <c r="QNG1"/>
      <c r="QNH1"/>
      <c r="QNI1"/>
      <c r="QNJ1"/>
      <c r="QNK1"/>
      <c r="QNL1"/>
      <c r="QNM1"/>
      <c r="QNN1"/>
      <c r="QNO1"/>
      <c r="QNP1"/>
      <c r="QNQ1"/>
      <c r="QNR1"/>
      <c r="QNS1"/>
      <c r="QNT1"/>
      <c r="QNU1"/>
      <c r="QNV1"/>
      <c r="QNW1"/>
      <c r="QNX1"/>
      <c r="QNY1"/>
      <c r="QNZ1"/>
      <c r="QOA1"/>
      <c r="QOB1"/>
      <c r="QOC1"/>
      <c r="QOD1"/>
      <c r="QOE1"/>
      <c r="QOF1"/>
      <c r="QOG1"/>
      <c r="QOH1"/>
      <c r="QOI1"/>
      <c r="QOJ1"/>
      <c r="QOK1"/>
      <c r="QOL1"/>
      <c r="QOM1"/>
      <c r="QON1"/>
      <c r="QOO1"/>
      <c r="QOP1"/>
      <c r="QOQ1"/>
      <c r="QOR1"/>
      <c r="QOS1"/>
      <c r="QOT1"/>
      <c r="QOU1"/>
      <c r="QOV1"/>
      <c r="QOW1"/>
      <c r="QOX1"/>
      <c r="QOY1"/>
      <c r="QOZ1"/>
      <c r="QPA1"/>
      <c r="QPB1"/>
      <c r="QPC1"/>
      <c r="QPD1"/>
      <c r="QPE1"/>
      <c r="QPF1"/>
      <c r="QPG1"/>
      <c r="QPH1"/>
      <c r="QPI1"/>
      <c r="QPJ1"/>
      <c r="QPK1"/>
      <c r="QPL1"/>
      <c r="QPM1"/>
      <c r="QPN1"/>
      <c r="QPO1"/>
      <c r="QPP1"/>
      <c r="QPQ1"/>
      <c r="QPR1"/>
      <c r="QPS1"/>
      <c r="QPT1"/>
      <c r="QPU1"/>
      <c r="QPV1"/>
      <c r="QPW1"/>
      <c r="QPX1"/>
      <c r="QPY1"/>
      <c r="QPZ1"/>
      <c r="QQA1"/>
      <c r="QQB1"/>
      <c r="QQC1"/>
      <c r="QQD1"/>
      <c r="QQE1"/>
      <c r="QQF1"/>
      <c r="QQG1"/>
      <c r="QQH1"/>
      <c r="QQI1"/>
      <c r="QQJ1"/>
      <c r="QQK1"/>
      <c r="QQL1"/>
      <c r="QQM1"/>
      <c r="QQN1"/>
      <c r="QQO1"/>
      <c r="QQP1"/>
      <c r="QQQ1"/>
      <c r="QQR1"/>
      <c r="QQS1"/>
      <c r="QQT1"/>
      <c r="QQU1"/>
      <c r="QQV1"/>
      <c r="QQW1"/>
      <c r="QQX1"/>
      <c r="QQY1"/>
      <c r="QQZ1"/>
      <c r="QRA1"/>
      <c r="QRB1"/>
      <c r="QRC1"/>
      <c r="QRD1"/>
      <c r="QRE1"/>
      <c r="QRF1"/>
      <c r="QRG1"/>
      <c r="QRH1"/>
      <c r="QRI1"/>
      <c r="QRJ1"/>
      <c r="QRK1"/>
      <c r="QRL1"/>
      <c r="QRM1"/>
      <c r="QRN1"/>
      <c r="QRO1"/>
      <c r="QRP1"/>
      <c r="QRQ1"/>
      <c r="QRR1"/>
      <c r="QRS1"/>
      <c r="QRT1"/>
      <c r="QRU1"/>
      <c r="QRV1"/>
      <c r="QRW1"/>
      <c r="QRX1"/>
      <c r="QRY1"/>
      <c r="QRZ1"/>
      <c r="QSA1"/>
      <c r="QSB1"/>
      <c r="QSC1"/>
      <c r="QSD1"/>
      <c r="QSE1"/>
      <c r="QSF1"/>
      <c r="QSG1"/>
      <c r="QSH1"/>
      <c r="QSI1"/>
      <c r="QSJ1"/>
      <c r="QSK1"/>
      <c r="QSL1"/>
      <c r="QSM1"/>
      <c r="QSN1"/>
      <c r="QSO1"/>
      <c r="QSP1"/>
      <c r="QSQ1"/>
      <c r="QSR1"/>
      <c r="QSS1"/>
      <c r="QST1"/>
      <c r="QSU1"/>
      <c r="QSV1"/>
      <c r="QSW1"/>
      <c r="QSX1"/>
      <c r="QSY1"/>
      <c r="QSZ1"/>
      <c r="QTA1"/>
      <c r="QTB1"/>
      <c r="QTC1"/>
      <c r="QTD1"/>
      <c r="QTE1"/>
      <c r="QTF1"/>
      <c r="QTG1"/>
      <c r="QTH1"/>
      <c r="QTI1"/>
      <c r="QTJ1"/>
      <c r="QTK1"/>
      <c r="QTL1"/>
      <c r="QTM1"/>
      <c r="QTN1"/>
      <c r="QTO1"/>
      <c r="QTP1"/>
      <c r="QTQ1"/>
      <c r="QTR1"/>
      <c r="QTS1"/>
      <c r="QTT1"/>
      <c r="QTU1"/>
      <c r="QTV1"/>
      <c r="QTW1"/>
      <c r="QTX1"/>
      <c r="QTY1"/>
      <c r="QTZ1"/>
      <c r="QUA1"/>
      <c r="QUB1"/>
      <c r="QUC1"/>
      <c r="QUD1"/>
      <c r="QUE1"/>
      <c r="QUF1"/>
      <c r="QUG1"/>
      <c r="QUH1"/>
      <c r="QUI1"/>
      <c r="QUJ1"/>
      <c r="QUK1"/>
      <c r="QUL1"/>
      <c r="QUM1"/>
      <c r="QUN1"/>
      <c r="QUO1"/>
      <c r="QUP1"/>
      <c r="QUQ1"/>
      <c r="QUR1"/>
      <c r="QUS1"/>
      <c r="QUT1"/>
      <c r="QUU1"/>
      <c r="QUV1"/>
      <c r="QUW1"/>
      <c r="QUX1"/>
      <c r="QUY1"/>
      <c r="QUZ1"/>
      <c r="QVA1"/>
      <c r="QVB1"/>
      <c r="QVC1"/>
      <c r="QVD1"/>
      <c r="QVE1"/>
      <c r="QVF1"/>
      <c r="QVG1"/>
      <c r="QVH1"/>
      <c r="QVI1"/>
      <c r="QVJ1"/>
      <c r="QVK1"/>
      <c r="QVL1"/>
      <c r="QVM1"/>
      <c r="QVN1"/>
      <c r="QVO1"/>
      <c r="QVP1"/>
      <c r="QVQ1"/>
      <c r="QVR1"/>
      <c r="QVS1"/>
      <c r="QVT1"/>
      <c r="QVU1"/>
      <c r="QVV1"/>
      <c r="QVW1"/>
      <c r="QVX1"/>
      <c r="QVY1"/>
      <c r="QVZ1"/>
      <c r="QWA1"/>
      <c r="QWB1"/>
      <c r="QWC1"/>
      <c r="QWD1"/>
      <c r="QWE1"/>
      <c r="QWF1"/>
      <c r="QWG1"/>
      <c r="QWH1"/>
      <c r="QWI1"/>
      <c r="QWJ1"/>
      <c r="QWK1"/>
      <c r="QWL1"/>
      <c r="QWM1"/>
      <c r="QWN1"/>
      <c r="QWO1"/>
      <c r="QWP1"/>
      <c r="QWQ1"/>
      <c r="QWR1"/>
      <c r="QWS1"/>
      <c r="QWT1"/>
      <c r="QWU1"/>
      <c r="QWV1"/>
      <c r="QWW1"/>
      <c r="QWX1"/>
      <c r="QWY1"/>
      <c r="QWZ1"/>
      <c r="QXA1"/>
      <c r="QXB1"/>
      <c r="QXC1"/>
      <c r="QXD1"/>
      <c r="QXE1"/>
      <c r="QXF1"/>
      <c r="QXG1"/>
      <c r="QXH1"/>
      <c r="QXI1"/>
      <c r="QXJ1"/>
      <c r="QXK1"/>
      <c r="QXL1"/>
      <c r="QXM1"/>
      <c r="QXN1"/>
      <c r="QXO1"/>
      <c r="QXP1"/>
      <c r="QXQ1"/>
      <c r="QXR1"/>
      <c r="QXS1"/>
      <c r="QXT1"/>
      <c r="QXU1"/>
      <c r="QXV1"/>
      <c r="QXW1"/>
      <c r="QXX1"/>
      <c r="QXY1"/>
      <c r="QXZ1"/>
      <c r="QYA1"/>
      <c r="QYB1"/>
      <c r="QYC1"/>
      <c r="QYD1"/>
      <c r="QYE1"/>
      <c r="QYF1"/>
      <c r="QYG1"/>
      <c r="QYH1"/>
      <c r="QYI1"/>
      <c r="QYJ1"/>
      <c r="QYK1"/>
      <c r="QYL1"/>
      <c r="QYM1"/>
      <c r="QYN1"/>
      <c r="QYO1"/>
      <c r="QYP1"/>
      <c r="QYQ1"/>
      <c r="QYR1"/>
      <c r="QYS1"/>
      <c r="QYT1"/>
      <c r="QYU1"/>
      <c r="QYV1"/>
      <c r="QYW1"/>
      <c r="QYX1"/>
      <c r="QYY1"/>
      <c r="QYZ1"/>
      <c r="QZA1"/>
      <c r="QZB1"/>
      <c r="QZC1"/>
      <c r="QZD1"/>
      <c r="QZE1"/>
      <c r="QZF1"/>
      <c r="QZG1"/>
      <c r="QZH1"/>
      <c r="QZI1"/>
      <c r="QZJ1"/>
      <c r="QZK1"/>
      <c r="QZL1"/>
      <c r="QZM1"/>
      <c r="QZN1"/>
      <c r="QZO1"/>
      <c r="QZP1"/>
      <c r="QZQ1"/>
      <c r="QZR1"/>
      <c r="QZS1"/>
      <c r="QZT1"/>
      <c r="QZU1"/>
      <c r="QZV1"/>
      <c r="QZW1"/>
      <c r="QZX1"/>
      <c r="QZY1"/>
      <c r="QZZ1"/>
      <c r="RAA1"/>
      <c r="RAB1"/>
      <c r="RAC1"/>
      <c r="RAD1"/>
      <c r="RAE1"/>
      <c r="RAF1"/>
      <c r="RAG1"/>
      <c r="RAH1"/>
      <c r="RAI1"/>
      <c r="RAJ1"/>
      <c r="RAK1"/>
      <c r="RAL1"/>
      <c r="RAM1"/>
      <c r="RAN1"/>
      <c r="RAO1"/>
      <c r="RAP1"/>
      <c r="RAQ1"/>
      <c r="RAR1"/>
      <c r="RAS1"/>
      <c r="RAT1"/>
      <c r="RAU1"/>
      <c r="RAV1"/>
      <c r="RAW1"/>
      <c r="RAX1"/>
      <c r="RAY1"/>
      <c r="RAZ1"/>
      <c r="RBA1"/>
      <c r="RBB1"/>
      <c r="RBC1"/>
      <c r="RBD1"/>
      <c r="RBE1"/>
      <c r="RBF1"/>
      <c r="RBG1"/>
      <c r="RBH1"/>
      <c r="RBI1"/>
      <c r="RBJ1"/>
      <c r="RBK1"/>
      <c r="RBL1"/>
      <c r="RBM1"/>
      <c r="RBN1"/>
      <c r="RBO1"/>
      <c r="RBP1"/>
      <c r="RBQ1"/>
      <c r="RBR1"/>
      <c r="RBS1"/>
      <c r="RBT1"/>
      <c r="RBU1"/>
      <c r="RBV1"/>
      <c r="RBW1"/>
      <c r="RBX1"/>
      <c r="RBY1"/>
      <c r="RBZ1"/>
      <c r="RCA1"/>
      <c r="RCB1"/>
      <c r="RCC1"/>
      <c r="RCD1"/>
      <c r="RCE1"/>
      <c r="RCF1"/>
      <c r="RCG1"/>
      <c r="RCH1"/>
      <c r="RCI1"/>
      <c r="RCJ1"/>
      <c r="RCK1"/>
      <c r="RCL1"/>
      <c r="RCM1"/>
      <c r="RCN1"/>
      <c r="RCO1"/>
      <c r="RCP1"/>
      <c r="RCQ1"/>
      <c r="RCR1"/>
      <c r="RCS1"/>
      <c r="RCT1"/>
      <c r="RCU1"/>
      <c r="RCV1"/>
      <c r="RCW1"/>
      <c r="RCX1"/>
      <c r="RCY1"/>
      <c r="RCZ1"/>
      <c r="RDA1"/>
      <c r="RDB1"/>
      <c r="RDC1"/>
      <c r="RDD1"/>
      <c r="RDE1"/>
      <c r="RDF1"/>
      <c r="RDG1"/>
      <c r="RDH1"/>
      <c r="RDI1"/>
      <c r="RDJ1"/>
      <c r="RDK1"/>
      <c r="RDL1"/>
      <c r="RDM1"/>
      <c r="RDN1"/>
      <c r="RDO1"/>
      <c r="RDP1"/>
      <c r="RDQ1"/>
      <c r="RDR1"/>
      <c r="RDS1"/>
      <c r="RDT1"/>
      <c r="RDU1"/>
      <c r="RDV1"/>
      <c r="RDW1"/>
      <c r="RDX1"/>
      <c r="RDY1"/>
      <c r="RDZ1"/>
      <c r="REA1"/>
      <c r="REB1"/>
      <c r="REC1"/>
      <c r="RED1"/>
      <c r="REE1"/>
      <c r="REF1"/>
      <c r="REG1"/>
      <c r="REH1"/>
      <c r="REI1"/>
      <c r="REJ1"/>
      <c r="REK1"/>
      <c r="REL1"/>
      <c r="REM1"/>
      <c r="REN1"/>
      <c r="REO1"/>
      <c r="REP1"/>
      <c r="REQ1"/>
      <c r="RER1"/>
      <c r="RES1"/>
      <c r="RET1"/>
      <c r="REU1"/>
      <c r="REV1"/>
      <c r="REW1"/>
      <c r="REX1"/>
      <c r="REY1"/>
      <c r="REZ1"/>
      <c r="RFA1"/>
      <c r="RFB1"/>
      <c r="RFC1"/>
      <c r="RFD1"/>
      <c r="RFE1"/>
      <c r="RFF1"/>
      <c r="RFG1"/>
      <c r="RFH1"/>
      <c r="RFI1"/>
      <c r="RFJ1"/>
      <c r="RFK1"/>
      <c r="RFL1"/>
      <c r="RFM1"/>
      <c r="RFN1"/>
      <c r="RFO1"/>
      <c r="RFP1"/>
      <c r="RFQ1"/>
      <c r="RFR1"/>
      <c r="RFS1"/>
      <c r="RFT1"/>
      <c r="RFU1"/>
      <c r="RFV1"/>
      <c r="RFW1"/>
      <c r="RFX1"/>
      <c r="RFY1"/>
      <c r="RFZ1"/>
      <c r="RGA1"/>
      <c r="RGB1"/>
      <c r="RGC1"/>
      <c r="RGD1"/>
      <c r="RGE1"/>
      <c r="RGF1"/>
      <c r="RGG1"/>
      <c r="RGH1"/>
      <c r="RGI1"/>
      <c r="RGJ1"/>
      <c r="RGK1"/>
      <c r="RGL1"/>
      <c r="RGM1"/>
      <c r="RGN1"/>
      <c r="RGO1"/>
      <c r="RGP1"/>
      <c r="RGQ1"/>
      <c r="RGR1"/>
      <c r="RGS1"/>
      <c r="RGT1"/>
      <c r="RGU1"/>
      <c r="RGV1"/>
      <c r="RGW1"/>
      <c r="RGX1"/>
      <c r="RGY1"/>
      <c r="RGZ1"/>
      <c r="RHA1"/>
      <c r="RHB1"/>
      <c r="RHC1"/>
      <c r="RHD1"/>
      <c r="RHE1"/>
      <c r="RHF1"/>
      <c r="RHG1"/>
      <c r="RHH1"/>
      <c r="RHI1"/>
      <c r="RHJ1"/>
      <c r="RHK1"/>
      <c r="RHL1"/>
      <c r="RHM1"/>
      <c r="RHN1"/>
      <c r="RHO1"/>
      <c r="RHP1"/>
      <c r="RHQ1"/>
      <c r="RHR1"/>
      <c r="RHS1"/>
      <c r="RHT1"/>
      <c r="RHU1"/>
      <c r="RHV1"/>
      <c r="RHW1"/>
      <c r="RHX1"/>
      <c r="RHY1"/>
      <c r="RHZ1"/>
      <c r="RIA1"/>
      <c r="RIB1"/>
      <c r="RIC1"/>
      <c r="RID1"/>
      <c r="RIE1"/>
      <c r="RIF1"/>
      <c r="RIG1"/>
      <c r="RIH1"/>
      <c r="RII1"/>
      <c r="RIJ1"/>
      <c r="RIK1"/>
      <c r="RIL1"/>
      <c r="RIM1"/>
      <c r="RIN1"/>
      <c r="RIO1"/>
      <c r="RIP1"/>
      <c r="RIQ1"/>
      <c r="RIR1"/>
      <c r="RIS1"/>
      <c r="RIT1"/>
      <c r="RIU1"/>
      <c r="RIV1"/>
      <c r="RIW1"/>
      <c r="RIX1"/>
      <c r="RIY1"/>
      <c r="RIZ1"/>
      <c r="RJA1"/>
      <c r="RJB1"/>
      <c r="RJC1"/>
      <c r="RJD1"/>
      <c r="RJE1"/>
      <c r="RJF1"/>
      <c r="RJG1"/>
      <c r="RJH1"/>
      <c r="RJI1"/>
      <c r="RJJ1"/>
      <c r="RJK1"/>
      <c r="RJL1"/>
      <c r="RJM1"/>
      <c r="RJN1"/>
      <c r="RJO1"/>
      <c r="RJP1"/>
      <c r="RJQ1"/>
      <c r="RJR1"/>
      <c r="RJS1"/>
      <c r="RJT1"/>
      <c r="RJU1"/>
      <c r="RJV1"/>
      <c r="RJW1"/>
      <c r="RJX1"/>
      <c r="RJY1"/>
      <c r="RJZ1"/>
      <c r="RKA1"/>
      <c r="RKB1"/>
      <c r="RKC1"/>
      <c r="RKD1"/>
      <c r="RKE1"/>
      <c r="RKF1"/>
      <c r="RKG1"/>
      <c r="RKH1"/>
      <c r="RKI1"/>
      <c r="RKJ1"/>
      <c r="RKK1"/>
      <c r="RKL1"/>
      <c r="RKM1"/>
      <c r="RKN1"/>
      <c r="RKO1"/>
      <c r="RKP1"/>
      <c r="RKQ1"/>
      <c r="RKR1"/>
      <c r="RKS1"/>
      <c r="RKT1"/>
      <c r="RKU1"/>
      <c r="RKV1"/>
      <c r="RKW1"/>
      <c r="RKX1"/>
      <c r="RKY1"/>
      <c r="RKZ1"/>
      <c r="RLA1"/>
      <c r="RLB1"/>
      <c r="RLC1"/>
      <c r="RLD1"/>
      <c r="RLE1"/>
      <c r="RLF1"/>
      <c r="RLG1"/>
      <c r="RLH1"/>
      <c r="RLI1"/>
      <c r="RLJ1"/>
      <c r="RLK1"/>
      <c r="RLL1"/>
      <c r="RLM1"/>
      <c r="RLN1"/>
      <c r="RLO1"/>
      <c r="RLP1"/>
      <c r="RLQ1"/>
      <c r="RLR1"/>
      <c r="RLS1"/>
      <c r="RLT1"/>
      <c r="RLU1"/>
      <c r="RLV1"/>
      <c r="RLW1"/>
      <c r="RLX1"/>
      <c r="RLY1"/>
      <c r="RLZ1"/>
      <c r="RMA1"/>
      <c r="RMB1"/>
      <c r="RMC1"/>
      <c r="RMD1"/>
      <c r="RME1"/>
      <c r="RMF1"/>
      <c r="RMG1"/>
      <c r="RMH1"/>
      <c r="RMI1"/>
      <c r="RMJ1"/>
      <c r="RMK1"/>
      <c r="RML1"/>
      <c r="RMM1"/>
      <c r="RMN1"/>
      <c r="RMO1"/>
      <c r="RMP1"/>
      <c r="RMQ1"/>
      <c r="RMR1"/>
      <c r="RMS1"/>
      <c r="RMT1"/>
      <c r="RMU1"/>
      <c r="RMV1"/>
      <c r="RMW1"/>
      <c r="RMX1"/>
      <c r="RMY1"/>
      <c r="RMZ1"/>
      <c r="RNA1"/>
      <c r="RNB1"/>
      <c r="RNC1"/>
      <c r="RND1"/>
      <c r="RNE1"/>
      <c r="RNF1"/>
      <c r="RNG1"/>
      <c r="RNH1"/>
      <c r="RNI1"/>
      <c r="RNJ1"/>
      <c r="RNK1"/>
      <c r="RNL1"/>
      <c r="RNM1"/>
      <c r="RNN1"/>
      <c r="RNO1"/>
      <c r="RNP1"/>
      <c r="RNQ1"/>
      <c r="RNR1"/>
      <c r="RNS1"/>
      <c r="RNT1"/>
      <c r="RNU1"/>
      <c r="RNV1"/>
      <c r="RNW1"/>
      <c r="RNX1"/>
      <c r="RNY1"/>
      <c r="RNZ1"/>
      <c r="ROA1"/>
      <c r="ROB1"/>
      <c r="ROC1"/>
      <c r="ROD1"/>
      <c r="ROE1"/>
      <c r="ROF1"/>
      <c r="ROG1"/>
      <c r="ROH1"/>
      <c r="ROI1"/>
      <c r="ROJ1"/>
      <c r="ROK1"/>
      <c r="ROL1"/>
      <c r="ROM1"/>
      <c r="RON1"/>
      <c r="ROO1"/>
      <c r="ROP1"/>
      <c r="ROQ1"/>
      <c r="ROR1"/>
      <c r="ROS1"/>
      <c r="ROT1"/>
      <c r="ROU1"/>
      <c r="ROV1"/>
      <c r="ROW1"/>
      <c r="ROX1"/>
      <c r="ROY1"/>
      <c r="ROZ1"/>
      <c r="RPA1"/>
      <c r="RPB1"/>
      <c r="RPC1"/>
      <c r="RPD1"/>
      <c r="RPE1"/>
      <c r="RPF1"/>
      <c r="RPG1"/>
      <c r="RPH1"/>
      <c r="RPI1"/>
      <c r="RPJ1"/>
      <c r="RPK1"/>
      <c r="RPL1"/>
      <c r="RPM1"/>
      <c r="RPN1"/>
      <c r="RPO1"/>
      <c r="RPP1"/>
      <c r="RPQ1"/>
      <c r="RPR1"/>
      <c r="RPS1"/>
      <c r="RPT1"/>
      <c r="RPU1"/>
      <c r="RPV1"/>
      <c r="RPW1"/>
      <c r="RPX1"/>
      <c r="RPY1"/>
      <c r="RPZ1"/>
      <c r="RQA1"/>
      <c r="RQB1"/>
      <c r="RQC1"/>
      <c r="RQD1"/>
      <c r="RQE1"/>
      <c r="RQF1"/>
      <c r="RQG1"/>
      <c r="RQH1"/>
      <c r="RQI1"/>
      <c r="RQJ1"/>
      <c r="RQK1"/>
      <c r="RQL1"/>
      <c r="RQM1"/>
      <c r="RQN1"/>
      <c r="RQO1"/>
      <c r="RQP1"/>
      <c r="RQQ1"/>
      <c r="RQR1"/>
      <c r="RQS1"/>
      <c r="RQT1"/>
      <c r="RQU1"/>
      <c r="RQV1"/>
      <c r="RQW1"/>
      <c r="RQX1"/>
      <c r="RQY1"/>
      <c r="RQZ1"/>
      <c r="RRA1"/>
      <c r="RRB1"/>
      <c r="RRC1"/>
      <c r="RRD1"/>
      <c r="RRE1"/>
      <c r="RRF1"/>
      <c r="RRG1"/>
      <c r="RRH1"/>
      <c r="RRI1"/>
      <c r="RRJ1"/>
      <c r="RRK1"/>
      <c r="RRL1"/>
      <c r="RRM1"/>
      <c r="RRN1"/>
      <c r="RRO1"/>
      <c r="RRP1"/>
      <c r="RRQ1"/>
      <c r="RRR1"/>
      <c r="RRS1"/>
      <c r="RRT1"/>
      <c r="RRU1"/>
      <c r="RRV1"/>
      <c r="RRW1"/>
      <c r="RRX1"/>
      <c r="RRY1"/>
      <c r="RRZ1"/>
      <c r="RSA1"/>
      <c r="RSB1"/>
      <c r="RSC1"/>
      <c r="RSD1"/>
      <c r="RSE1"/>
      <c r="RSF1"/>
      <c r="RSG1"/>
      <c r="RSH1"/>
      <c r="RSI1"/>
      <c r="RSJ1"/>
      <c r="RSK1"/>
      <c r="RSL1"/>
      <c r="RSM1"/>
      <c r="RSN1"/>
      <c r="RSO1"/>
      <c r="RSP1"/>
      <c r="RSQ1"/>
      <c r="RSR1"/>
      <c r="RSS1"/>
      <c r="RST1"/>
      <c r="RSU1"/>
      <c r="RSV1"/>
      <c r="RSW1"/>
      <c r="RSX1"/>
      <c r="RSY1"/>
      <c r="RSZ1"/>
      <c r="RTA1"/>
      <c r="RTB1"/>
      <c r="RTC1"/>
      <c r="RTD1"/>
      <c r="RTE1"/>
      <c r="RTF1"/>
      <c r="RTG1"/>
      <c r="RTH1"/>
      <c r="RTI1"/>
      <c r="RTJ1"/>
      <c r="RTK1"/>
      <c r="RTL1"/>
      <c r="RTM1"/>
      <c r="RTN1"/>
      <c r="RTO1"/>
      <c r="RTP1"/>
      <c r="RTQ1"/>
      <c r="RTR1"/>
      <c r="RTS1"/>
      <c r="RTT1"/>
      <c r="RTU1"/>
      <c r="RTV1"/>
      <c r="RTW1"/>
      <c r="RTX1"/>
      <c r="RTY1"/>
      <c r="RTZ1"/>
      <c r="RUA1"/>
      <c r="RUB1"/>
      <c r="RUC1"/>
      <c r="RUD1"/>
      <c r="RUE1"/>
      <c r="RUF1"/>
      <c r="RUG1"/>
      <c r="RUH1"/>
      <c r="RUI1"/>
      <c r="RUJ1"/>
      <c r="RUK1"/>
      <c r="RUL1"/>
      <c r="RUM1"/>
      <c r="RUN1"/>
      <c r="RUO1"/>
      <c r="RUP1"/>
      <c r="RUQ1"/>
      <c r="RUR1"/>
      <c r="RUS1"/>
      <c r="RUT1"/>
      <c r="RUU1"/>
      <c r="RUV1"/>
      <c r="RUW1"/>
      <c r="RUX1"/>
      <c r="RUY1"/>
      <c r="RUZ1"/>
      <c r="RVA1"/>
      <c r="RVB1"/>
      <c r="RVC1"/>
      <c r="RVD1"/>
      <c r="RVE1"/>
      <c r="RVF1"/>
      <c r="RVG1"/>
      <c r="RVH1"/>
      <c r="RVI1"/>
      <c r="RVJ1"/>
      <c r="RVK1"/>
      <c r="RVL1"/>
      <c r="RVM1"/>
      <c r="RVN1"/>
      <c r="RVO1"/>
      <c r="RVP1"/>
      <c r="RVQ1"/>
      <c r="RVR1"/>
      <c r="RVS1"/>
      <c r="RVT1"/>
      <c r="RVU1"/>
      <c r="RVV1"/>
      <c r="RVW1"/>
      <c r="RVX1"/>
      <c r="RVY1"/>
      <c r="RVZ1"/>
      <c r="RWA1"/>
      <c r="RWB1"/>
      <c r="RWC1"/>
      <c r="RWD1"/>
      <c r="RWE1"/>
      <c r="RWF1"/>
      <c r="RWG1"/>
      <c r="RWH1"/>
      <c r="RWI1"/>
      <c r="RWJ1"/>
      <c r="RWK1"/>
      <c r="RWL1"/>
      <c r="RWM1"/>
      <c r="RWN1"/>
      <c r="RWO1"/>
      <c r="RWP1"/>
      <c r="RWQ1"/>
      <c r="RWR1"/>
      <c r="RWS1"/>
      <c r="RWT1"/>
      <c r="RWU1"/>
      <c r="RWV1"/>
      <c r="RWW1"/>
      <c r="RWX1"/>
      <c r="RWY1"/>
      <c r="RWZ1"/>
      <c r="RXA1"/>
      <c r="RXB1"/>
      <c r="RXC1"/>
      <c r="RXD1"/>
      <c r="RXE1"/>
      <c r="RXF1"/>
      <c r="RXG1"/>
      <c r="RXH1"/>
      <c r="RXI1"/>
      <c r="RXJ1"/>
      <c r="RXK1"/>
      <c r="RXL1"/>
      <c r="RXM1"/>
      <c r="RXN1"/>
      <c r="RXO1"/>
      <c r="RXP1"/>
      <c r="RXQ1"/>
      <c r="RXR1"/>
      <c r="RXS1"/>
      <c r="RXT1"/>
      <c r="RXU1"/>
      <c r="RXV1"/>
      <c r="RXW1"/>
      <c r="RXX1"/>
      <c r="RXY1"/>
      <c r="RXZ1"/>
      <c r="RYA1"/>
      <c r="RYB1"/>
      <c r="RYC1"/>
      <c r="RYD1"/>
      <c r="RYE1"/>
      <c r="RYF1"/>
      <c r="RYG1"/>
      <c r="RYH1"/>
      <c r="RYI1"/>
      <c r="RYJ1"/>
      <c r="RYK1"/>
      <c r="RYL1"/>
      <c r="RYM1"/>
      <c r="RYN1"/>
      <c r="RYO1"/>
      <c r="RYP1"/>
      <c r="RYQ1"/>
      <c r="RYR1"/>
      <c r="RYS1"/>
      <c r="RYT1"/>
      <c r="RYU1"/>
      <c r="RYV1"/>
      <c r="RYW1"/>
      <c r="RYX1"/>
      <c r="RYY1"/>
      <c r="RYZ1"/>
      <c r="RZA1"/>
      <c r="RZB1"/>
      <c r="RZC1"/>
      <c r="RZD1"/>
      <c r="RZE1"/>
      <c r="RZF1"/>
      <c r="RZG1"/>
      <c r="RZH1"/>
      <c r="RZI1"/>
      <c r="RZJ1"/>
      <c r="RZK1"/>
      <c r="RZL1"/>
      <c r="RZM1"/>
      <c r="RZN1"/>
      <c r="RZO1"/>
      <c r="RZP1"/>
      <c r="RZQ1"/>
      <c r="RZR1"/>
      <c r="RZS1"/>
      <c r="RZT1"/>
      <c r="RZU1"/>
      <c r="RZV1"/>
      <c r="RZW1"/>
      <c r="RZX1"/>
      <c r="RZY1"/>
      <c r="RZZ1"/>
      <c r="SAA1"/>
      <c r="SAB1"/>
      <c r="SAC1"/>
      <c r="SAD1"/>
      <c r="SAE1"/>
      <c r="SAF1"/>
      <c r="SAG1"/>
      <c r="SAH1"/>
      <c r="SAI1"/>
      <c r="SAJ1"/>
      <c r="SAK1"/>
      <c r="SAL1"/>
      <c r="SAM1"/>
      <c r="SAN1"/>
      <c r="SAO1"/>
      <c r="SAP1"/>
      <c r="SAQ1"/>
      <c r="SAR1"/>
      <c r="SAS1"/>
      <c r="SAT1"/>
      <c r="SAU1"/>
      <c r="SAV1"/>
      <c r="SAW1"/>
      <c r="SAX1"/>
      <c r="SAY1"/>
      <c r="SAZ1"/>
      <c r="SBA1"/>
      <c r="SBB1"/>
      <c r="SBC1"/>
      <c r="SBD1"/>
      <c r="SBE1"/>
      <c r="SBF1"/>
      <c r="SBG1"/>
      <c r="SBH1"/>
      <c r="SBI1"/>
      <c r="SBJ1"/>
      <c r="SBK1"/>
      <c r="SBL1"/>
      <c r="SBM1"/>
      <c r="SBN1"/>
      <c r="SBO1"/>
      <c r="SBP1"/>
      <c r="SBQ1"/>
      <c r="SBR1"/>
      <c r="SBS1"/>
      <c r="SBT1"/>
      <c r="SBU1"/>
      <c r="SBV1"/>
      <c r="SBW1"/>
      <c r="SBX1"/>
      <c r="SBY1"/>
      <c r="SBZ1"/>
      <c r="SCA1"/>
      <c r="SCB1"/>
      <c r="SCC1"/>
      <c r="SCD1"/>
      <c r="SCE1"/>
      <c r="SCF1"/>
      <c r="SCG1"/>
      <c r="SCH1"/>
      <c r="SCI1"/>
      <c r="SCJ1"/>
      <c r="SCK1"/>
      <c r="SCL1"/>
      <c r="SCM1"/>
      <c r="SCN1"/>
      <c r="SCO1"/>
      <c r="SCP1"/>
      <c r="SCQ1"/>
      <c r="SCR1"/>
      <c r="SCS1"/>
      <c r="SCT1"/>
      <c r="SCU1"/>
      <c r="SCV1"/>
      <c r="SCW1"/>
      <c r="SCX1"/>
      <c r="SCY1"/>
      <c r="SCZ1"/>
      <c r="SDA1"/>
      <c r="SDB1"/>
      <c r="SDC1"/>
      <c r="SDD1"/>
      <c r="SDE1"/>
      <c r="SDF1"/>
      <c r="SDG1"/>
      <c r="SDH1"/>
      <c r="SDI1"/>
      <c r="SDJ1"/>
      <c r="SDK1"/>
      <c r="SDL1"/>
      <c r="SDM1"/>
      <c r="SDN1"/>
      <c r="SDO1"/>
      <c r="SDP1"/>
      <c r="SDQ1"/>
      <c r="SDR1"/>
      <c r="SDS1"/>
      <c r="SDT1"/>
      <c r="SDU1"/>
      <c r="SDV1"/>
      <c r="SDW1"/>
      <c r="SDX1"/>
      <c r="SDY1"/>
      <c r="SDZ1"/>
      <c r="SEA1"/>
      <c r="SEB1"/>
      <c r="SEC1"/>
      <c r="SED1"/>
      <c r="SEE1"/>
      <c r="SEF1"/>
      <c r="SEG1"/>
      <c r="SEH1"/>
      <c r="SEI1"/>
      <c r="SEJ1"/>
      <c r="SEK1"/>
      <c r="SEL1"/>
      <c r="SEM1"/>
      <c r="SEN1"/>
      <c r="SEO1"/>
      <c r="SEP1"/>
      <c r="SEQ1"/>
      <c r="SER1"/>
      <c r="SES1"/>
      <c r="SET1"/>
      <c r="SEU1"/>
      <c r="SEV1"/>
      <c r="SEW1"/>
      <c r="SEX1"/>
      <c r="SEY1"/>
      <c r="SEZ1"/>
      <c r="SFA1"/>
      <c r="SFB1"/>
      <c r="SFC1"/>
      <c r="SFD1"/>
      <c r="SFE1"/>
      <c r="SFF1"/>
      <c r="SFG1"/>
      <c r="SFH1"/>
      <c r="SFI1"/>
      <c r="SFJ1"/>
      <c r="SFK1"/>
      <c r="SFL1"/>
      <c r="SFM1"/>
      <c r="SFN1"/>
      <c r="SFO1"/>
      <c r="SFP1"/>
      <c r="SFQ1"/>
      <c r="SFR1"/>
      <c r="SFS1"/>
      <c r="SFT1"/>
      <c r="SFU1"/>
      <c r="SFV1"/>
      <c r="SFW1"/>
      <c r="SFX1"/>
      <c r="SFY1"/>
      <c r="SFZ1"/>
      <c r="SGA1"/>
      <c r="SGB1"/>
      <c r="SGC1"/>
      <c r="SGD1"/>
      <c r="SGE1"/>
      <c r="SGF1"/>
      <c r="SGG1"/>
      <c r="SGH1"/>
      <c r="SGI1"/>
      <c r="SGJ1"/>
      <c r="SGK1"/>
      <c r="SGL1"/>
      <c r="SGM1"/>
      <c r="SGN1"/>
      <c r="SGO1"/>
      <c r="SGP1"/>
      <c r="SGQ1"/>
      <c r="SGR1"/>
      <c r="SGS1"/>
      <c r="SGT1"/>
      <c r="SGU1"/>
      <c r="SGV1"/>
      <c r="SGW1"/>
      <c r="SGX1"/>
      <c r="SGY1"/>
      <c r="SGZ1"/>
      <c r="SHA1"/>
      <c r="SHB1"/>
      <c r="SHC1"/>
      <c r="SHD1"/>
      <c r="SHE1"/>
      <c r="SHF1"/>
      <c r="SHG1"/>
      <c r="SHH1"/>
      <c r="SHI1"/>
      <c r="SHJ1"/>
      <c r="SHK1"/>
      <c r="SHL1"/>
      <c r="SHM1"/>
      <c r="SHN1"/>
      <c r="SHO1"/>
      <c r="SHP1"/>
      <c r="SHQ1"/>
      <c r="SHR1"/>
      <c r="SHS1"/>
      <c r="SHT1"/>
      <c r="SHU1"/>
      <c r="SHV1"/>
      <c r="SHW1"/>
      <c r="SHX1"/>
      <c r="SHY1"/>
      <c r="SHZ1"/>
      <c r="SIA1"/>
      <c r="SIB1"/>
      <c r="SIC1"/>
      <c r="SID1"/>
      <c r="SIE1"/>
      <c r="SIF1"/>
      <c r="SIG1"/>
      <c r="SIH1"/>
      <c r="SII1"/>
      <c r="SIJ1"/>
      <c r="SIK1"/>
      <c r="SIL1"/>
      <c r="SIM1"/>
      <c r="SIN1"/>
      <c r="SIO1"/>
      <c r="SIP1"/>
      <c r="SIQ1"/>
      <c r="SIR1"/>
      <c r="SIS1"/>
      <c r="SIT1"/>
      <c r="SIU1"/>
      <c r="SIV1"/>
      <c r="SIW1"/>
      <c r="SIX1"/>
      <c r="SIY1"/>
      <c r="SIZ1"/>
      <c r="SJA1"/>
      <c r="SJB1"/>
      <c r="SJC1"/>
      <c r="SJD1"/>
      <c r="SJE1"/>
      <c r="SJF1"/>
      <c r="SJG1"/>
      <c r="SJH1"/>
      <c r="SJI1"/>
      <c r="SJJ1"/>
      <c r="SJK1"/>
      <c r="SJL1"/>
      <c r="SJM1"/>
      <c r="SJN1"/>
      <c r="SJO1"/>
      <c r="SJP1"/>
      <c r="SJQ1"/>
      <c r="SJR1"/>
      <c r="SJS1"/>
      <c r="SJT1"/>
      <c r="SJU1"/>
      <c r="SJV1"/>
      <c r="SJW1"/>
      <c r="SJX1"/>
      <c r="SJY1"/>
      <c r="SJZ1"/>
      <c r="SKA1"/>
      <c r="SKB1"/>
      <c r="SKC1"/>
      <c r="SKD1"/>
      <c r="SKE1"/>
      <c r="SKF1"/>
      <c r="SKG1"/>
      <c r="SKH1"/>
      <c r="SKI1"/>
      <c r="SKJ1"/>
      <c r="SKK1"/>
      <c r="SKL1"/>
      <c r="SKM1"/>
      <c r="SKN1"/>
      <c r="SKO1"/>
      <c r="SKP1"/>
      <c r="SKQ1"/>
      <c r="SKR1"/>
      <c r="SKS1"/>
      <c r="SKT1"/>
      <c r="SKU1"/>
      <c r="SKV1"/>
      <c r="SKW1"/>
      <c r="SKX1"/>
      <c r="SKY1"/>
      <c r="SKZ1"/>
      <c r="SLA1"/>
      <c r="SLB1"/>
      <c r="SLC1"/>
      <c r="SLD1"/>
      <c r="SLE1"/>
      <c r="SLF1"/>
      <c r="SLG1"/>
      <c r="SLH1"/>
      <c r="SLI1"/>
      <c r="SLJ1"/>
      <c r="SLK1"/>
      <c r="SLL1"/>
      <c r="SLM1"/>
      <c r="SLN1"/>
      <c r="SLO1"/>
      <c r="SLP1"/>
      <c r="SLQ1"/>
      <c r="SLR1"/>
      <c r="SLS1"/>
      <c r="SLT1"/>
      <c r="SLU1"/>
      <c r="SLV1"/>
      <c r="SLW1"/>
      <c r="SLX1"/>
      <c r="SLY1"/>
      <c r="SLZ1"/>
      <c r="SMA1"/>
      <c r="SMB1"/>
      <c r="SMC1"/>
      <c r="SMD1"/>
      <c r="SME1"/>
      <c r="SMF1"/>
      <c r="SMG1"/>
      <c r="SMH1"/>
      <c r="SMI1"/>
      <c r="SMJ1"/>
      <c r="SMK1"/>
      <c r="SML1"/>
      <c r="SMM1"/>
      <c r="SMN1"/>
      <c r="SMO1"/>
      <c r="SMP1"/>
      <c r="SMQ1"/>
      <c r="SMR1"/>
      <c r="SMS1"/>
      <c r="SMT1"/>
      <c r="SMU1"/>
      <c r="SMV1"/>
      <c r="SMW1"/>
      <c r="SMX1"/>
      <c r="SMY1"/>
      <c r="SMZ1"/>
      <c r="SNA1"/>
      <c r="SNB1"/>
      <c r="SNC1"/>
      <c r="SND1"/>
      <c r="SNE1"/>
      <c r="SNF1"/>
      <c r="SNG1"/>
      <c r="SNH1"/>
      <c r="SNI1"/>
      <c r="SNJ1"/>
      <c r="SNK1"/>
      <c r="SNL1"/>
      <c r="SNM1"/>
      <c r="SNN1"/>
      <c r="SNO1"/>
      <c r="SNP1"/>
      <c r="SNQ1"/>
      <c r="SNR1"/>
      <c r="SNS1"/>
      <c r="SNT1"/>
      <c r="SNU1"/>
      <c r="SNV1"/>
      <c r="SNW1"/>
      <c r="SNX1"/>
      <c r="SNY1"/>
      <c r="SNZ1"/>
      <c r="SOA1"/>
      <c r="SOB1"/>
      <c r="SOC1"/>
      <c r="SOD1"/>
      <c r="SOE1"/>
      <c r="SOF1"/>
      <c r="SOG1"/>
      <c r="SOH1"/>
      <c r="SOI1"/>
      <c r="SOJ1"/>
      <c r="SOK1"/>
      <c r="SOL1"/>
      <c r="SOM1"/>
      <c r="SON1"/>
      <c r="SOO1"/>
      <c r="SOP1"/>
      <c r="SOQ1"/>
      <c r="SOR1"/>
      <c r="SOS1"/>
      <c r="SOT1"/>
      <c r="SOU1"/>
      <c r="SOV1"/>
      <c r="SOW1"/>
      <c r="SOX1"/>
      <c r="SOY1"/>
      <c r="SOZ1"/>
      <c r="SPA1"/>
      <c r="SPB1"/>
      <c r="SPC1"/>
      <c r="SPD1"/>
      <c r="SPE1"/>
      <c r="SPF1"/>
      <c r="SPG1"/>
      <c r="SPH1"/>
      <c r="SPI1"/>
      <c r="SPJ1"/>
      <c r="SPK1"/>
      <c r="SPL1"/>
      <c r="SPM1"/>
      <c r="SPN1"/>
      <c r="SPO1"/>
      <c r="SPP1"/>
      <c r="SPQ1"/>
      <c r="SPR1"/>
      <c r="SPS1"/>
      <c r="SPT1"/>
      <c r="SPU1"/>
      <c r="SPV1"/>
      <c r="SPW1"/>
      <c r="SPX1"/>
      <c r="SPY1"/>
      <c r="SPZ1"/>
      <c r="SQA1"/>
      <c r="SQB1"/>
      <c r="SQC1"/>
      <c r="SQD1"/>
      <c r="SQE1"/>
      <c r="SQF1"/>
      <c r="SQG1"/>
      <c r="SQH1"/>
      <c r="SQI1"/>
      <c r="SQJ1"/>
      <c r="SQK1"/>
      <c r="SQL1"/>
      <c r="SQM1"/>
      <c r="SQN1"/>
      <c r="SQO1"/>
      <c r="SQP1"/>
      <c r="SQQ1"/>
      <c r="SQR1"/>
      <c r="SQS1"/>
      <c r="SQT1"/>
      <c r="SQU1"/>
      <c r="SQV1"/>
      <c r="SQW1"/>
      <c r="SQX1"/>
      <c r="SQY1"/>
      <c r="SQZ1"/>
      <c r="SRA1"/>
      <c r="SRB1"/>
      <c r="SRC1"/>
      <c r="SRD1"/>
      <c r="SRE1"/>
      <c r="SRF1"/>
      <c r="SRG1"/>
      <c r="SRH1"/>
      <c r="SRI1"/>
      <c r="SRJ1"/>
      <c r="SRK1"/>
      <c r="SRL1"/>
      <c r="SRM1"/>
      <c r="SRN1"/>
      <c r="SRO1"/>
      <c r="SRP1"/>
      <c r="SRQ1"/>
      <c r="SRR1"/>
      <c r="SRS1"/>
      <c r="SRT1"/>
      <c r="SRU1"/>
      <c r="SRV1"/>
      <c r="SRW1"/>
      <c r="SRX1"/>
      <c r="SRY1"/>
      <c r="SRZ1"/>
      <c r="SSA1"/>
      <c r="SSB1"/>
      <c r="SSC1"/>
      <c r="SSD1"/>
      <c r="SSE1"/>
      <c r="SSF1"/>
      <c r="SSG1"/>
      <c r="SSH1"/>
      <c r="SSI1"/>
      <c r="SSJ1"/>
      <c r="SSK1"/>
      <c r="SSL1"/>
      <c r="SSM1"/>
      <c r="SSN1"/>
      <c r="SSO1"/>
      <c r="SSP1"/>
      <c r="SSQ1"/>
      <c r="SSR1"/>
      <c r="SSS1"/>
      <c r="SST1"/>
      <c r="SSU1"/>
      <c r="SSV1"/>
      <c r="SSW1"/>
      <c r="SSX1"/>
      <c r="SSY1"/>
      <c r="SSZ1"/>
      <c r="STA1"/>
      <c r="STB1"/>
      <c r="STC1"/>
      <c r="STD1"/>
      <c r="STE1"/>
      <c r="STF1"/>
      <c r="STG1"/>
      <c r="STH1"/>
      <c r="STI1"/>
      <c r="STJ1"/>
      <c r="STK1"/>
      <c r="STL1"/>
      <c r="STM1"/>
      <c r="STN1"/>
      <c r="STO1"/>
      <c r="STP1"/>
      <c r="STQ1"/>
      <c r="STR1"/>
      <c r="STS1"/>
      <c r="STT1"/>
      <c r="STU1"/>
      <c r="STV1"/>
      <c r="STW1"/>
      <c r="STX1"/>
      <c r="STY1"/>
      <c r="STZ1"/>
      <c r="SUA1"/>
      <c r="SUB1"/>
      <c r="SUC1"/>
      <c r="SUD1"/>
      <c r="SUE1"/>
      <c r="SUF1"/>
      <c r="SUG1"/>
      <c r="SUH1"/>
      <c r="SUI1"/>
      <c r="SUJ1"/>
      <c r="SUK1"/>
      <c r="SUL1"/>
      <c r="SUM1"/>
      <c r="SUN1"/>
      <c r="SUO1"/>
      <c r="SUP1"/>
      <c r="SUQ1"/>
      <c r="SUR1"/>
      <c r="SUS1"/>
      <c r="SUT1"/>
      <c r="SUU1"/>
      <c r="SUV1"/>
      <c r="SUW1"/>
      <c r="SUX1"/>
      <c r="SUY1"/>
      <c r="SUZ1"/>
      <c r="SVA1"/>
      <c r="SVB1"/>
      <c r="SVC1"/>
      <c r="SVD1"/>
      <c r="SVE1"/>
      <c r="SVF1"/>
      <c r="SVG1"/>
      <c r="SVH1"/>
      <c r="SVI1"/>
      <c r="SVJ1"/>
      <c r="SVK1"/>
      <c r="SVL1"/>
      <c r="SVM1"/>
      <c r="SVN1"/>
      <c r="SVO1"/>
      <c r="SVP1"/>
      <c r="SVQ1"/>
      <c r="SVR1"/>
      <c r="SVS1"/>
      <c r="SVT1"/>
      <c r="SVU1"/>
      <c r="SVV1"/>
      <c r="SVW1"/>
      <c r="SVX1"/>
      <c r="SVY1"/>
      <c r="SVZ1"/>
      <c r="SWA1"/>
      <c r="SWB1"/>
      <c r="SWC1"/>
      <c r="SWD1"/>
      <c r="SWE1"/>
      <c r="SWF1"/>
      <c r="SWG1"/>
      <c r="SWH1"/>
      <c r="SWI1"/>
      <c r="SWJ1"/>
      <c r="SWK1"/>
      <c r="SWL1"/>
      <c r="SWM1"/>
      <c r="SWN1"/>
      <c r="SWO1"/>
      <c r="SWP1"/>
      <c r="SWQ1"/>
      <c r="SWR1"/>
      <c r="SWS1"/>
      <c r="SWT1"/>
      <c r="SWU1"/>
      <c r="SWV1"/>
      <c r="SWW1"/>
      <c r="SWX1"/>
      <c r="SWY1"/>
      <c r="SWZ1"/>
      <c r="SXA1"/>
      <c r="SXB1"/>
      <c r="SXC1"/>
      <c r="SXD1"/>
      <c r="SXE1"/>
      <c r="SXF1"/>
      <c r="SXG1"/>
      <c r="SXH1"/>
      <c r="SXI1"/>
      <c r="SXJ1"/>
      <c r="SXK1"/>
      <c r="SXL1"/>
      <c r="SXM1"/>
      <c r="SXN1"/>
      <c r="SXO1"/>
      <c r="SXP1"/>
      <c r="SXQ1"/>
      <c r="SXR1"/>
      <c r="SXS1"/>
      <c r="SXT1"/>
      <c r="SXU1"/>
      <c r="SXV1"/>
      <c r="SXW1"/>
      <c r="SXX1"/>
      <c r="SXY1"/>
      <c r="SXZ1"/>
      <c r="SYA1"/>
      <c r="SYB1"/>
      <c r="SYC1"/>
      <c r="SYD1"/>
      <c r="SYE1"/>
      <c r="SYF1"/>
      <c r="SYG1"/>
      <c r="SYH1"/>
      <c r="SYI1"/>
      <c r="SYJ1"/>
      <c r="SYK1"/>
      <c r="SYL1"/>
      <c r="SYM1"/>
      <c r="SYN1"/>
      <c r="SYO1"/>
      <c r="SYP1"/>
      <c r="SYQ1"/>
      <c r="SYR1"/>
      <c r="SYS1"/>
      <c r="SYT1"/>
      <c r="SYU1"/>
      <c r="SYV1"/>
      <c r="SYW1"/>
      <c r="SYX1"/>
      <c r="SYY1"/>
      <c r="SYZ1"/>
      <c r="SZA1"/>
      <c r="SZB1"/>
      <c r="SZC1"/>
      <c r="SZD1"/>
      <c r="SZE1"/>
      <c r="SZF1"/>
      <c r="SZG1"/>
      <c r="SZH1"/>
      <c r="SZI1"/>
      <c r="SZJ1"/>
      <c r="SZK1"/>
      <c r="SZL1"/>
      <c r="SZM1"/>
      <c r="SZN1"/>
      <c r="SZO1"/>
      <c r="SZP1"/>
      <c r="SZQ1"/>
      <c r="SZR1"/>
      <c r="SZS1"/>
      <c r="SZT1"/>
      <c r="SZU1"/>
      <c r="SZV1"/>
      <c r="SZW1"/>
      <c r="SZX1"/>
      <c r="SZY1"/>
      <c r="SZZ1"/>
      <c r="TAA1"/>
      <c r="TAB1"/>
      <c r="TAC1"/>
      <c r="TAD1"/>
      <c r="TAE1"/>
      <c r="TAF1"/>
      <c r="TAG1"/>
      <c r="TAH1"/>
      <c r="TAI1"/>
      <c r="TAJ1"/>
      <c r="TAK1"/>
      <c r="TAL1"/>
      <c r="TAM1"/>
      <c r="TAN1"/>
      <c r="TAO1"/>
      <c r="TAP1"/>
      <c r="TAQ1"/>
      <c r="TAR1"/>
      <c r="TAS1"/>
      <c r="TAT1"/>
      <c r="TAU1"/>
      <c r="TAV1"/>
      <c r="TAW1"/>
      <c r="TAX1"/>
      <c r="TAY1"/>
      <c r="TAZ1"/>
      <c r="TBA1"/>
      <c r="TBB1"/>
      <c r="TBC1"/>
      <c r="TBD1"/>
      <c r="TBE1"/>
      <c r="TBF1"/>
      <c r="TBG1"/>
      <c r="TBH1"/>
      <c r="TBI1"/>
      <c r="TBJ1"/>
      <c r="TBK1"/>
      <c r="TBL1"/>
      <c r="TBM1"/>
      <c r="TBN1"/>
      <c r="TBO1"/>
      <c r="TBP1"/>
      <c r="TBQ1"/>
      <c r="TBR1"/>
      <c r="TBS1"/>
      <c r="TBT1"/>
      <c r="TBU1"/>
      <c r="TBV1"/>
      <c r="TBW1"/>
      <c r="TBX1"/>
      <c r="TBY1"/>
      <c r="TBZ1"/>
      <c r="TCA1"/>
      <c r="TCB1"/>
      <c r="TCC1"/>
      <c r="TCD1"/>
      <c r="TCE1"/>
      <c r="TCF1"/>
      <c r="TCG1"/>
      <c r="TCH1"/>
      <c r="TCI1"/>
      <c r="TCJ1"/>
      <c r="TCK1"/>
      <c r="TCL1"/>
      <c r="TCM1"/>
      <c r="TCN1"/>
      <c r="TCO1"/>
      <c r="TCP1"/>
      <c r="TCQ1"/>
      <c r="TCR1"/>
      <c r="TCS1"/>
      <c r="TCT1"/>
      <c r="TCU1"/>
      <c r="TCV1"/>
      <c r="TCW1"/>
      <c r="TCX1"/>
      <c r="TCY1"/>
      <c r="TCZ1"/>
      <c r="TDA1"/>
      <c r="TDB1"/>
      <c r="TDC1"/>
      <c r="TDD1"/>
      <c r="TDE1"/>
      <c r="TDF1"/>
      <c r="TDG1"/>
      <c r="TDH1"/>
      <c r="TDI1"/>
      <c r="TDJ1"/>
      <c r="TDK1"/>
      <c r="TDL1"/>
      <c r="TDM1"/>
      <c r="TDN1"/>
      <c r="TDO1"/>
      <c r="TDP1"/>
      <c r="TDQ1"/>
      <c r="TDR1"/>
      <c r="TDS1"/>
      <c r="TDT1"/>
      <c r="TDU1"/>
      <c r="TDV1"/>
      <c r="TDW1"/>
      <c r="TDX1"/>
      <c r="TDY1"/>
      <c r="TDZ1"/>
      <c r="TEA1"/>
      <c r="TEB1"/>
      <c r="TEC1"/>
      <c r="TED1"/>
      <c r="TEE1"/>
      <c r="TEF1"/>
      <c r="TEG1"/>
      <c r="TEH1"/>
      <c r="TEI1"/>
      <c r="TEJ1"/>
      <c r="TEK1"/>
      <c r="TEL1"/>
      <c r="TEM1"/>
      <c r="TEN1"/>
      <c r="TEO1"/>
      <c r="TEP1"/>
      <c r="TEQ1"/>
      <c r="TER1"/>
      <c r="TES1"/>
      <c r="TET1"/>
      <c r="TEU1"/>
      <c r="TEV1"/>
      <c r="TEW1"/>
      <c r="TEX1"/>
      <c r="TEY1"/>
      <c r="TEZ1"/>
      <c r="TFA1"/>
      <c r="TFB1"/>
      <c r="TFC1"/>
      <c r="TFD1"/>
      <c r="TFE1"/>
      <c r="TFF1"/>
      <c r="TFG1"/>
      <c r="TFH1"/>
      <c r="TFI1"/>
      <c r="TFJ1"/>
      <c r="TFK1"/>
      <c r="TFL1"/>
      <c r="TFM1"/>
      <c r="TFN1"/>
      <c r="TFO1"/>
      <c r="TFP1"/>
      <c r="TFQ1"/>
      <c r="TFR1"/>
      <c r="TFS1"/>
      <c r="TFT1"/>
      <c r="TFU1"/>
      <c r="TFV1"/>
      <c r="TFW1"/>
      <c r="TFX1"/>
      <c r="TFY1"/>
      <c r="TFZ1"/>
      <c r="TGA1"/>
      <c r="TGB1"/>
      <c r="TGC1"/>
      <c r="TGD1"/>
      <c r="TGE1"/>
      <c r="TGF1"/>
      <c r="TGG1"/>
      <c r="TGH1"/>
      <c r="TGI1"/>
      <c r="TGJ1"/>
      <c r="TGK1"/>
      <c r="TGL1"/>
      <c r="TGM1"/>
      <c r="TGN1"/>
      <c r="TGO1"/>
      <c r="TGP1"/>
      <c r="TGQ1"/>
      <c r="TGR1"/>
      <c r="TGS1"/>
      <c r="TGT1"/>
      <c r="TGU1"/>
      <c r="TGV1"/>
      <c r="TGW1"/>
      <c r="TGX1"/>
      <c r="TGY1"/>
      <c r="TGZ1"/>
      <c r="THA1"/>
      <c r="THB1"/>
      <c r="THC1"/>
      <c r="THD1"/>
      <c r="THE1"/>
      <c r="THF1"/>
      <c r="THG1"/>
      <c r="THH1"/>
      <c r="THI1"/>
      <c r="THJ1"/>
      <c r="THK1"/>
      <c r="THL1"/>
      <c r="THM1"/>
      <c r="THN1"/>
      <c r="THO1"/>
      <c r="THP1"/>
      <c r="THQ1"/>
      <c r="THR1"/>
      <c r="THS1"/>
      <c r="THT1"/>
      <c r="THU1"/>
      <c r="THV1"/>
      <c r="THW1"/>
      <c r="THX1"/>
      <c r="THY1"/>
      <c r="THZ1"/>
      <c r="TIA1"/>
      <c r="TIB1"/>
      <c r="TIC1"/>
      <c r="TID1"/>
      <c r="TIE1"/>
      <c r="TIF1"/>
      <c r="TIG1"/>
      <c r="TIH1"/>
      <c r="TII1"/>
      <c r="TIJ1"/>
      <c r="TIK1"/>
      <c r="TIL1"/>
      <c r="TIM1"/>
      <c r="TIN1"/>
      <c r="TIO1"/>
      <c r="TIP1"/>
      <c r="TIQ1"/>
      <c r="TIR1"/>
      <c r="TIS1"/>
      <c r="TIT1"/>
      <c r="TIU1"/>
      <c r="TIV1"/>
      <c r="TIW1"/>
      <c r="TIX1"/>
      <c r="TIY1"/>
      <c r="TIZ1"/>
      <c r="TJA1"/>
      <c r="TJB1"/>
      <c r="TJC1"/>
      <c r="TJD1"/>
      <c r="TJE1"/>
      <c r="TJF1"/>
      <c r="TJG1"/>
      <c r="TJH1"/>
      <c r="TJI1"/>
      <c r="TJJ1"/>
      <c r="TJK1"/>
      <c r="TJL1"/>
      <c r="TJM1"/>
      <c r="TJN1"/>
      <c r="TJO1"/>
      <c r="TJP1"/>
      <c r="TJQ1"/>
      <c r="TJR1"/>
      <c r="TJS1"/>
      <c r="TJT1"/>
      <c r="TJU1"/>
      <c r="TJV1"/>
      <c r="TJW1"/>
      <c r="TJX1"/>
      <c r="TJY1"/>
      <c r="TJZ1"/>
      <c r="TKA1"/>
      <c r="TKB1"/>
      <c r="TKC1"/>
      <c r="TKD1"/>
      <c r="TKE1"/>
      <c r="TKF1"/>
      <c r="TKG1"/>
      <c r="TKH1"/>
      <c r="TKI1"/>
      <c r="TKJ1"/>
      <c r="TKK1"/>
      <c r="TKL1"/>
      <c r="TKM1"/>
      <c r="TKN1"/>
      <c r="TKO1"/>
      <c r="TKP1"/>
      <c r="TKQ1"/>
      <c r="TKR1"/>
      <c r="TKS1"/>
      <c r="TKT1"/>
      <c r="TKU1"/>
      <c r="TKV1"/>
      <c r="TKW1"/>
      <c r="TKX1"/>
      <c r="TKY1"/>
      <c r="TKZ1"/>
      <c r="TLA1"/>
      <c r="TLB1"/>
      <c r="TLC1"/>
      <c r="TLD1"/>
      <c r="TLE1"/>
      <c r="TLF1"/>
      <c r="TLG1"/>
      <c r="TLH1"/>
      <c r="TLI1"/>
      <c r="TLJ1"/>
      <c r="TLK1"/>
      <c r="TLL1"/>
      <c r="TLM1"/>
      <c r="TLN1"/>
      <c r="TLO1"/>
      <c r="TLP1"/>
      <c r="TLQ1"/>
      <c r="TLR1"/>
      <c r="TLS1"/>
      <c r="TLT1"/>
      <c r="TLU1"/>
      <c r="TLV1"/>
      <c r="TLW1"/>
      <c r="TLX1"/>
      <c r="TLY1"/>
      <c r="TLZ1"/>
      <c r="TMA1"/>
      <c r="TMB1"/>
      <c r="TMC1"/>
      <c r="TMD1"/>
      <c r="TME1"/>
      <c r="TMF1"/>
      <c r="TMG1"/>
      <c r="TMH1"/>
      <c r="TMI1"/>
      <c r="TMJ1"/>
      <c r="TMK1"/>
      <c r="TML1"/>
      <c r="TMM1"/>
      <c r="TMN1"/>
      <c r="TMO1"/>
      <c r="TMP1"/>
      <c r="TMQ1"/>
      <c r="TMR1"/>
      <c r="TMS1"/>
      <c r="TMT1"/>
      <c r="TMU1"/>
      <c r="TMV1"/>
      <c r="TMW1"/>
      <c r="TMX1"/>
      <c r="TMY1"/>
      <c r="TMZ1"/>
      <c r="TNA1"/>
      <c r="TNB1"/>
      <c r="TNC1"/>
      <c r="TND1"/>
      <c r="TNE1"/>
      <c r="TNF1"/>
      <c r="TNG1"/>
      <c r="TNH1"/>
      <c r="TNI1"/>
      <c r="TNJ1"/>
      <c r="TNK1"/>
      <c r="TNL1"/>
      <c r="TNM1"/>
      <c r="TNN1"/>
      <c r="TNO1"/>
      <c r="TNP1"/>
      <c r="TNQ1"/>
      <c r="TNR1"/>
      <c r="TNS1"/>
      <c r="TNT1"/>
      <c r="TNU1"/>
      <c r="TNV1"/>
      <c r="TNW1"/>
      <c r="TNX1"/>
      <c r="TNY1"/>
      <c r="TNZ1"/>
      <c r="TOA1"/>
      <c r="TOB1"/>
      <c r="TOC1"/>
      <c r="TOD1"/>
      <c r="TOE1"/>
      <c r="TOF1"/>
      <c r="TOG1"/>
      <c r="TOH1"/>
      <c r="TOI1"/>
      <c r="TOJ1"/>
      <c r="TOK1"/>
      <c r="TOL1"/>
      <c r="TOM1"/>
      <c r="TON1"/>
      <c r="TOO1"/>
      <c r="TOP1"/>
      <c r="TOQ1"/>
      <c r="TOR1"/>
      <c r="TOS1"/>
      <c r="TOT1"/>
      <c r="TOU1"/>
      <c r="TOV1"/>
      <c r="TOW1"/>
      <c r="TOX1"/>
      <c r="TOY1"/>
      <c r="TOZ1"/>
      <c r="TPA1"/>
      <c r="TPB1"/>
      <c r="TPC1"/>
      <c r="TPD1"/>
      <c r="TPE1"/>
      <c r="TPF1"/>
      <c r="TPG1"/>
      <c r="TPH1"/>
      <c r="TPI1"/>
      <c r="TPJ1"/>
      <c r="TPK1"/>
      <c r="TPL1"/>
      <c r="TPM1"/>
      <c r="TPN1"/>
      <c r="TPO1"/>
      <c r="TPP1"/>
      <c r="TPQ1"/>
      <c r="TPR1"/>
      <c r="TPS1"/>
      <c r="TPT1"/>
      <c r="TPU1"/>
      <c r="TPV1"/>
      <c r="TPW1"/>
      <c r="TPX1"/>
      <c r="TPY1"/>
      <c r="TPZ1"/>
      <c r="TQA1"/>
      <c r="TQB1"/>
      <c r="TQC1"/>
      <c r="TQD1"/>
      <c r="TQE1"/>
      <c r="TQF1"/>
      <c r="TQG1"/>
      <c r="TQH1"/>
      <c r="TQI1"/>
      <c r="TQJ1"/>
      <c r="TQK1"/>
      <c r="TQL1"/>
      <c r="TQM1"/>
      <c r="TQN1"/>
      <c r="TQO1"/>
      <c r="TQP1"/>
      <c r="TQQ1"/>
      <c r="TQR1"/>
      <c r="TQS1"/>
      <c r="TQT1"/>
      <c r="TQU1"/>
      <c r="TQV1"/>
      <c r="TQW1"/>
      <c r="TQX1"/>
      <c r="TQY1"/>
      <c r="TQZ1"/>
      <c r="TRA1"/>
      <c r="TRB1"/>
      <c r="TRC1"/>
      <c r="TRD1"/>
      <c r="TRE1"/>
      <c r="TRF1"/>
      <c r="TRG1"/>
      <c r="TRH1"/>
      <c r="TRI1"/>
      <c r="TRJ1"/>
      <c r="TRK1"/>
      <c r="TRL1"/>
      <c r="TRM1"/>
      <c r="TRN1"/>
      <c r="TRO1"/>
      <c r="TRP1"/>
      <c r="TRQ1"/>
      <c r="TRR1"/>
      <c r="TRS1"/>
      <c r="TRT1"/>
      <c r="TRU1"/>
      <c r="TRV1"/>
      <c r="TRW1"/>
      <c r="TRX1"/>
      <c r="TRY1"/>
      <c r="TRZ1"/>
      <c r="TSA1"/>
      <c r="TSB1"/>
      <c r="TSC1"/>
      <c r="TSD1"/>
      <c r="TSE1"/>
      <c r="TSF1"/>
      <c r="TSG1"/>
      <c r="TSH1"/>
      <c r="TSI1"/>
      <c r="TSJ1"/>
      <c r="TSK1"/>
      <c r="TSL1"/>
      <c r="TSM1"/>
      <c r="TSN1"/>
      <c r="TSO1"/>
      <c r="TSP1"/>
      <c r="TSQ1"/>
      <c r="TSR1"/>
      <c r="TSS1"/>
      <c r="TST1"/>
      <c r="TSU1"/>
      <c r="TSV1"/>
      <c r="TSW1"/>
      <c r="TSX1"/>
      <c r="TSY1"/>
      <c r="TSZ1"/>
      <c r="TTA1"/>
      <c r="TTB1"/>
      <c r="TTC1"/>
      <c r="TTD1"/>
      <c r="TTE1"/>
      <c r="TTF1"/>
      <c r="TTG1"/>
      <c r="TTH1"/>
      <c r="TTI1"/>
      <c r="TTJ1"/>
      <c r="TTK1"/>
      <c r="TTL1"/>
      <c r="TTM1"/>
      <c r="TTN1"/>
      <c r="TTO1"/>
      <c r="TTP1"/>
      <c r="TTQ1"/>
      <c r="TTR1"/>
      <c r="TTS1"/>
      <c r="TTT1"/>
      <c r="TTU1"/>
      <c r="TTV1"/>
      <c r="TTW1"/>
      <c r="TTX1"/>
      <c r="TTY1"/>
      <c r="TTZ1"/>
      <c r="TUA1"/>
      <c r="TUB1"/>
      <c r="TUC1"/>
      <c r="TUD1"/>
      <c r="TUE1"/>
      <c r="TUF1"/>
      <c r="TUG1"/>
      <c r="TUH1"/>
      <c r="TUI1"/>
      <c r="TUJ1"/>
      <c r="TUK1"/>
      <c r="TUL1"/>
      <c r="TUM1"/>
      <c r="TUN1"/>
      <c r="TUO1"/>
      <c r="TUP1"/>
      <c r="TUQ1"/>
      <c r="TUR1"/>
      <c r="TUS1"/>
      <c r="TUT1"/>
      <c r="TUU1"/>
      <c r="TUV1"/>
      <c r="TUW1"/>
      <c r="TUX1"/>
      <c r="TUY1"/>
      <c r="TUZ1"/>
      <c r="TVA1"/>
      <c r="TVB1"/>
      <c r="TVC1"/>
      <c r="TVD1"/>
      <c r="TVE1"/>
      <c r="TVF1"/>
      <c r="TVG1"/>
      <c r="TVH1"/>
      <c r="TVI1"/>
      <c r="TVJ1"/>
      <c r="TVK1"/>
      <c r="TVL1"/>
      <c r="TVM1"/>
      <c r="TVN1"/>
      <c r="TVO1"/>
      <c r="TVP1"/>
      <c r="TVQ1"/>
      <c r="TVR1"/>
      <c r="TVS1"/>
      <c r="TVT1"/>
      <c r="TVU1"/>
      <c r="TVV1"/>
      <c r="TVW1"/>
      <c r="TVX1"/>
      <c r="TVY1"/>
      <c r="TVZ1"/>
      <c r="TWA1"/>
      <c r="TWB1"/>
      <c r="TWC1"/>
      <c r="TWD1"/>
      <c r="TWE1"/>
      <c r="TWF1"/>
      <c r="TWG1"/>
      <c r="TWH1"/>
      <c r="TWI1"/>
      <c r="TWJ1"/>
      <c r="TWK1"/>
      <c r="TWL1"/>
      <c r="TWM1"/>
      <c r="TWN1"/>
      <c r="TWO1"/>
      <c r="TWP1"/>
      <c r="TWQ1"/>
      <c r="TWR1"/>
      <c r="TWS1"/>
      <c r="TWT1"/>
      <c r="TWU1"/>
      <c r="TWV1"/>
      <c r="TWW1"/>
      <c r="TWX1"/>
      <c r="TWY1"/>
      <c r="TWZ1"/>
      <c r="TXA1"/>
      <c r="TXB1"/>
      <c r="TXC1"/>
      <c r="TXD1"/>
      <c r="TXE1"/>
      <c r="TXF1"/>
      <c r="TXG1"/>
      <c r="TXH1"/>
      <c r="TXI1"/>
      <c r="TXJ1"/>
      <c r="TXK1"/>
      <c r="TXL1"/>
      <c r="TXM1"/>
      <c r="TXN1"/>
      <c r="TXO1"/>
      <c r="TXP1"/>
      <c r="TXQ1"/>
      <c r="TXR1"/>
      <c r="TXS1"/>
      <c r="TXT1"/>
      <c r="TXU1"/>
      <c r="TXV1"/>
      <c r="TXW1"/>
      <c r="TXX1"/>
      <c r="TXY1"/>
      <c r="TXZ1"/>
      <c r="TYA1"/>
      <c r="TYB1"/>
      <c r="TYC1"/>
      <c r="TYD1"/>
      <c r="TYE1"/>
      <c r="TYF1"/>
      <c r="TYG1"/>
      <c r="TYH1"/>
      <c r="TYI1"/>
      <c r="TYJ1"/>
      <c r="TYK1"/>
      <c r="TYL1"/>
      <c r="TYM1"/>
      <c r="TYN1"/>
      <c r="TYO1"/>
      <c r="TYP1"/>
      <c r="TYQ1"/>
      <c r="TYR1"/>
      <c r="TYS1"/>
      <c r="TYT1"/>
      <c r="TYU1"/>
      <c r="TYV1"/>
      <c r="TYW1"/>
      <c r="TYX1"/>
      <c r="TYY1"/>
      <c r="TYZ1"/>
      <c r="TZA1"/>
      <c r="TZB1"/>
      <c r="TZC1"/>
      <c r="TZD1"/>
      <c r="TZE1"/>
      <c r="TZF1"/>
      <c r="TZG1"/>
      <c r="TZH1"/>
      <c r="TZI1"/>
      <c r="TZJ1"/>
      <c r="TZK1"/>
      <c r="TZL1"/>
      <c r="TZM1"/>
      <c r="TZN1"/>
      <c r="TZO1"/>
      <c r="TZP1"/>
      <c r="TZQ1"/>
      <c r="TZR1"/>
      <c r="TZS1"/>
      <c r="TZT1"/>
      <c r="TZU1"/>
      <c r="TZV1"/>
      <c r="TZW1"/>
      <c r="TZX1"/>
      <c r="TZY1"/>
      <c r="TZZ1"/>
      <c r="UAA1"/>
      <c r="UAB1"/>
      <c r="UAC1"/>
      <c r="UAD1"/>
      <c r="UAE1"/>
      <c r="UAF1"/>
      <c r="UAG1"/>
      <c r="UAH1"/>
      <c r="UAI1"/>
      <c r="UAJ1"/>
      <c r="UAK1"/>
      <c r="UAL1"/>
      <c r="UAM1"/>
      <c r="UAN1"/>
      <c r="UAO1"/>
      <c r="UAP1"/>
      <c r="UAQ1"/>
      <c r="UAR1"/>
      <c r="UAS1"/>
      <c r="UAT1"/>
      <c r="UAU1"/>
      <c r="UAV1"/>
      <c r="UAW1"/>
      <c r="UAX1"/>
      <c r="UAY1"/>
      <c r="UAZ1"/>
      <c r="UBA1"/>
      <c r="UBB1"/>
      <c r="UBC1"/>
      <c r="UBD1"/>
      <c r="UBE1"/>
      <c r="UBF1"/>
      <c r="UBG1"/>
      <c r="UBH1"/>
      <c r="UBI1"/>
      <c r="UBJ1"/>
      <c r="UBK1"/>
      <c r="UBL1"/>
      <c r="UBM1"/>
      <c r="UBN1"/>
      <c r="UBO1"/>
      <c r="UBP1"/>
      <c r="UBQ1"/>
      <c r="UBR1"/>
      <c r="UBS1"/>
      <c r="UBT1"/>
      <c r="UBU1"/>
      <c r="UBV1"/>
      <c r="UBW1"/>
      <c r="UBX1"/>
      <c r="UBY1"/>
      <c r="UBZ1"/>
      <c r="UCA1"/>
      <c r="UCB1"/>
      <c r="UCC1"/>
      <c r="UCD1"/>
      <c r="UCE1"/>
      <c r="UCF1"/>
      <c r="UCG1"/>
      <c r="UCH1"/>
      <c r="UCI1"/>
      <c r="UCJ1"/>
      <c r="UCK1"/>
      <c r="UCL1"/>
      <c r="UCM1"/>
      <c r="UCN1"/>
      <c r="UCO1"/>
      <c r="UCP1"/>
      <c r="UCQ1"/>
      <c r="UCR1"/>
      <c r="UCS1"/>
      <c r="UCT1"/>
      <c r="UCU1"/>
      <c r="UCV1"/>
      <c r="UCW1"/>
      <c r="UCX1"/>
      <c r="UCY1"/>
      <c r="UCZ1"/>
      <c r="UDA1"/>
      <c r="UDB1"/>
      <c r="UDC1"/>
      <c r="UDD1"/>
      <c r="UDE1"/>
      <c r="UDF1"/>
      <c r="UDG1"/>
      <c r="UDH1"/>
      <c r="UDI1"/>
      <c r="UDJ1"/>
      <c r="UDK1"/>
      <c r="UDL1"/>
      <c r="UDM1"/>
      <c r="UDN1"/>
      <c r="UDO1"/>
      <c r="UDP1"/>
      <c r="UDQ1"/>
      <c r="UDR1"/>
      <c r="UDS1"/>
      <c r="UDT1"/>
      <c r="UDU1"/>
      <c r="UDV1"/>
      <c r="UDW1"/>
      <c r="UDX1"/>
      <c r="UDY1"/>
      <c r="UDZ1"/>
      <c r="UEA1"/>
      <c r="UEB1"/>
      <c r="UEC1"/>
      <c r="UED1"/>
      <c r="UEE1"/>
      <c r="UEF1"/>
      <c r="UEG1"/>
      <c r="UEH1"/>
      <c r="UEI1"/>
      <c r="UEJ1"/>
      <c r="UEK1"/>
      <c r="UEL1"/>
      <c r="UEM1"/>
      <c r="UEN1"/>
      <c r="UEO1"/>
      <c r="UEP1"/>
      <c r="UEQ1"/>
      <c r="UER1"/>
      <c r="UES1"/>
      <c r="UET1"/>
      <c r="UEU1"/>
      <c r="UEV1"/>
      <c r="UEW1"/>
      <c r="UEX1"/>
      <c r="UEY1"/>
      <c r="UEZ1"/>
      <c r="UFA1"/>
      <c r="UFB1"/>
      <c r="UFC1"/>
      <c r="UFD1"/>
      <c r="UFE1"/>
      <c r="UFF1"/>
      <c r="UFG1"/>
      <c r="UFH1"/>
      <c r="UFI1"/>
      <c r="UFJ1"/>
      <c r="UFK1"/>
      <c r="UFL1"/>
      <c r="UFM1"/>
      <c r="UFN1"/>
      <c r="UFO1"/>
      <c r="UFP1"/>
      <c r="UFQ1"/>
      <c r="UFR1"/>
      <c r="UFS1"/>
      <c r="UFT1"/>
      <c r="UFU1"/>
      <c r="UFV1"/>
      <c r="UFW1"/>
      <c r="UFX1"/>
      <c r="UFY1"/>
      <c r="UFZ1"/>
      <c r="UGA1"/>
      <c r="UGB1"/>
      <c r="UGC1"/>
      <c r="UGD1"/>
      <c r="UGE1"/>
      <c r="UGF1"/>
      <c r="UGG1"/>
      <c r="UGH1"/>
      <c r="UGI1"/>
      <c r="UGJ1"/>
      <c r="UGK1"/>
      <c r="UGL1"/>
      <c r="UGM1"/>
      <c r="UGN1"/>
      <c r="UGO1"/>
      <c r="UGP1"/>
      <c r="UGQ1"/>
      <c r="UGR1"/>
      <c r="UGS1"/>
      <c r="UGT1"/>
      <c r="UGU1"/>
      <c r="UGV1"/>
      <c r="UGW1"/>
      <c r="UGX1"/>
      <c r="UGY1"/>
      <c r="UGZ1"/>
      <c r="UHA1"/>
      <c r="UHB1"/>
      <c r="UHC1"/>
      <c r="UHD1"/>
      <c r="UHE1"/>
      <c r="UHF1"/>
      <c r="UHG1"/>
      <c r="UHH1"/>
      <c r="UHI1"/>
      <c r="UHJ1"/>
      <c r="UHK1"/>
      <c r="UHL1"/>
      <c r="UHM1"/>
      <c r="UHN1"/>
      <c r="UHO1"/>
      <c r="UHP1"/>
      <c r="UHQ1"/>
      <c r="UHR1"/>
      <c r="UHS1"/>
      <c r="UHT1"/>
      <c r="UHU1"/>
      <c r="UHV1"/>
      <c r="UHW1"/>
      <c r="UHX1"/>
      <c r="UHY1"/>
      <c r="UHZ1"/>
      <c r="UIA1"/>
      <c r="UIB1"/>
      <c r="UIC1"/>
      <c r="UID1"/>
      <c r="UIE1"/>
      <c r="UIF1"/>
      <c r="UIG1"/>
      <c r="UIH1"/>
      <c r="UII1"/>
      <c r="UIJ1"/>
      <c r="UIK1"/>
      <c r="UIL1"/>
      <c r="UIM1"/>
      <c r="UIN1"/>
      <c r="UIO1"/>
      <c r="UIP1"/>
      <c r="UIQ1"/>
      <c r="UIR1"/>
      <c r="UIS1"/>
      <c r="UIT1"/>
      <c r="UIU1"/>
      <c r="UIV1"/>
      <c r="UIW1"/>
      <c r="UIX1"/>
      <c r="UIY1"/>
      <c r="UIZ1"/>
      <c r="UJA1"/>
      <c r="UJB1"/>
      <c r="UJC1"/>
      <c r="UJD1"/>
      <c r="UJE1"/>
      <c r="UJF1"/>
      <c r="UJG1"/>
      <c r="UJH1"/>
      <c r="UJI1"/>
      <c r="UJJ1"/>
      <c r="UJK1"/>
      <c r="UJL1"/>
      <c r="UJM1"/>
      <c r="UJN1"/>
      <c r="UJO1"/>
      <c r="UJP1"/>
      <c r="UJQ1"/>
      <c r="UJR1"/>
      <c r="UJS1"/>
      <c r="UJT1"/>
      <c r="UJU1"/>
      <c r="UJV1"/>
      <c r="UJW1"/>
      <c r="UJX1"/>
      <c r="UJY1"/>
      <c r="UJZ1"/>
      <c r="UKA1"/>
      <c r="UKB1"/>
      <c r="UKC1"/>
      <c r="UKD1"/>
      <c r="UKE1"/>
      <c r="UKF1"/>
      <c r="UKG1"/>
      <c r="UKH1"/>
      <c r="UKI1"/>
      <c r="UKJ1"/>
      <c r="UKK1"/>
      <c r="UKL1"/>
      <c r="UKM1"/>
      <c r="UKN1"/>
      <c r="UKO1"/>
      <c r="UKP1"/>
      <c r="UKQ1"/>
      <c r="UKR1"/>
      <c r="UKS1"/>
      <c r="UKT1"/>
      <c r="UKU1"/>
      <c r="UKV1"/>
      <c r="UKW1"/>
      <c r="UKX1"/>
      <c r="UKY1"/>
      <c r="UKZ1"/>
      <c r="ULA1"/>
      <c r="ULB1"/>
      <c r="ULC1"/>
      <c r="ULD1"/>
      <c r="ULE1"/>
      <c r="ULF1"/>
      <c r="ULG1"/>
      <c r="ULH1"/>
      <c r="ULI1"/>
      <c r="ULJ1"/>
      <c r="ULK1"/>
      <c r="ULL1"/>
      <c r="ULM1"/>
      <c r="ULN1"/>
      <c r="ULO1"/>
      <c r="ULP1"/>
      <c r="ULQ1"/>
      <c r="ULR1"/>
      <c r="ULS1"/>
      <c r="ULT1"/>
      <c r="ULU1"/>
      <c r="ULV1"/>
      <c r="ULW1"/>
      <c r="ULX1"/>
      <c r="ULY1"/>
      <c r="ULZ1"/>
      <c r="UMA1"/>
      <c r="UMB1"/>
      <c r="UMC1"/>
      <c r="UMD1"/>
      <c r="UME1"/>
      <c r="UMF1"/>
      <c r="UMG1"/>
      <c r="UMH1"/>
      <c r="UMI1"/>
      <c r="UMJ1"/>
      <c r="UMK1"/>
      <c r="UML1"/>
      <c r="UMM1"/>
      <c r="UMN1"/>
      <c r="UMO1"/>
      <c r="UMP1"/>
      <c r="UMQ1"/>
      <c r="UMR1"/>
      <c r="UMS1"/>
      <c r="UMT1"/>
      <c r="UMU1"/>
      <c r="UMV1"/>
      <c r="UMW1"/>
      <c r="UMX1"/>
      <c r="UMY1"/>
      <c r="UMZ1"/>
      <c r="UNA1"/>
      <c r="UNB1"/>
      <c r="UNC1"/>
      <c r="UND1"/>
      <c r="UNE1"/>
      <c r="UNF1"/>
      <c r="UNG1"/>
      <c r="UNH1"/>
      <c r="UNI1"/>
      <c r="UNJ1"/>
      <c r="UNK1"/>
      <c r="UNL1"/>
      <c r="UNM1"/>
      <c r="UNN1"/>
      <c r="UNO1"/>
      <c r="UNP1"/>
      <c r="UNQ1"/>
      <c r="UNR1"/>
      <c r="UNS1"/>
      <c r="UNT1"/>
      <c r="UNU1"/>
      <c r="UNV1"/>
      <c r="UNW1"/>
      <c r="UNX1"/>
      <c r="UNY1"/>
      <c r="UNZ1"/>
      <c r="UOA1"/>
      <c r="UOB1"/>
      <c r="UOC1"/>
      <c r="UOD1"/>
      <c r="UOE1"/>
      <c r="UOF1"/>
      <c r="UOG1"/>
      <c r="UOH1"/>
      <c r="UOI1"/>
      <c r="UOJ1"/>
      <c r="UOK1"/>
      <c r="UOL1"/>
      <c r="UOM1"/>
      <c r="UON1"/>
      <c r="UOO1"/>
      <c r="UOP1"/>
      <c r="UOQ1"/>
      <c r="UOR1"/>
      <c r="UOS1"/>
      <c r="UOT1"/>
      <c r="UOU1"/>
      <c r="UOV1"/>
      <c r="UOW1"/>
      <c r="UOX1"/>
      <c r="UOY1"/>
      <c r="UOZ1"/>
      <c r="UPA1"/>
      <c r="UPB1"/>
      <c r="UPC1"/>
      <c r="UPD1"/>
      <c r="UPE1"/>
      <c r="UPF1"/>
      <c r="UPG1"/>
      <c r="UPH1"/>
      <c r="UPI1"/>
      <c r="UPJ1"/>
      <c r="UPK1"/>
      <c r="UPL1"/>
      <c r="UPM1"/>
      <c r="UPN1"/>
      <c r="UPO1"/>
      <c r="UPP1"/>
      <c r="UPQ1"/>
      <c r="UPR1"/>
      <c r="UPS1"/>
      <c r="UPT1"/>
      <c r="UPU1"/>
      <c r="UPV1"/>
      <c r="UPW1"/>
      <c r="UPX1"/>
      <c r="UPY1"/>
      <c r="UPZ1"/>
      <c r="UQA1"/>
      <c r="UQB1"/>
      <c r="UQC1"/>
      <c r="UQD1"/>
      <c r="UQE1"/>
      <c r="UQF1"/>
      <c r="UQG1"/>
      <c r="UQH1"/>
      <c r="UQI1"/>
      <c r="UQJ1"/>
      <c r="UQK1"/>
      <c r="UQL1"/>
      <c r="UQM1"/>
      <c r="UQN1"/>
      <c r="UQO1"/>
      <c r="UQP1"/>
      <c r="UQQ1"/>
      <c r="UQR1"/>
      <c r="UQS1"/>
      <c r="UQT1"/>
      <c r="UQU1"/>
      <c r="UQV1"/>
      <c r="UQW1"/>
      <c r="UQX1"/>
      <c r="UQY1"/>
      <c r="UQZ1"/>
      <c r="URA1"/>
      <c r="URB1"/>
      <c r="URC1"/>
      <c r="URD1"/>
      <c r="URE1"/>
      <c r="URF1"/>
      <c r="URG1"/>
      <c r="URH1"/>
      <c r="URI1"/>
      <c r="URJ1"/>
      <c r="URK1"/>
      <c r="URL1"/>
      <c r="URM1"/>
      <c r="URN1"/>
      <c r="URO1"/>
      <c r="URP1"/>
      <c r="URQ1"/>
      <c r="URR1"/>
      <c r="URS1"/>
      <c r="URT1"/>
      <c r="URU1"/>
      <c r="URV1"/>
      <c r="URW1"/>
      <c r="URX1"/>
      <c r="URY1"/>
      <c r="URZ1"/>
      <c r="USA1"/>
      <c r="USB1"/>
      <c r="USC1"/>
      <c r="USD1"/>
      <c r="USE1"/>
      <c r="USF1"/>
      <c r="USG1"/>
      <c r="USH1"/>
      <c r="USI1"/>
      <c r="USJ1"/>
      <c r="USK1"/>
      <c r="USL1"/>
      <c r="USM1"/>
      <c r="USN1"/>
      <c r="USO1"/>
      <c r="USP1"/>
      <c r="USQ1"/>
      <c r="USR1"/>
      <c r="USS1"/>
      <c r="UST1"/>
      <c r="USU1"/>
      <c r="USV1"/>
      <c r="USW1"/>
      <c r="USX1"/>
      <c r="USY1"/>
      <c r="USZ1"/>
      <c r="UTA1"/>
      <c r="UTB1"/>
      <c r="UTC1"/>
      <c r="UTD1"/>
      <c r="UTE1"/>
      <c r="UTF1"/>
      <c r="UTG1"/>
      <c r="UTH1"/>
      <c r="UTI1"/>
      <c r="UTJ1"/>
      <c r="UTK1"/>
      <c r="UTL1"/>
      <c r="UTM1"/>
      <c r="UTN1"/>
      <c r="UTO1"/>
      <c r="UTP1"/>
      <c r="UTQ1"/>
      <c r="UTR1"/>
      <c r="UTS1"/>
      <c r="UTT1"/>
      <c r="UTU1"/>
      <c r="UTV1"/>
      <c r="UTW1"/>
      <c r="UTX1"/>
      <c r="UTY1"/>
      <c r="UTZ1"/>
      <c r="UUA1"/>
      <c r="UUB1"/>
      <c r="UUC1"/>
      <c r="UUD1"/>
      <c r="UUE1"/>
      <c r="UUF1"/>
      <c r="UUG1"/>
      <c r="UUH1"/>
      <c r="UUI1"/>
      <c r="UUJ1"/>
      <c r="UUK1"/>
      <c r="UUL1"/>
      <c r="UUM1"/>
      <c r="UUN1"/>
      <c r="UUO1"/>
      <c r="UUP1"/>
      <c r="UUQ1"/>
      <c r="UUR1"/>
      <c r="UUS1"/>
      <c r="UUT1"/>
      <c r="UUU1"/>
      <c r="UUV1"/>
      <c r="UUW1"/>
      <c r="UUX1"/>
      <c r="UUY1"/>
      <c r="UUZ1"/>
      <c r="UVA1"/>
      <c r="UVB1"/>
      <c r="UVC1"/>
      <c r="UVD1"/>
      <c r="UVE1"/>
      <c r="UVF1"/>
      <c r="UVG1"/>
      <c r="UVH1"/>
      <c r="UVI1"/>
      <c r="UVJ1"/>
      <c r="UVK1"/>
      <c r="UVL1"/>
      <c r="UVM1"/>
      <c r="UVN1"/>
      <c r="UVO1"/>
      <c r="UVP1"/>
      <c r="UVQ1"/>
      <c r="UVR1"/>
      <c r="UVS1"/>
      <c r="UVT1"/>
      <c r="UVU1"/>
      <c r="UVV1"/>
      <c r="UVW1"/>
      <c r="UVX1"/>
      <c r="UVY1"/>
      <c r="UVZ1"/>
      <c r="UWA1"/>
      <c r="UWB1"/>
      <c r="UWC1"/>
      <c r="UWD1"/>
      <c r="UWE1"/>
      <c r="UWF1"/>
      <c r="UWG1"/>
      <c r="UWH1"/>
      <c r="UWI1"/>
      <c r="UWJ1"/>
      <c r="UWK1"/>
      <c r="UWL1"/>
      <c r="UWM1"/>
      <c r="UWN1"/>
      <c r="UWO1"/>
      <c r="UWP1"/>
      <c r="UWQ1"/>
      <c r="UWR1"/>
      <c r="UWS1"/>
      <c r="UWT1"/>
      <c r="UWU1"/>
      <c r="UWV1"/>
      <c r="UWW1"/>
      <c r="UWX1"/>
      <c r="UWY1"/>
      <c r="UWZ1"/>
      <c r="UXA1"/>
      <c r="UXB1"/>
      <c r="UXC1"/>
      <c r="UXD1"/>
      <c r="UXE1"/>
      <c r="UXF1"/>
      <c r="UXG1"/>
      <c r="UXH1"/>
      <c r="UXI1"/>
      <c r="UXJ1"/>
      <c r="UXK1"/>
      <c r="UXL1"/>
      <c r="UXM1"/>
      <c r="UXN1"/>
      <c r="UXO1"/>
      <c r="UXP1"/>
      <c r="UXQ1"/>
      <c r="UXR1"/>
      <c r="UXS1"/>
      <c r="UXT1"/>
      <c r="UXU1"/>
      <c r="UXV1"/>
      <c r="UXW1"/>
      <c r="UXX1"/>
      <c r="UXY1"/>
      <c r="UXZ1"/>
      <c r="UYA1"/>
      <c r="UYB1"/>
      <c r="UYC1"/>
      <c r="UYD1"/>
      <c r="UYE1"/>
      <c r="UYF1"/>
      <c r="UYG1"/>
      <c r="UYH1"/>
      <c r="UYI1"/>
      <c r="UYJ1"/>
      <c r="UYK1"/>
      <c r="UYL1"/>
      <c r="UYM1"/>
      <c r="UYN1"/>
      <c r="UYO1"/>
      <c r="UYP1"/>
      <c r="UYQ1"/>
      <c r="UYR1"/>
      <c r="UYS1"/>
      <c r="UYT1"/>
      <c r="UYU1"/>
      <c r="UYV1"/>
      <c r="UYW1"/>
      <c r="UYX1"/>
      <c r="UYY1"/>
      <c r="UYZ1"/>
      <c r="UZA1"/>
      <c r="UZB1"/>
      <c r="UZC1"/>
      <c r="UZD1"/>
      <c r="UZE1"/>
      <c r="UZF1"/>
      <c r="UZG1"/>
      <c r="UZH1"/>
      <c r="UZI1"/>
      <c r="UZJ1"/>
      <c r="UZK1"/>
      <c r="UZL1"/>
      <c r="UZM1"/>
      <c r="UZN1"/>
      <c r="UZO1"/>
      <c r="UZP1"/>
      <c r="UZQ1"/>
      <c r="UZR1"/>
      <c r="UZS1"/>
      <c r="UZT1"/>
      <c r="UZU1"/>
      <c r="UZV1"/>
      <c r="UZW1"/>
      <c r="UZX1"/>
      <c r="UZY1"/>
      <c r="UZZ1"/>
      <c r="VAA1"/>
      <c r="VAB1"/>
      <c r="VAC1"/>
      <c r="VAD1"/>
      <c r="VAE1"/>
      <c r="VAF1"/>
      <c r="VAG1"/>
      <c r="VAH1"/>
      <c r="VAI1"/>
      <c r="VAJ1"/>
      <c r="VAK1"/>
      <c r="VAL1"/>
      <c r="VAM1"/>
      <c r="VAN1"/>
      <c r="VAO1"/>
      <c r="VAP1"/>
      <c r="VAQ1"/>
      <c r="VAR1"/>
      <c r="VAS1"/>
      <c r="VAT1"/>
      <c r="VAU1"/>
      <c r="VAV1"/>
      <c r="VAW1"/>
      <c r="VAX1"/>
      <c r="VAY1"/>
      <c r="VAZ1"/>
      <c r="VBA1"/>
      <c r="VBB1"/>
      <c r="VBC1"/>
      <c r="VBD1"/>
      <c r="VBE1"/>
      <c r="VBF1"/>
      <c r="VBG1"/>
      <c r="VBH1"/>
      <c r="VBI1"/>
      <c r="VBJ1"/>
      <c r="VBK1"/>
      <c r="VBL1"/>
      <c r="VBM1"/>
      <c r="VBN1"/>
      <c r="VBO1"/>
      <c r="VBP1"/>
      <c r="VBQ1"/>
      <c r="VBR1"/>
      <c r="VBS1"/>
      <c r="VBT1"/>
      <c r="VBU1"/>
      <c r="VBV1"/>
      <c r="VBW1"/>
      <c r="VBX1"/>
      <c r="VBY1"/>
      <c r="VBZ1"/>
      <c r="VCA1"/>
      <c r="VCB1"/>
      <c r="VCC1"/>
      <c r="VCD1"/>
      <c r="VCE1"/>
      <c r="VCF1"/>
      <c r="VCG1"/>
      <c r="VCH1"/>
      <c r="VCI1"/>
      <c r="VCJ1"/>
      <c r="VCK1"/>
      <c r="VCL1"/>
      <c r="VCM1"/>
      <c r="VCN1"/>
      <c r="VCO1"/>
      <c r="VCP1"/>
      <c r="VCQ1"/>
      <c r="VCR1"/>
      <c r="VCS1"/>
      <c r="VCT1"/>
      <c r="VCU1"/>
      <c r="VCV1"/>
      <c r="VCW1"/>
      <c r="VCX1"/>
      <c r="VCY1"/>
      <c r="VCZ1"/>
      <c r="VDA1"/>
      <c r="VDB1"/>
      <c r="VDC1"/>
      <c r="VDD1"/>
      <c r="VDE1"/>
      <c r="VDF1"/>
      <c r="VDG1"/>
      <c r="VDH1"/>
      <c r="VDI1"/>
      <c r="VDJ1"/>
      <c r="VDK1"/>
      <c r="VDL1"/>
      <c r="VDM1"/>
      <c r="VDN1"/>
      <c r="VDO1"/>
      <c r="VDP1"/>
      <c r="VDQ1"/>
      <c r="VDR1"/>
      <c r="VDS1"/>
      <c r="VDT1"/>
      <c r="VDU1"/>
      <c r="VDV1"/>
      <c r="VDW1"/>
      <c r="VDX1"/>
      <c r="VDY1"/>
      <c r="VDZ1"/>
      <c r="VEA1"/>
      <c r="VEB1"/>
      <c r="VEC1"/>
      <c r="VED1"/>
      <c r="VEE1"/>
      <c r="VEF1"/>
      <c r="VEG1"/>
      <c r="VEH1"/>
      <c r="VEI1"/>
      <c r="VEJ1"/>
      <c r="VEK1"/>
      <c r="VEL1"/>
      <c r="VEM1"/>
      <c r="VEN1"/>
      <c r="VEO1"/>
      <c r="VEP1"/>
      <c r="VEQ1"/>
      <c r="VER1"/>
      <c r="VES1"/>
      <c r="VET1"/>
      <c r="VEU1"/>
      <c r="VEV1"/>
      <c r="VEW1"/>
      <c r="VEX1"/>
      <c r="VEY1"/>
      <c r="VEZ1"/>
      <c r="VFA1"/>
      <c r="VFB1"/>
      <c r="VFC1"/>
      <c r="VFD1"/>
      <c r="VFE1"/>
      <c r="VFF1"/>
      <c r="VFG1"/>
      <c r="VFH1"/>
      <c r="VFI1"/>
      <c r="VFJ1"/>
      <c r="VFK1"/>
      <c r="VFL1"/>
      <c r="VFM1"/>
      <c r="VFN1"/>
      <c r="VFO1"/>
      <c r="VFP1"/>
      <c r="VFQ1"/>
      <c r="VFR1"/>
      <c r="VFS1"/>
      <c r="VFT1"/>
      <c r="VFU1"/>
      <c r="VFV1"/>
      <c r="VFW1"/>
      <c r="VFX1"/>
      <c r="VFY1"/>
      <c r="VFZ1"/>
      <c r="VGA1"/>
      <c r="VGB1"/>
      <c r="VGC1"/>
      <c r="VGD1"/>
      <c r="VGE1"/>
      <c r="VGF1"/>
      <c r="VGG1"/>
      <c r="VGH1"/>
      <c r="VGI1"/>
      <c r="VGJ1"/>
      <c r="VGK1"/>
      <c r="VGL1"/>
      <c r="VGM1"/>
      <c r="VGN1"/>
      <c r="VGO1"/>
      <c r="VGP1"/>
      <c r="VGQ1"/>
      <c r="VGR1"/>
      <c r="VGS1"/>
      <c r="VGT1"/>
      <c r="VGU1"/>
      <c r="VGV1"/>
      <c r="VGW1"/>
      <c r="VGX1"/>
      <c r="VGY1"/>
      <c r="VGZ1"/>
      <c r="VHA1"/>
      <c r="VHB1"/>
      <c r="VHC1"/>
      <c r="VHD1"/>
      <c r="VHE1"/>
      <c r="VHF1"/>
      <c r="VHG1"/>
      <c r="VHH1"/>
      <c r="VHI1"/>
      <c r="VHJ1"/>
      <c r="VHK1"/>
      <c r="VHL1"/>
      <c r="VHM1"/>
      <c r="VHN1"/>
      <c r="VHO1"/>
      <c r="VHP1"/>
      <c r="VHQ1"/>
      <c r="VHR1"/>
      <c r="VHS1"/>
      <c r="VHT1"/>
      <c r="VHU1"/>
      <c r="VHV1"/>
      <c r="VHW1"/>
      <c r="VHX1"/>
      <c r="VHY1"/>
      <c r="VHZ1"/>
      <c r="VIA1"/>
      <c r="VIB1"/>
      <c r="VIC1"/>
      <c r="VID1"/>
      <c r="VIE1"/>
      <c r="VIF1"/>
      <c r="VIG1"/>
      <c r="VIH1"/>
      <c r="VII1"/>
      <c r="VIJ1"/>
      <c r="VIK1"/>
      <c r="VIL1"/>
      <c r="VIM1"/>
      <c r="VIN1"/>
      <c r="VIO1"/>
      <c r="VIP1"/>
      <c r="VIQ1"/>
      <c r="VIR1"/>
      <c r="VIS1"/>
      <c r="VIT1"/>
      <c r="VIU1"/>
      <c r="VIV1"/>
      <c r="VIW1"/>
      <c r="VIX1"/>
      <c r="VIY1"/>
      <c r="VIZ1"/>
      <c r="VJA1"/>
      <c r="VJB1"/>
      <c r="VJC1"/>
      <c r="VJD1"/>
      <c r="VJE1"/>
      <c r="VJF1"/>
      <c r="VJG1"/>
      <c r="VJH1"/>
      <c r="VJI1"/>
      <c r="VJJ1"/>
      <c r="VJK1"/>
      <c r="VJL1"/>
      <c r="VJM1"/>
      <c r="VJN1"/>
      <c r="VJO1"/>
      <c r="VJP1"/>
      <c r="VJQ1"/>
      <c r="VJR1"/>
      <c r="VJS1"/>
      <c r="VJT1"/>
      <c r="VJU1"/>
      <c r="VJV1"/>
      <c r="VJW1"/>
      <c r="VJX1"/>
      <c r="VJY1"/>
      <c r="VJZ1"/>
      <c r="VKA1"/>
      <c r="VKB1"/>
      <c r="VKC1"/>
      <c r="VKD1"/>
      <c r="VKE1"/>
      <c r="VKF1"/>
      <c r="VKG1"/>
      <c r="VKH1"/>
      <c r="VKI1"/>
      <c r="VKJ1"/>
      <c r="VKK1"/>
      <c r="VKL1"/>
      <c r="VKM1"/>
      <c r="VKN1"/>
      <c r="VKO1"/>
      <c r="VKP1"/>
      <c r="VKQ1"/>
      <c r="VKR1"/>
      <c r="VKS1"/>
      <c r="VKT1"/>
      <c r="VKU1"/>
      <c r="VKV1"/>
      <c r="VKW1"/>
      <c r="VKX1"/>
      <c r="VKY1"/>
      <c r="VKZ1"/>
      <c r="VLA1"/>
      <c r="VLB1"/>
      <c r="VLC1"/>
      <c r="VLD1"/>
      <c r="VLE1"/>
      <c r="VLF1"/>
      <c r="VLG1"/>
      <c r="VLH1"/>
      <c r="VLI1"/>
      <c r="VLJ1"/>
      <c r="VLK1"/>
      <c r="VLL1"/>
      <c r="VLM1"/>
      <c r="VLN1"/>
      <c r="VLO1"/>
      <c r="VLP1"/>
      <c r="VLQ1"/>
      <c r="VLR1"/>
      <c r="VLS1"/>
      <c r="VLT1"/>
      <c r="VLU1"/>
      <c r="VLV1"/>
      <c r="VLW1"/>
      <c r="VLX1"/>
      <c r="VLY1"/>
      <c r="VLZ1"/>
      <c r="VMA1"/>
      <c r="VMB1"/>
      <c r="VMC1"/>
      <c r="VMD1"/>
      <c r="VME1"/>
      <c r="VMF1"/>
      <c r="VMG1"/>
      <c r="VMH1"/>
      <c r="VMI1"/>
      <c r="VMJ1"/>
      <c r="VMK1"/>
      <c r="VML1"/>
      <c r="VMM1"/>
      <c r="VMN1"/>
      <c r="VMO1"/>
      <c r="VMP1"/>
      <c r="VMQ1"/>
      <c r="VMR1"/>
      <c r="VMS1"/>
      <c r="VMT1"/>
      <c r="VMU1"/>
      <c r="VMV1"/>
      <c r="VMW1"/>
      <c r="VMX1"/>
      <c r="VMY1"/>
      <c r="VMZ1"/>
      <c r="VNA1"/>
      <c r="VNB1"/>
      <c r="VNC1"/>
      <c r="VND1"/>
      <c r="VNE1"/>
      <c r="VNF1"/>
      <c r="VNG1"/>
      <c r="VNH1"/>
      <c r="VNI1"/>
      <c r="VNJ1"/>
      <c r="VNK1"/>
      <c r="VNL1"/>
      <c r="VNM1"/>
      <c r="VNN1"/>
      <c r="VNO1"/>
      <c r="VNP1"/>
      <c r="VNQ1"/>
      <c r="VNR1"/>
      <c r="VNS1"/>
      <c r="VNT1"/>
      <c r="VNU1"/>
      <c r="VNV1"/>
      <c r="VNW1"/>
      <c r="VNX1"/>
      <c r="VNY1"/>
      <c r="VNZ1"/>
      <c r="VOA1"/>
      <c r="VOB1"/>
      <c r="VOC1"/>
      <c r="VOD1"/>
      <c r="VOE1"/>
      <c r="VOF1"/>
      <c r="VOG1"/>
      <c r="VOH1"/>
      <c r="VOI1"/>
      <c r="VOJ1"/>
      <c r="VOK1"/>
      <c r="VOL1"/>
      <c r="VOM1"/>
      <c r="VON1"/>
      <c r="VOO1"/>
      <c r="VOP1"/>
      <c r="VOQ1"/>
      <c r="VOR1"/>
      <c r="VOS1"/>
      <c r="VOT1"/>
      <c r="VOU1"/>
      <c r="VOV1"/>
      <c r="VOW1"/>
      <c r="VOX1"/>
      <c r="VOY1"/>
      <c r="VOZ1"/>
      <c r="VPA1"/>
      <c r="VPB1"/>
      <c r="VPC1"/>
      <c r="VPD1"/>
      <c r="VPE1"/>
      <c r="VPF1"/>
      <c r="VPG1"/>
      <c r="VPH1"/>
      <c r="VPI1"/>
      <c r="VPJ1"/>
      <c r="VPK1"/>
      <c r="VPL1"/>
      <c r="VPM1"/>
      <c r="VPN1"/>
      <c r="VPO1"/>
      <c r="VPP1"/>
      <c r="VPQ1"/>
      <c r="VPR1"/>
      <c r="VPS1"/>
      <c r="VPT1"/>
      <c r="VPU1"/>
      <c r="VPV1"/>
      <c r="VPW1"/>
      <c r="VPX1"/>
      <c r="VPY1"/>
      <c r="VPZ1"/>
      <c r="VQA1"/>
      <c r="VQB1"/>
      <c r="VQC1"/>
      <c r="VQD1"/>
      <c r="VQE1"/>
      <c r="VQF1"/>
      <c r="VQG1"/>
      <c r="VQH1"/>
      <c r="VQI1"/>
      <c r="VQJ1"/>
      <c r="VQK1"/>
      <c r="VQL1"/>
      <c r="VQM1"/>
      <c r="VQN1"/>
      <c r="VQO1"/>
      <c r="VQP1"/>
      <c r="VQQ1"/>
      <c r="VQR1"/>
      <c r="VQS1"/>
      <c r="VQT1"/>
      <c r="VQU1"/>
      <c r="VQV1"/>
      <c r="VQW1"/>
      <c r="VQX1"/>
      <c r="VQY1"/>
      <c r="VQZ1"/>
      <c r="VRA1"/>
      <c r="VRB1"/>
      <c r="VRC1"/>
      <c r="VRD1"/>
      <c r="VRE1"/>
      <c r="VRF1"/>
      <c r="VRG1"/>
      <c r="VRH1"/>
      <c r="VRI1"/>
      <c r="VRJ1"/>
      <c r="VRK1"/>
      <c r="VRL1"/>
      <c r="VRM1"/>
      <c r="VRN1"/>
      <c r="VRO1"/>
      <c r="VRP1"/>
      <c r="VRQ1"/>
      <c r="VRR1"/>
      <c r="VRS1"/>
      <c r="VRT1"/>
      <c r="VRU1"/>
      <c r="VRV1"/>
      <c r="VRW1"/>
      <c r="VRX1"/>
      <c r="VRY1"/>
      <c r="VRZ1"/>
      <c r="VSA1"/>
      <c r="VSB1"/>
      <c r="VSC1"/>
      <c r="VSD1"/>
      <c r="VSE1"/>
      <c r="VSF1"/>
      <c r="VSG1"/>
      <c r="VSH1"/>
      <c r="VSI1"/>
      <c r="VSJ1"/>
      <c r="VSK1"/>
      <c r="VSL1"/>
      <c r="VSM1"/>
      <c r="VSN1"/>
      <c r="VSO1"/>
      <c r="VSP1"/>
      <c r="VSQ1"/>
      <c r="VSR1"/>
      <c r="VSS1"/>
      <c r="VST1"/>
      <c r="VSU1"/>
      <c r="VSV1"/>
      <c r="VSW1"/>
      <c r="VSX1"/>
      <c r="VSY1"/>
      <c r="VSZ1"/>
      <c r="VTA1"/>
      <c r="VTB1"/>
      <c r="VTC1"/>
      <c r="VTD1"/>
      <c r="VTE1"/>
      <c r="VTF1"/>
      <c r="VTG1"/>
      <c r="VTH1"/>
      <c r="VTI1"/>
      <c r="VTJ1"/>
      <c r="VTK1"/>
      <c r="VTL1"/>
      <c r="VTM1"/>
      <c r="VTN1"/>
      <c r="VTO1"/>
      <c r="VTP1"/>
      <c r="VTQ1"/>
      <c r="VTR1"/>
      <c r="VTS1"/>
      <c r="VTT1"/>
      <c r="VTU1"/>
      <c r="VTV1"/>
      <c r="VTW1"/>
      <c r="VTX1"/>
      <c r="VTY1"/>
      <c r="VTZ1"/>
      <c r="VUA1"/>
      <c r="VUB1"/>
      <c r="VUC1"/>
      <c r="VUD1"/>
      <c r="VUE1"/>
      <c r="VUF1"/>
      <c r="VUG1"/>
      <c r="VUH1"/>
      <c r="VUI1"/>
      <c r="VUJ1"/>
      <c r="VUK1"/>
      <c r="VUL1"/>
      <c r="VUM1"/>
      <c r="VUN1"/>
      <c r="VUO1"/>
      <c r="VUP1"/>
      <c r="VUQ1"/>
      <c r="VUR1"/>
      <c r="VUS1"/>
      <c r="VUT1"/>
      <c r="VUU1"/>
      <c r="VUV1"/>
      <c r="VUW1"/>
      <c r="VUX1"/>
      <c r="VUY1"/>
      <c r="VUZ1"/>
      <c r="VVA1"/>
      <c r="VVB1"/>
      <c r="VVC1"/>
      <c r="VVD1"/>
      <c r="VVE1"/>
      <c r="VVF1"/>
      <c r="VVG1"/>
      <c r="VVH1"/>
      <c r="VVI1"/>
      <c r="VVJ1"/>
      <c r="VVK1"/>
      <c r="VVL1"/>
      <c r="VVM1"/>
      <c r="VVN1"/>
      <c r="VVO1"/>
      <c r="VVP1"/>
      <c r="VVQ1"/>
      <c r="VVR1"/>
      <c r="VVS1"/>
      <c r="VVT1"/>
      <c r="VVU1"/>
      <c r="VVV1"/>
      <c r="VVW1"/>
      <c r="VVX1"/>
      <c r="VVY1"/>
      <c r="VVZ1"/>
      <c r="VWA1"/>
      <c r="VWB1"/>
      <c r="VWC1"/>
      <c r="VWD1"/>
      <c r="VWE1"/>
      <c r="VWF1"/>
      <c r="VWG1"/>
      <c r="VWH1"/>
      <c r="VWI1"/>
      <c r="VWJ1"/>
      <c r="VWK1"/>
      <c r="VWL1"/>
      <c r="VWM1"/>
      <c r="VWN1"/>
      <c r="VWO1"/>
      <c r="VWP1"/>
      <c r="VWQ1"/>
      <c r="VWR1"/>
      <c r="VWS1"/>
      <c r="VWT1"/>
      <c r="VWU1"/>
      <c r="VWV1"/>
      <c r="VWW1"/>
      <c r="VWX1"/>
      <c r="VWY1"/>
      <c r="VWZ1"/>
      <c r="VXA1"/>
      <c r="VXB1"/>
      <c r="VXC1"/>
      <c r="VXD1"/>
      <c r="VXE1"/>
      <c r="VXF1"/>
      <c r="VXG1"/>
      <c r="VXH1"/>
      <c r="VXI1"/>
      <c r="VXJ1"/>
      <c r="VXK1"/>
      <c r="VXL1"/>
      <c r="VXM1"/>
      <c r="VXN1"/>
      <c r="VXO1"/>
      <c r="VXP1"/>
      <c r="VXQ1"/>
      <c r="VXR1"/>
      <c r="VXS1"/>
      <c r="VXT1"/>
      <c r="VXU1"/>
      <c r="VXV1"/>
      <c r="VXW1"/>
      <c r="VXX1"/>
      <c r="VXY1"/>
      <c r="VXZ1"/>
      <c r="VYA1"/>
      <c r="VYB1"/>
      <c r="VYC1"/>
      <c r="VYD1"/>
      <c r="VYE1"/>
      <c r="VYF1"/>
      <c r="VYG1"/>
      <c r="VYH1"/>
      <c r="VYI1"/>
      <c r="VYJ1"/>
      <c r="VYK1"/>
      <c r="VYL1"/>
      <c r="VYM1"/>
      <c r="VYN1"/>
      <c r="VYO1"/>
      <c r="VYP1"/>
      <c r="VYQ1"/>
      <c r="VYR1"/>
      <c r="VYS1"/>
      <c r="VYT1"/>
      <c r="VYU1"/>
      <c r="VYV1"/>
      <c r="VYW1"/>
      <c r="VYX1"/>
      <c r="VYY1"/>
      <c r="VYZ1"/>
      <c r="VZA1"/>
      <c r="VZB1"/>
      <c r="VZC1"/>
      <c r="VZD1"/>
      <c r="VZE1"/>
      <c r="VZF1"/>
      <c r="VZG1"/>
      <c r="VZH1"/>
      <c r="VZI1"/>
      <c r="VZJ1"/>
      <c r="VZK1"/>
      <c r="VZL1"/>
      <c r="VZM1"/>
      <c r="VZN1"/>
      <c r="VZO1"/>
      <c r="VZP1"/>
      <c r="VZQ1"/>
      <c r="VZR1"/>
      <c r="VZS1"/>
      <c r="VZT1"/>
      <c r="VZU1"/>
      <c r="VZV1"/>
      <c r="VZW1"/>
      <c r="VZX1"/>
      <c r="VZY1"/>
      <c r="VZZ1"/>
      <c r="WAA1"/>
      <c r="WAB1"/>
      <c r="WAC1"/>
      <c r="WAD1"/>
      <c r="WAE1"/>
      <c r="WAF1"/>
      <c r="WAG1"/>
      <c r="WAH1"/>
      <c r="WAI1"/>
      <c r="WAJ1"/>
      <c r="WAK1"/>
      <c r="WAL1"/>
      <c r="WAM1"/>
      <c r="WAN1"/>
      <c r="WAO1"/>
      <c r="WAP1"/>
      <c r="WAQ1"/>
      <c r="WAR1"/>
      <c r="WAS1"/>
      <c r="WAT1"/>
      <c r="WAU1"/>
      <c r="WAV1"/>
      <c r="WAW1"/>
      <c r="WAX1"/>
      <c r="WAY1"/>
      <c r="WAZ1"/>
      <c r="WBA1"/>
      <c r="WBB1"/>
      <c r="WBC1"/>
      <c r="WBD1"/>
      <c r="WBE1"/>
      <c r="WBF1"/>
      <c r="WBG1"/>
      <c r="WBH1"/>
      <c r="WBI1"/>
      <c r="WBJ1"/>
      <c r="WBK1"/>
      <c r="WBL1"/>
      <c r="WBM1"/>
      <c r="WBN1"/>
      <c r="WBO1"/>
      <c r="WBP1"/>
      <c r="WBQ1"/>
      <c r="WBR1"/>
      <c r="WBS1"/>
      <c r="WBT1"/>
      <c r="WBU1"/>
      <c r="WBV1"/>
      <c r="WBW1"/>
      <c r="WBX1"/>
      <c r="WBY1"/>
      <c r="WBZ1"/>
      <c r="WCA1"/>
      <c r="WCB1"/>
      <c r="WCC1"/>
      <c r="WCD1"/>
      <c r="WCE1"/>
      <c r="WCF1"/>
      <c r="WCG1"/>
      <c r="WCH1"/>
      <c r="WCI1"/>
      <c r="WCJ1"/>
      <c r="WCK1"/>
      <c r="WCL1"/>
      <c r="WCM1"/>
      <c r="WCN1"/>
      <c r="WCO1"/>
      <c r="WCP1"/>
      <c r="WCQ1"/>
      <c r="WCR1"/>
      <c r="WCS1"/>
      <c r="WCT1"/>
      <c r="WCU1"/>
      <c r="WCV1"/>
      <c r="WCW1"/>
      <c r="WCX1"/>
      <c r="WCY1"/>
      <c r="WCZ1"/>
      <c r="WDA1"/>
      <c r="WDB1"/>
      <c r="WDC1"/>
      <c r="WDD1"/>
      <c r="WDE1"/>
      <c r="WDF1"/>
      <c r="WDG1"/>
      <c r="WDH1"/>
      <c r="WDI1"/>
      <c r="WDJ1"/>
      <c r="WDK1"/>
      <c r="WDL1"/>
      <c r="WDM1"/>
      <c r="WDN1"/>
      <c r="WDO1"/>
      <c r="WDP1"/>
      <c r="WDQ1"/>
      <c r="WDR1"/>
      <c r="WDS1"/>
      <c r="WDT1"/>
      <c r="WDU1"/>
      <c r="WDV1"/>
      <c r="WDW1"/>
      <c r="WDX1"/>
      <c r="WDY1"/>
      <c r="WDZ1"/>
      <c r="WEA1"/>
      <c r="WEB1"/>
      <c r="WEC1"/>
      <c r="WED1"/>
      <c r="WEE1"/>
      <c r="WEF1"/>
      <c r="WEG1"/>
      <c r="WEH1"/>
      <c r="WEI1"/>
      <c r="WEJ1"/>
      <c r="WEK1"/>
      <c r="WEL1"/>
      <c r="WEM1"/>
      <c r="WEN1"/>
      <c r="WEO1"/>
      <c r="WEP1"/>
      <c r="WEQ1"/>
      <c r="WER1"/>
      <c r="WES1"/>
      <c r="WET1"/>
      <c r="WEU1"/>
      <c r="WEV1"/>
      <c r="WEW1"/>
      <c r="WEX1"/>
      <c r="WEY1"/>
      <c r="WEZ1"/>
      <c r="WFA1"/>
      <c r="WFB1"/>
      <c r="WFC1"/>
      <c r="WFD1"/>
      <c r="WFE1"/>
      <c r="WFF1"/>
      <c r="WFG1"/>
      <c r="WFH1"/>
      <c r="WFI1"/>
      <c r="WFJ1"/>
      <c r="WFK1"/>
      <c r="WFL1"/>
      <c r="WFM1"/>
      <c r="WFN1"/>
      <c r="WFO1"/>
      <c r="WFP1"/>
      <c r="WFQ1"/>
      <c r="WFR1"/>
      <c r="WFS1"/>
      <c r="WFT1"/>
      <c r="WFU1"/>
      <c r="WFV1"/>
      <c r="WFW1"/>
      <c r="WFX1"/>
      <c r="WFY1"/>
      <c r="WFZ1"/>
      <c r="WGA1"/>
      <c r="WGB1"/>
      <c r="WGC1"/>
      <c r="WGD1"/>
      <c r="WGE1"/>
      <c r="WGF1"/>
      <c r="WGG1"/>
      <c r="WGH1"/>
      <c r="WGI1"/>
      <c r="WGJ1"/>
      <c r="WGK1"/>
      <c r="WGL1"/>
      <c r="WGM1"/>
      <c r="WGN1"/>
      <c r="WGO1"/>
      <c r="WGP1"/>
      <c r="WGQ1"/>
      <c r="WGR1"/>
      <c r="WGS1"/>
      <c r="WGT1"/>
      <c r="WGU1"/>
      <c r="WGV1"/>
      <c r="WGW1"/>
      <c r="WGX1"/>
      <c r="WGY1"/>
      <c r="WGZ1"/>
      <c r="WHA1"/>
      <c r="WHB1"/>
      <c r="WHC1"/>
      <c r="WHD1"/>
      <c r="WHE1"/>
      <c r="WHF1"/>
      <c r="WHG1"/>
      <c r="WHH1"/>
      <c r="WHI1"/>
      <c r="WHJ1"/>
      <c r="WHK1"/>
      <c r="WHL1"/>
      <c r="WHM1"/>
      <c r="WHN1"/>
      <c r="WHO1"/>
      <c r="WHP1"/>
      <c r="WHQ1"/>
      <c r="WHR1"/>
      <c r="WHS1"/>
      <c r="WHT1"/>
      <c r="WHU1"/>
      <c r="WHV1"/>
      <c r="WHW1"/>
      <c r="WHX1"/>
      <c r="WHY1"/>
      <c r="WHZ1"/>
      <c r="WIA1"/>
      <c r="WIB1"/>
      <c r="WIC1"/>
      <c r="WID1"/>
      <c r="WIE1"/>
      <c r="WIF1"/>
      <c r="WIG1"/>
      <c r="WIH1"/>
      <c r="WII1"/>
      <c r="WIJ1"/>
      <c r="WIK1"/>
      <c r="WIL1"/>
      <c r="WIM1"/>
      <c r="WIN1"/>
      <c r="WIO1"/>
      <c r="WIP1"/>
      <c r="WIQ1"/>
      <c r="WIR1"/>
      <c r="WIS1"/>
      <c r="WIT1"/>
      <c r="WIU1"/>
      <c r="WIV1"/>
      <c r="WIW1"/>
      <c r="WIX1"/>
      <c r="WIY1"/>
      <c r="WIZ1"/>
      <c r="WJA1"/>
      <c r="WJB1"/>
      <c r="WJC1"/>
      <c r="WJD1"/>
      <c r="WJE1"/>
      <c r="WJF1"/>
      <c r="WJG1"/>
      <c r="WJH1"/>
      <c r="WJI1"/>
      <c r="WJJ1"/>
      <c r="WJK1"/>
      <c r="WJL1"/>
      <c r="WJM1"/>
      <c r="WJN1"/>
      <c r="WJO1"/>
      <c r="WJP1"/>
      <c r="WJQ1"/>
      <c r="WJR1"/>
      <c r="WJS1"/>
      <c r="WJT1"/>
      <c r="WJU1"/>
      <c r="WJV1"/>
      <c r="WJW1"/>
      <c r="WJX1"/>
      <c r="WJY1"/>
      <c r="WJZ1"/>
      <c r="WKA1"/>
      <c r="WKB1"/>
      <c r="WKC1"/>
      <c r="WKD1"/>
      <c r="WKE1"/>
      <c r="WKF1"/>
      <c r="WKG1"/>
      <c r="WKH1"/>
      <c r="WKI1"/>
      <c r="WKJ1"/>
      <c r="WKK1"/>
      <c r="WKL1"/>
      <c r="WKM1"/>
      <c r="WKN1"/>
      <c r="WKO1"/>
      <c r="WKP1"/>
      <c r="WKQ1"/>
      <c r="WKR1"/>
      <c r="WKS1"/>
      <c r="WKT1"/>
      <c r="WKU1"/>
      <c r="WKV1"/>
      <c r="WKW1"/>
      <c r="WKX1"/>
      <c r="WKY1"/>
      <c r="WKZ1"/>
      <c r="WLA1"/>
      <c r="WLB1"/>
      <c r="WLC1"/>
      <c r="WLD1"/>
      <c r="WLE1"/>
      <c r="WLF1"/>
      <c r="WLG1"/>
      <c r="WLH1"/>
      <c r="WLI1"/>
      <c r="WLJ1"/>
      <c r="WLK1"/>
      <c r="WLL1"/>
      <c r="WLM1"/>
      <c r="WLN1"/>
      <c r="WLO1"/>
      <c r="WLP1"/>
      <c r="WLQ1"/>
      <c r="WLR1"/>
      <c r="WLS1"/>
      <c r="WLT1"/>
      <c r="WLU1"/>
      <c r="WLV1"/>
      <c r="WLW1"/>
      <c r="WLX1"/>
      <c r="WLY1"/>
      <c r="WLZ1"/>
      <c r="WMA1"/>
      <c r="WMB1"/>
      <c r="WMC1"/>
      <c r="WMD1"/>
      <c r="WME1"/>
      <c r="WMF1"/>
      <c r="WMG1"/>
      <c r="WMH1"/>
      <c r="WMI1"/>
      <c r="WMJ1"/>
      <c r="WMK1"/>
      <c r="WML1"/>
      <c r="WMM1"/>
      <c r="WMN1"/>
      <c r="WMO1"/>
      <c r="WMP1"/>
      <c r="WMQ1"/>
      <c r="WMR1"/>
      <c r="WMS1"/>
      <c r="WMT1"/>
      <c r="WMU1"/>
      <c r="WMV1"/>
      <c r="WMW1"/>
      <c r="WMX1"/>
      <c r="WMY1"/>
      <c r="WMZ1"/>
      <c r="WNA1"/>
      <c r="WNB1"/>
      <c r="WNC1"/>
      <c r="WND1"/>
      <c r="WNE1"/>
      <c r="WNF1"/>
      <c r="WNG1"/>
      <c r="WNH1"/>
      <c r="WNI1"/>
      <c r="WNJ1"/>
      <c r="WNK1"/>
      <c r="WNL1"/>
      <c r="WNM1"/>
      <c r="WNN1"/>
      <c r="WNO1"/>
      <c r="WNP1"/>
      <c r="WNQ1"/>
      <c r="WNR1"/>
      <c r="WNS1"/>
      <c r="WNT1"/>
      <c r="WNU1"/>
      <c r="WNV1"/>
      <c r="WNW1"/>
      <c r="WNX1"/>
      <c r="WNY1"/>
      <c r="WNZ1"/>
      <c r="WOA1"/>
      <c r="WOB1"/>
      <c r="WOC1"/>
      <c r="WOD1"/>
      <c r="WOE1"/>
      <c r="WOF1"/>
      <c r="WOG1"/>
      <c r="WOH1"/>
      <c r="WOI1"/>
      <c r="WOJ1"/>
      <c r="WOK1"/>
      <c r="WOL1"/>
      <c r="WOM1"/>
      <c r="WON1"/>
      <c r="WOO1"/>
      <c r="WOP1"/>
      <c r="WOQ1"/>
      <c r="WOR1"/>
      <c r="WOS1"/>
      <c r="WOT1"/>
      <c r="WOU1"/>
      <c r="WOV1"/>
      <c r="WOW1"/>
      <c r="WOX1"/>
      <c r="WOY1"/>
      <c r="WOZ1"/>
      <c r="WPA1"/>
      <c r="WPB1"/>
      <c r="WPC1"/>
      <c r="WPD1"/>
      <c r="WPE1"/>
      <c r="WPF1"/>
      <c r="WPG1"/>
      <c r="WPH1"/>
      <c r="WPI1"/>
      <c r="WPJ1"/>
      <c r="WPK1"/>
      <c r="WPL1"/>
      <c r="WPM1"/>
      <c r="WPN1"/>
      <c r="WPO1"/>
      <c r="WPP1"/>
      <c r="WPQ1"/>
      <c r="WPR1"/>
      <c r="WPS1"/>
      <c r="WPT1"/>
      <c r="WPU1"/>
      <c r="WPV1"/>
      <c r="WPW1"/>
      <c r="WPX1"/>
      <c r="WPY1"/>
      <c r="WPZ1"/>
      <c r="WQA1"/>
      <c r="WQB1"/>
      <c r="WQC1"/>
      <c r="WQD1"/>
      <c r="WQE1"/>
      <c r="WQF1"/>
      <c r="WQG1"/>
      <c r="WQH1"/>
      <c r="WQI1"/>
      <c r="WQJ1"/>
      <c r="WQK1"/>
      <c r="WQL1"/>
      <c r="WQM1"/>
      <c r="WQN1"/>
      <c r="WQO1"/>
      <c r="WQP1"/>
      <c r="WQQ1"/>
      <c r="WQR1"/>
      <c r="WQS1"/>
      <c r="WQT1"/>
      <c r="WQU1"/>
      <c r="WQV1"/>
      <c r="WQW1"/>
      <c r="WQX1"/>
      <c r="WQY1"/>
      <c r="WQZ1"/>
      <c r="WRA1"/>
      <c r="WRB1"/>
      <c r="WRC1"/>
      <c r="WRD1"/>
      <c r="WRE1"/>
      <c r="WRF1"/>
      <c r="WRG1"/>
      <c r="WRH1"/>
      <c r="WRI1"/>
      <c r="WRJ1"/>
      <c r="WRK1"/>
      <c r="WRL1"/>
      <c r="WRM1"/>
      <c r="WRN1"/>
      <c r="WRO1"/>
      <c r="WRP1"/>
      <c r="WRQ1"/>
      <c r="WRR1"/>
      <c r="WRS1"/>
      <c r="WRT1"/>
      <c r="WRU1"/>
      <c r="WRV1"/>
      <c r="WRW1"/>
      <c r="WRX1"/>
      <c r="WRY1"/>
      <c r="WRZ1"/>
      <c r="WSA1"/>
      <c r="WSB1"/>
      <c r="WSC1"/>
      <c r="WSD1"/>
      <c r="WSE1"/>
      <c r="WSF1"/>
      <c r="WSG1"/>
      <c r="WSH1"/>
      <c r="WSI1"/>
      <c r="WSJ1"/>
      <c r="WSK1"/>
      <c r="WSL1"/>
      <c r="WSM1"/>
      <c r="WSN1"/>
      <c r="WSO1"/>
      <c r="WSP1"/>
      <c r="WSQ1"/>
      <c r="WSR1"/>
      <c r="WSS1"/>
      <c r="WST1"/>
      <c r="WSU1"/>
      <c r="WSV1"/>
      <c r="WSW1"/>
      <c r="WSX1"/>
      <c r="WSY1"/>
      <c r="WSZ1"/>
      <c r="WTA1"/>
      <c r="WTB1"/>
      <c r="WTC1"/>
      <c r="WTD1"/>
      <c r="WTE1"/>
      <c r="WTF1"/>
      <c r="WTG1"/>
      <c r="WTH1"/>
      <c r="WTI1"/>
      <c r="WTJ1"/>
      <c r="WTK1"/>
      <c r="WTL1"/>
      <c r="WTM1"/>
      <c r="WTN1"/>
      <c r="WTO1"/>
      <c r="WTP1"/>
      <c r="WTQ1"/>
      <c r="WTR1"/>
      <c r="WTS1"/>
      <c r="WTT1"/>
      <c r="WTU1"/>
      <c r="WTV1"/>
      <c r="WTW1"/>
      <c r="WTX1"/>
      <c r="WTY1"/>
      <c r="WTZ1"/>
      <c r="WUA1"/>
      <c r="WUB1"/>
      <c r="WUC1"/>
      <c r="WUD1"/>
      <c r="WUE1"/>
      <c r="WUF1"/>
      <c r="WUG1"/>
      <c r="WUH1"/>
      <c r="WUI1"/>
      <c r="WUJ1"/>
      <c r="WUK1"/>
      <c r="WUL1"/>
      <c r="WUM1"/>
      <c r="WUN1"/>
      <c r="WUO1"/>
      <c r="WUP1"/>
      <c r="WUQ1"/>
      <c r="WUR1"/>
      <c r="WUS1"/>
      <c r="WUT1"/>
      <c r="WUU1"/>
      <c r="WUV1"/>
      <c r="WUW1"/>
      <c r="WUX1"/>
      <c r="WUY1"/>
      <c r="WUZ1"/>
      <c r="WVA1"/>
      <c r="WVB1"/>
      <c r="WVC1"/>
      <c r="WVD1"/>
      <c r="WVE1"/>
      <c r="WVF1"/>
      <c r="WVG1"/>
      <c r="WVH1"/>
      <c r="WVI1"/>
      <c r="WVJ1"/>
      <c r="WVK1"/>
      <c r="WVL1"/>
      <c r="WVM1"/>
      <c r="WVN1"/>
      <c r="WVO1"/>
      <c r="WVP1"/>
      <c r="WVQ1"/>
      <c r="WVR1"/>
      <c r="WVS1"/>
      <c r="WVT1"/>
      <c r="WVU1"/>
      <c r="WVV1"/>
      <c r="WVW1"/>
      <c r="WVX1"/>
      <c r="WVY1"/>
      <c r="WVZ1"/>
      <c r="WWA1"/>
      <c r="WWB1"/>
      <c r="WWC1"/>
      <c r="WWD1"/>
      <c r="WWE1"/>
      <c r="WWF1"/>
      <c r="WWG1"/>
      <c r="WWH1"/>
      <c r="WWI1"/>
      <c r="WWJ1"/>
      <c r="WWK1"/>
      <c r="WWL1"/>
      <c r="WWM1"/>
      <c r="WWN1"/>
      <c r="WWO1"/>
      <c r="WWP1"/>
      <c r="WWQ1"/>
      <c r="WWR1"/>
      <c r="WWS1"/>
      <c r="WWT1"/>
      <c r="WWU1"/>
      <c r="WWV1"/>
      <c r="WWW1"/>
      <c r="WWX1"/>
      <c r="WWY1"/>
      <c r="WWZ1"/>
      <c r="WXA1"/>
      <c r="WXB1"/>
      <c r="WXC1"/>
      <c r="WXD1"/>
      <c r="WXE1"/>
      <c r="WXF1"/>
      <c r="WXG1"/>
      <c r="WXH1"/>
      <c r="WXI1"/>
      <c r="WXJ1"/>
      <c r="WXK1"/>
      <c r="WXL1"/>
      <c r="WXM1"/>
      <c r="WXN1"/>
      <c r="WXO1"/>
      <c r="WXP1"/>
      <c r="WXQ1"/>
      <c r="WXR1"/>
      <c r="WXS1"/>
      <c r="WXT1"/>
      <c r="WXU1"/>
      <c r="WXV1"/>
      <c r="WXW1"/>
      <c r="WXX1"/>
      <c r="WXY1"/>
      <c r="WXZ1"/>
      <c r="WYA1"/>
      <c r="WYB1"/>
      <c r="WYC1"/>
      <c r="WYD1"/>
      <c r="WYE1"/>
      <c r="WYF1"/>
      <c r="WYG1"/>
      <c r="WYH1"/>
      <c r="WYI1"/>
      <c r="WYJ1"/>
      <c r="WYK1"/>
      <c r="WYL1"/>
      <c r="WYM1"/>
      <c r="WYN1"/>
      <c r="WYO1"/>
      <c r="WYP1"/>
      <c r="WYQ1"/>
      <c r="WYR1"/>
      <c r="WYS1"/>
      <c r="WYT1"/>
      <c r="WYU1"/>
      <c r="WYV1"/>
      <c r="WYW1"/>
      <c r="WYX1"/>
      <c r="WYY1"/>
      <c r="WYZ1"/>
      <c r="WZA1"/>
      <c r="WZB1"/>
      <c r="WZC1"/>
      <c r="WZD1"/>
      <c r="WZE1"/>
      <c r="WZF1"/>
      <c r="WZG1"/>
      <c r="WZH1"/>
      <c r="WZI1"/>
      <c r="WZJ1"/>
      <c r="WZK1"/>
      <c r="WZL1"/>
      <c r="WZM1"/>
      <c r="WZN1"/>
      <c r="WZO1"/>
      <c r="WZP1"/>
      <c r="WZQ1"/>
      <c r="WZR1"/>
      <c r="WZS1"/>
      <c r="WZT1"/>
      <c r="WZU1"/>
      <c r="WZV1"/>
      <c r="WZW1"/>
      <c r="WZX1"/>
      <c r="WZY1"/>
      <c r="WZZ1"/>
      <c r="XAA1"/>
      <c r="XAB1"/>
      <c r="XAC1"/>
      <c r="XAD1"/>
      <c r="XAE1"/>
      <c r="XAF1"/>
      <c r="XAG1"/>
      <c r="XAH1"/>
      <c r="XAI1"/>
      <c r="XAJ1"/>
      <c r="XAK1"/>
      <c r="XAL1"/>
      <c r="XAM1"/>
      <c r="XAN1"/>
      <c r="XAO1"/>
      <c r="XAP1"/>
      <c r="XAQ1"/>
      <c r="XAR1"/>
      <c r="XAS1"/>
      <c r="XAT1"/>
      <c r="XAU1"/>
      <c r="XAV1"/>
      <c r="XAW1"/>
      <c r="XAX1"/>
      <c r="XAY1"/>
      <c r="XAZ1"/>
      <c r="XBA1"/>
      <c r="XBB1"/>
      <c r="XBC1"/>
      <c r="XBD1"/>
      <c r="XBE1"/>
      <c r="XBF1"/>
      <c r="XBG1"/>
      <c r="XBH1"/>
      <c r="XBI1"/>
      <c r="XBJ1"/>
      <c r="XBK1"/>
      <c r="XBL1"/>
      <c r="XBM1"/>
      <c r="XBN1"/>
      <c r="XBO1"/>
      <c r="XBP1"/>
      <c r="XBQ1"/>
      <c r="XBR1"/>
      <c r="XBS1"/>
      <c r="XBT1"/>
      <c r="XBU1"/>
      <c r="XBV1"/>
      <c r="XBW1"/>
      <c r="XBX1"/>
      <c r="XBY1"/>
      <c r="XBZ1"/>
      <c r="XCA1"/>
      <c r="XCB1"/>
      <c r="XCC1"/>
      <c r="XCD1"/>
      <c r="XCE1"/>
      <c r="XCF1"/>
      <c r="XCG1"/>
      <c r="XCH1"/>
      <c r="XCI1"/>
      <c r="XCJ1"/>
      <c r="XCK1"/>
      <c r="XCL1"/>
      <c r="XCM1"/>
      <c r="XCN1"/>
      <c r="XCO1"/>
      <c r="XCP1"/>
      <c r="XCQ1"/>
      <c r="XCR1"/>
      <c r="XCS1"/>
      <c r="XCT1"/>
      <c r="XCU1"/>
      <c r="XCV1"/>
      <c r="XCW1"/>
      <c r="XCX1"/>
      <c r="XCY1"/>
      <c r="XCZ1"/>
      <c r="XDA1"/>
      <c r="XDB1"/>
      <c r="XDC1"/>
      <c r="XDD1"/>
      <c r="XDE1"/>
      <c r="XDF1"/>
      <c r="XDG1"/>
      <c r="XDH1"/>
      <c r="XDI1"/>
      <c r="XDJ1"/>
      <c r="XDK1"/>
      <c r="XDL1"/>
      <c r="XDM1"/>
      <c r="XDN1"/>
      <c r="XDO1"/>
      <c r="XDP1"/>
      <c r="XDQ1"/>
      <c r="XDR1"/>
      <c r="XDS1"/>
      <c r="XDT1"/>
      <c r="XDU1"/>
      <c r="XDV1"/>
      <c r="XDW1"/>
      <c r="XDX1"/>
      <c r="XDY1"/>
      <c r="XDZ1"/>
      <c r="XEA1"/>
      <c r="XEB1"/>
      <c r="XEC1"/>
      <c r="XED1"/>
      <c r="XEE1"/>
      <c r="XEF1"/>
      <c r="XEG1"/>
      <c r="XEH1"/>
      <c r="XEI1"/>
      <c r="XEJ1"/>
      <c r="XEK1"/>
      <c r="XEL1"/>
      <c r="XEM1"/>
      <c r="XEN1"/>
      <c r="XEO1"/>
      <c r="XEP1"/>
      <c r="XEQ1"/>
      <c r="XER1"/>
      <c r="XES1"/>
      <c r="XET1"/>
      <c r="XEU1"/>
      <c r="XEV1"/>
      <c r="XEW1"/>
      <c r="XEX1"/>
      <c r="XEY1"/>
      <c r="XEZ1"/>
      <c r="XFA1"/>
      <c r="XFB1"/>
      <c r="XFC1"/>
      <c r="XFD1"/>
    </row>
    <row r="2" spans="1:16384" hidden="1" x14ac:dyDescent="0.25">
      <c r="A2" s="219"/>
      <c r="B2" s="102"/>
      <c r="C2" s="102"/>
      <c r="D2" s="102"/>
      <c r="E2" s="102"/>
      <c r="F2" s="102"/>
      <c r="G2" s="102"/>
      <c r="H2" s="102"/>
      <c r="I2" s="103"/>
      <c r="J2" s="102"/>
      <c r="K2" s="102"/>
      <c r="L2" s="186"/>
      <c r="M2" s="102"/>
      <c r="N2" s="103"/>
      <c r="O2" s="102"/>
      <c r="P2" s="177"/>
      <c r="Q2" s="102"/>
      <c r="R2" s="103"/>
      <c r="S2" s="103"/>
      <c r="T2" s="103"/>
      <c r="U2" s="103"/>
      <c r="V2" s="103"/>
      <c r="W2" s="103"/>
      <c r="X2" s="103"/>
      <c r="Y2" s="103"/>
      <c r="Z2" s="103"/>
      <c r="AA2" s="103"/>
      <c r="AB2" s="103"/>
      <c r="AC2" s="103"/>
      <c r="AD2" s="103"/>
      <c r="AE2" s="103"/>
      <c r="AF2" s="103"/>
      <c r="AG2" s="103"/>
      <c r="AH2" s="103"/>
      <c r="AI2" s="103"/>
      <c r="AJ2" s="103"/>
      <c r="AK2" s="103"/>
      <c r="AL2" s="103"/>
      <c r="AM2" s="103"/>
      <c r="AN2" s="103"/>
      <c r="AO2" s="102"/>
      <c r="AP2" s="168"/>
      <c r="AQ2" s="103"/>
      <c r="AR2" s="102"/>
    </row>
    <row r="3" spans="1:16384" hidden="1" x14ac:dyDescent="0.25">
      <c r="A3" s="219"/>
      <c r="B3" s="102"/>
      <c r="C3" s="102"/>
      <c r="D3" s="102"/>
      <c r="E3" s="102"/>
      <c r="F3" s="102"/>
      <c r="G3" s="102"/>
      <c r="H3" s="102"/>
      <c r="I3" s="103"/>
      <c r="J3" s="102"/>
      <c r="K3" s="102"/>
      <c r="L3" s="186"/>
      <c r="M3" s="102"/>
      <c r="N3" s="103"/>
      <c r="O3" s="102"/>
      <c r="P3" s="177"/>
      <c r="Q3" s="102"/>
      <c r="R3" s="103"/>
      <c r="S3" s="103"/>
      <c r="T3" s="103"/>
      <c r="U3" s="103"/>
      <c r="V3" s="103"/>
      <c r="W3" s="103"/>
      <c r="X3" s="103"/>
      <c r="Y3" s="103"/>
      <c r="Z3" s="103"/>
      <c r="AA3" s="103"/>
      <c r="AB3" s="103"/>
      <c r="AC3" s="103"/>
      <c r="AD3" s="103"/>
      <c r="AE3" s="103"/>
      <c r="AF3" s="103"/>
      <c r="AG3" s="103"/>
      <c r="AH3" s="103"/>
      <c r="AI3" s="103"/>
      <c r="AJ3" s="103"/>
      <c r="AK3" s="103"/>
      <c r="AL3" s="103"/>
      <c r="AM3" s="103"/>
      <c r="AN3" s="103"/>
      <c r="AO3" s="102"/>
      <c r="AP3" s="168"/>
      <c r="AQ3" s="103"/>
      <c r="AR3" s="102"/>
    </row>
    <row r="4" spans="1:16384" hidden="1" x14ac:dyDescent="0.25">
      <c r="A4" s="219"/>
      <c r="B4" s="102"/>
      <c r="C4" s="102"/>
      <c r="D4" s="102"/>
      <c r="E4" s="102"/>
      <c r="F4" s="102"/>
      <c r="G4" s="102"/>
      <c r="H4" s="102"/>
      <c r="I4" s="103"/>
      <c r="J4" s="102"/>
      <c r="K4" s="102"/>
      <c r="L4" s="186"/>
      <c r="M4" s="102"/>
      <c r="N4" s="103"/>
      <c r="O4" s="102"/>
      <c r="P4" s="177"/>
      <c r="Q4" s="102"/>
      <c r="R4" s="103"/>
      <c r="S4" s="103"/>
      <c r="T4" s="103"/>
      <c r="U4" s="103"/>
      <c r="V4" s="103"/>
      <c r="W4" s="103"/>
      <c r="X4" s="103"/>
      <c r="Y4" s="103"/>
      <c r="Z4" s="103"/>
      <c r="AA4" s="103"/>
      <c r="AB4" s="103"/>
      <c r="AC4" s="103"/>
      <c r="AD4" s="103"/>
      <c r="AE4" s="103"/>
      <c r="AF4" s="103"/>
      <c r="AG4" s="103"/>
      <c r="AH4" s="103"/>
      <c r="AI4" s="103"/>
      <c r="AJ4" s="103"/>
      <c r="AK4" s="103"/>
      <c r="AL4" s="103"/>
      <c r="AM4" s="103"/>
      <c r="AN4" s="103"/>
      <c r="AO4" s="102"/>
      <c r="AP4" s="168"/>
      <c r="AQ4" s="103"/>
      <c r="AR4" s="102"/>
    </row>
    <row r="5" spans="1:16384" hidden="1" x14ac:dyDescent="0.25">
      <c r="A5" s="220"/>
      <c r="B5" s="99"/>
      <c r="C5" s="99"/>
      <c r="D5" s="99"/>
      <c r="E5" s="155"/>
      <c r="F5" s="56"/>
      <c r="G5" s="99"/>
      <c r="H5" s="99"/>
      <c r="I5" s="234"/>
      <c r="J5" s="99"/>
      <c r="K5" s="99"/>
      <c r="L5" s="187"/>
      <c r="M5" s="99"/>
      <c r="N5" s="101"/>
      <c r="O5" s="155"/>
      <c r="P5" s="178"/>
      <c r="Q5" s="100"/>
      <c r="R5" s="234"/>
      <c r="S5" s="234"/>
      <c r="T5" s="234"/>
      <c r="U5" s="234"/>
      <c r="V5" s="234"/>
      <c r="W5" s="234"/>
      <c r="X5" s="234"/>
      <c r="Y5" s="234"/>
      <c r="Z5" s="234"/>
      <c r="AA5" s="234"/>
      <c r="AB5" s="234"/>
      <c r="AC5" s="234"/>
      <c r="AD5" s="234"/>
      <c r="AE5" s="234"/>
      <c r="AF5" s="234"/>
      <c r="AG5" s="234"/>
      <c r="AH5" s="234"/>
      <c r="AI5" s="234"/>
      <c r="AJ5" s="234"/>
      <c r="AK5" s="234"/>
      <c r="AL5" s="234"/>
      <c r="AM5" s="234"/>
      <c r="AN5" s="234"/>
      <c r="AO5" s="98"/>
      <c r="AP5" s="169"/>
      <c r="AQ5" s="234"/>
      <c r="AR5" s="104"/>
    </row>
    <row r="6" spans="1:16384" ht="25.5" hidden="1" x14ac:dyDescent="0.25">
      <c r="A6" s="221" t="str">
        <f>'FS Aftale'!$F$1&amp;"-"&amp;'FS Aftale'!$G$1</f>
        <v>Kundenr.-Ejendom</v>
      </c>
      <c r="B6" s="61" t="str">
        <f>Ydelser!A6&amp;" - "&amp;Ydelser!C6</f>
        <v>101 - Håndtering af forsikrings- og skadesager</v>
      </c>
      <c r="C6" s="61" t="str">
        <f>Ydelser!D6</f>
        <v>Afhjælpning af forsikringsskader, indhentning af tilbud, koordinering, kontrol, fakturering og opgørelse udføres efter medgået tid.</v>
      </c>
      <c r="D6" s="61" t="b">
        <f>'FS Aftale'!D6</f>
        <v>0</v>
      </c>
      <c r="E6" s="156" t="str">
        <f>'FS Aftale'!E6</f>
        <v>Timeafregnet</v>
      </c>
      <c r="F6" s="156" t="str">
        <f>Støtteark!$C$15</f>
        <v>Team Ansvarlig</v>
      </c>
      <c r="G6" s="61" t="str">
        <f>Støtteark!$C$16</f>
        <v>Ansvarlig</v>
      </c>
      <c r="H6" s="61" t="str">
        <f>Støtteark!$C$17</f>
        <v>Servicemedarb.</v>
      </c>
      <c r="I6" s="235"/>
      <c r="J6" s="157" t="str">
        <f>Støtteark!$U$18</f>
        <v>Fast</v>
      </c>
      <c r="K6" s="157" t="str">
        <f>Støtteark!$U$19</f>
        <v>FS aftale</v>
      </c>
      <c r="L6" s="188">
        <f>Støtteark!$U$15</f>
        <v>1</v>
      </c>
      <c r="M6" s="157" t="str">
        <f>Støtteark!$U$20</f>
        <v>Mangler planlægning</v>
      </c>
      <c r="N6" s="147" t="str">
        <f>IFERROR(VLOOKUP(O6,Støtteark!$B$21:$F$35,MATCH(E6,Støtteark!$B$21:$F$21,0),0),Støtteark!$L$35)</f>
        <v>Vælg en anden kombination</v>
      </c>
      <c r="O6" s="62">
        <f>'FS Aftale'!F6</f>
        <v>0</v>
      </c>
      <c r="P6" s="179" t="s">
        <v>374</v>
      </c>
      <c r="Q6" s="63">
        <f>'FS Aftale'!G6*Støtteark!$Q$15</f>
        <v>60</v>
      </c>
      <c r="R6" s="235"/>
      <c r="S6" s="231" t="str">
        <f>IF(OR(AND(OR(N6 = Støtteark!$L$25,N6 = Støtteark!$L$26,N6 = Støtteark!$L$28),E6&lt;&gt;Støtteark!$U$6,OR(O6=Støtteark!$B$22,O6=Støtteark!$B$23,O6=Støtteark!$B$24,O6=Støtteark!$B$25,O6=Støtteark!$B$26,O6=Støtteark!$B$27,O6=Støtteark!$B$28)),AND(E6=Støtteark!$U$6,OR(O6=Støtteark!$B$24,O6=Støtteark!$B$27,O6=Støtteark!$B$29))),1,"")</f>
        <v/>
      </c>
      <c r="T6" s="232" t="str">
        <f>IF(OR(AND(N6 = Støtteark!$L$25,E6&lt;&gt;Støtteark!$U$6,O6=Støtteark!$B$22),AND(E6=Støtteark!$U$6,O6=Støtteark!$B$24),O6=Støtteark!$B$22),1,"")</f>
        <v/>
      </c>
      <c r="U6" s="232" t="str">
        <f>IF(OR(AND(N6 = Støtteark!$L$25,E6&lt;&gt;Støtteark!$U$6,OR(O6=Støtteark!$B$22,O6=Støtteark!$B$23,O6=Støtteark!$B$24)),AND(E6=Støtteark!$U$6,OR(O6=Støtteark!$B$22,O6=Støtteark!$B$24))),1,"")</f>
        <v/>
      </c>
      <c r="V6" s="232" t="str">
        <f>IF(OR(AND(N6 = Støtteark!$L$25,E6&lt;&gt;Støtteark!$U$6,O6=Støtteark!$B$22),AND(E6=Støtteark!$U$6,OR(O6=Støtteark!$B$22,O6=Støtteark!$B$24))),1,"")</f>
        <v/>
      </c>
      <c r="W6" s="232" t="str">
        <f>IF(OR(AND(N6 = Støtteark!$L$25,E6&lt;&gt;Støtteark!$U$6,OR(O6=Støtteark!$B$22,O6=Støtteark!$B$23,O6=Støtteark!$B$24,O6=Støtteark!$B$25)),AND(E6=Støtteark!$U$6,OR(O6=Støtteark!$B$22,O6=Støtteark!$B$24))),1,"")</f>
        <v/>
      </c>
      <c r="X6" s="231"/>
      <c r="Y6" s="231"/>
      <c r="Z6" s="235"/>
      <c r="AA6" s="231" t="str">
        <f>IF(OR(AND(E6&lt;&gt;Støtteark!$U$6,N6 = Støtteark!$L$25),N6 = Støtteark!$L$26,N6 = Støtteark!$L$28,AND(N6 = Støtteark!$L$29,E6&lt;&gt;Støtteark!$U$6,OR(O6=Støtteark!$B$30,O6=Støtteark!$B$32,O6=Støtteark!$B$33,AND(E6&lt;&gt;Støtteark!$U$6,O6=Støtteark!$B$34),O6=Støtteark!$B$35))),1,"")</f>
        <v/>
      </c>
      <c r="AB6" s="231" t="str">
        <f>IF(OR(AND(E6&lt;&gt;Støtteark!$U$6,N6 = Støtteark!$L$25),N6 = Støtteark!$L$26,N6 = Støtteark!$L$28,AND(N6 = Støtteark!$L$29,O6=Støtteark!$B$34)),1,"")</f>
        <v/>
      </c>
      <c r="AC6" s="231" t="str">
        <f>IF(OR(AND(E6&lt;&gt;Støtteark!$U$6,N6 = Støtteark!$L$25),N6 = Støtteark!$L$26,N6 = Støtteark!$L$28,AND(N6 = Støtteark!$L$29,E6&lt;&gt;Støtteark!$U$6,OR(O6=Støtteark!$B$30,O6 = Støtteark!$B$34))),1,"")</f>
        <v/>
      </c>
      <c r="AD6" s="232" t="str">
        <f>IF(OR(N6 = Støtteark!$L$25,N6 = Støtteark!$L$26,N6 = Støtteark!$L$28,AND(N6 = Støtteark!$L$29,OR(O6=Støtteark!$B$34,O6=Støtteark!$B$35)),AND(E6=Støtteark!$U$6,OR(O6=Støtteark!$B$29,O6=Støtteark!$B$30,O6=Støtteark!$B$32,O6=Støtteark!$B$33))),1,"")</f>
        <v/>
      </c>
      <c r="AE6" s="231" t="str">
        <f>IF(OR(N6 = Støtteark!$L$25,N6 = Støtteark!$L$26,N6 = Støtteark!$L$28,AND(N6 = Støtteark!$L$29,OR(O6=Støtteark!$B$34,O6 = Støtteark!$B$30)),AND(E6=Støtteark!$U$6,O6=Støtteark!$B$29)),1,"")</f>
        <v/>
      </c>
      <c r="AF6" s="231" t="str">
        <f>IF(OR(N6 = Støtteark!$L$25,N6 = Støtteark!$L$26,N6 = Støtteark!$L$28,AND(N6 = Støtteark!$L$29,O6=Støtteark!$B$34),AND(E6=Støtteark!$U$6,O6=Støtteark!$B$30),AND(E6=Støtteark!$U$6,O6=Støtteark!$B$29)),1,"")</f>
        <v/>
      </c>
      <c r="AG6" s="231" t="str">
        <f>IF(OR(N6 = Støtteark!$L$25,N6 = Støtteark!$L$26,N6 = Støtteark!$L$28,AND(N6 = Støtteark!$L$29,OR(O6=Støtteark!$B$30,O6 = Støtteark!$B$31,O6=Støtteark!$B$32,O6=Støtteark!$B$34)),AND(E6=Støtteark!$U$6,OR(O6=Støtteark!$B$29,O6=Støtteark!$B$31))),1,"")</f>
        <v/>
      </c>
      <c r="AH6" s="231" t="str">
        <f>IF(OR(N6 = Støtteark!$L$25,N6 = Støtteark!$L$26,N6 = Støtteark!$L$28,AND(N6 = Støtteark!$L$29,O6=Støtteark!$B$34),AND(E6=Støtteark!$U$6,OR(O6=Støtteark!$B$29,O6=Støtteark!$B$30))),1,"")</f>
        <v/>
      </c>
      <c r="AI6" s="231" t="str">
        <f>IF(OR(N6 = Støtteark!$L$25,N6 = Støtteark!$L$26,N6 = Støtteark!$L$28,AND(N6 = Støtteark!$L$29,OR(O6=Støtteark!$B$34,O6 = Støtteark!$B$30)),AND(E6=Støtteark!$U$6,OR(O6=Støtteark!$B$29,O6=Støtteark!$B$30))),1,"")</f>
        <v/>
      </c>
      <c r="AJ6" s="231" t="str">
        <f>IF(OR(AND(E6&lt;&gt;Støtteark!$U$6,N6 = Støtteark!$L$25),N6 = Støtteark!$L$26,N6 = Støtteark!$L$28,AND(N6 = Støtteark!$L$29,OR(O6=Støtteark!$B$34,O6=Støtteark!$B$35),O6&lt;&gt;Støtteark!$B$30)),1,"")</f>
        <v/>
      </c>
      <c r="AK6" s="231" t="str">
        <f>IF(OR(AND(E6&lt;&gt;Støtteark!$U$6,N6 = Støtteark!$L$25),N6 = Støtteark!$L$26,N6 = Støtteark!$L$28,AND(N6 = Støtteark!$L$29,E6&lt;&gt;Støtteark!$U$6,OR(O6=Støtteark!$B$34,O6 = Støtteark!$B$30))),1,"")</f>
        <v/>
      </c>
      <c r="AL6" s="231" t="str">
        <f>IF(OR(AND(E6&lt;&gt;Støtteark!$U$6,N6 = Støtteark!$L$25),N6 = Støtteark!$L$26,N6 = Støtteark!$L$28,AND(N6 = Støtteark!$L$29,O6=Støtteark!$B$34)),1,"")</f>
        <v/>
      </c>
      <c r="AM6" s="231" t="str">
        <f>IF(AND(N6 = Støtteark!$L$29,OR(O6=Støtteark!$B$30,O6=Støtteark!$B$32,O6=Støtteark!$B$33,O6=Støtteark!$B$34,O6=Støtteark!$B$35)),Støtteark!$L$32,"")</f>
        <v/>
      </c>
      <c r="AN6" s="235"/>
      <c r="AO6" s="91"/>
      <c r="AP6" s="170">
        <v>0</v>
      </c>
      <c r="AQ6" s="235"/>
      <c r="AR6" s="64">
        <f ca="1">Støtteark!$C$2</f>
        <v>44022</v>
      </c>
    </row>
    <row r="7" spans="1:16384" ht="25.5" hidden="1" x14ac:dyDescent="0.25">
      <c r="A7" s="221" t="str">
        <f>A6</f>
        <v>Kundenr.-Ejendom</v>
      </c>
      <c r="B7" s="61" t="str">
        <f>Ydelser!A7&amp;" - "&amp;Ydelser!C7</f>
        <v>102 - Håndtering af mindre byggesager</v>
      </c>
      <c r="C7" s="61" t="str">
        <f>Ydelser!D7</f>
        <v>Udføres af inspektørteam.</v>
      </c>
      <c r="D7" s="61" t="b">
        <f>'FS Aftale'!D7</f>
        <v>0</v>
      </c>
      <c r="E7" s="156" t="str">
        <f>'FS Aftale'!E7</f>
        <v>Timeafregnet</v>
      </c>
      <c r="F7" s="61" t="str">
        <f>F6</f>
        <v>Team Ansvarlig</v>
      </c>
      <c r="G7" s="61" t="str">
        <f t="shared" ref="G7:H8" si="0">G6</f>
        <v>Ansvarlig</v>
      </c>
      <c r="H7" s="61" t="str">
        <f t="shared" si="0"/>
        <v>Servicemedarb.</v>
      </c>
      <c r="I7" s="235"/>
      <c r="J7" s="61" t="str">
        <f t="shared" ref="J7:M8" si="1">J6</f>
        <v>Fast</v>
      </c>
      <c r="K7" s="61" t="str">
        <f t="shared" si="1"/>
        <v>FS aftale</v>
      </c>
      <c r="L7" s="188">
        <f t="shared" si="1"/>
        <v>1</v>
      </c>
      <c r="M7" s="157" t="str">
        <f t="shared" si="1"/>
        <v>Mangler planlægning</v>
      </c>
      <c r="N7" s="147" t="str">
        <f>IFERROR(VLOOKUP(O7,Støtteark!$B$21:$F$35,MATCH(E7,Støtteark!$B$21:$F$21,0),0),Støtteark!$L$35)</f>
        <v>Vælg en anden kombination</v>
      </c>
      <c r="O7" s="62">
        <f>'FS Aftale'!F7</f>
        <v>0</v>
      </c>
      <c r="P7" s="179" t="str">
        <f>P6</f>
        <v>7:00</v>
      </c>
      <c r="Q7" s="63">
        <f>'FS Aftale'!G7*Støtteark!$Q$15</f>
        <v>60</v>
      </c>
      <c r="R7" s="235"/>
      <c r="S7" s="231" t="str">
        <f>IF(OR(AND(OR(N7 = Støtteark!$L$25,N7 = Støtteark!$L$26,N7 = Støtteark!$L$28),E7&lt;&gt;Støtteark!$U$6,OR(O7=Støtteark!$B$22,O7=Støtteark!$B$23,O7=Støtteark!$B$24,O7=Støtteark!$B$25,O7=Støtteark!$B$26,O7=Støtteark!$B$27,O7=Støtteark!$B$28)),AND(E7=Støtteark!$U$6,OR(O7=Støtteark!$B$24,O7=Støtteark!$B$27,O7=Støtteark!$B$29))),1,"")</f>
        <v/>
      </c>
      <c r="T7" s="232" t="str">
        <f>IF(OR(AND(N7 = Støtteark!$L$25,E7&lt;&gt;Støtteark!$U$6,O7=Støtteark!$B$22),AND(E7=Støtteark!$U$6,O7=Støtteark!$B$24),O7=Støtteark!$B$22),1,"")</f>
        <v/>
      </c>
      <c r="U7" s="232" t="str">
        <f>IF(OR(AND(N7 = Støtteark!$L$25,E7&lt;&gt;Støtteark!$U$6,OR(O7=Støtteark!$B$22,O7=Støtteark!$B$23,O7=Støtteark!$B$24)),AND(E7=Støtteark!$U$6,OR(O7=Støtteark!$B$22,O7=Støtteark!$B$24))),1,"")</f>
        <v/>
      </c>
      <c r="V7" s="232" t="str">
        <f>IF(OR(AND(N7 = Støtteark!$L$25,E7&lt;&gt;Støtteark!$U$6,O7=Støtteark!$B$22),AND(E7=Støtteark!$U$6,OR(O7=Støtteark!$B$22,O7=Støtteark!$B$24))),1,"")</f>
        <v/>
      </c>
      <c r="W7" s="232" t="str">
        <f>IF(OR(AND(N7 = Støtteark!$L$25,E7&lt;&gt;Støtteark!$U$6,OR(O7=Støtteark!$B$22,O7=Støtteark!$B$23,O7=Støtteark!$B$24,O7=Støtteark!$B$25)),AND(E7=Støtteark!$U$6,OR(O7=Støtteark!$B$22,O7=Støtteark!$B$24))),1,"")</f>
        <v/>
      </c>
      <c r="X7" s="231"/>
      <c r="Y7" s="231"/>
      <c r="Z7" s="235"/>
      <c r="AA7" s="231" t="str">
        <f>IF(OR(AND(E7&lt;&gt;Støtteark!$U$6,N7 = Støtteark!$L$25),N7 = Støtteark!$L$26,N7 = Støtteark!$L$28,AND(N7 = Støtteark!$L$29,E7&lt;&gt;Støtteark!$U$6,OR(O7=Støtteark!$B$30,O7=Støtteark!$B$32,O7=Støtteark!$B$33,AND(E7&lt;&gt;Støtteark!$U$6,O7=Støtteark!$B$34),O7=Støtteark!$B$35))),1,"")</f>
        <v/>
      </c>
      <c r="AB7" s="231" t="str">
        <f>IF(OR(AND(E7&lt;&gt;Støtteark!$U$6,N7 = Støtteark!$L$25),N7 = Støtteark!$L$26,N7 = Støtteark!$L$28,AND(N7 = Støtteark!$L$29,O7=Støtteark!$B$34)),1,"")</f>
        <v/>
      </c>
      <c r="AC7" s="231" t="str">
        <f>IF(OR(AND(E7&lt;&gt;Støtteark!$U$6,N7 = Støtteark!$L$25),N7 = Støtteark!$L$26,N7 = Støtteark!$L$28,AND(N7 = Støtteark!$L$29,E7&lt;&gt;Støtteark!$U$6,OR(O7=Støtteark!$B$30,O7 = Støtteark!$B$34))),1,"")</f>
        <v/>
      </c>
      <c r="AD7" s="232" t="str">
        <f>IF(OR(N7 = Støtteark!$L$25,N7 = Støtteark!$L$26,N7 = Støtteark!$L$28,AND(N7 = Støtteark!$L$29,OR(O7=Støtteark!$B$34,O7=Støtteark!$B$35)),AND(E7=Støtteark!$U$6,OR(O7=Støtteark!$B$29,O7=Støtteark!$B$30,O7=Støtteark!$B$32,O7=Støtteark!$B$33))),1,"")</f>
        <v/>
      </c>
      <c r="AE7" s="231" t="str">
        <f>IF(OR(N7 = Støtteark!$L$25,N7 = Støtteark!$L$26,N7 = Støtteark!$L$28,AND(N7 = Støtteark!$L$29,OR(O7=Støtteark!$B$34,O7 = Støtteark!$B$30)),AND(E7=Støtteark!$U$6,O7=Støtteark!$B$29)),1,"")</f>
        <v/>
      </c>
      <c r="AF7" s="231" t="str">
        <f>IF(OR(N7 = Støtteark!$L$25,N7 = Støtteark!$L$26,N7 = Støtteark!$L$28,AND(N7 = Støtteark!$L$29,O7=Støtteark!$B$34),AND(E7=Støtteark!$U$6,O7=Støtteark!$B$30),AND(E7=Støtteark!$U$6,O7=Støtteark!$B$29)),1,"")</f>
        <v/>
      </c>
      <c r="AG7" s="231" t="str">
        <f>IF(OR(N7 = Støtteark!$L$25,N7 = Støtteark!$L$26,N7 = Støtteark!$L$28,AND(N7 = Støtteark!$L$29,OR(O7=Støtteark!$B$30,O7 = Støtteark!$B$31,O7=Støtteark!$B$32,O7=Støtteark!$B$34)),AND(E7=Støtteark!$U$6,OR(O7=Støtteark!$B$29,O7=Støtteark!$B$31))),1,"")</f>
        <v/>
      </c>
      <c r="AH7" s="231" t="str">
        <f>IF(OR(N7 = Støtteark!$L$25,N7 = Støtteark!$L$26,N7 = Støtteark!$L$28,AND(N7 = Støtteark!$L$29,O7=Støtteark!$B$34),AND(E7=Støtteark!$U$6,OR(O7=Støtteark!$B$29,O7=Støtteark!$B$30))),1,"")</f>
        <v/>
      </c>
      <c r="AI7" s="231" t="str">
        <f>IF(OR(N7 = Støtteark!$L$25,N7 = Støtteark!$L$26,N7 = Støtteark!$L$28,AND(N7 = Støtteark!$L$29,OR(O7=Støtteark!$B$34,O7 = Støtteark!$B$30)),AND(E7=Støtteark!$U$6,OR(O7=Støtteark!$B$29,O7=Støtteark!$B$30))),1,"")</f>
        <v/>
      </c>
      <c r="AJ7" s="231" t="str">
        <f>IF(OR(AND(E7&lt;&gt;Støtteark!$U$6,N7 = Støtteark!$L$25),N7 = Støtteark!$L$26,N7 = Støtteark!$L$28,AND(N7 = Støtteark!$L$29,OR(O7=Støtteark!$B$34,O7=Støtteark!$B$35),O7&lt;&gt;Støtteark!$B$30)),1,"")</f>
        <v/>
      </c>
      <c r="AK7" s="231" t="str">
        <f>IF(OR(AND(E7&lt;&gt;Støtteark!$U$6,N7 = Støtteark!$L$25),N7 = Støtteark!$L$26,N7 = Støtteark!$L$28,AND(N7 = Støtteark!$L$29,E7&lt;&gt;Støtteark!$U$6,OR(O7=Støtteark!$B$34,O7 = Støtteark!$B$30))),1,"")</f>
        <v/>
      </c>
      <c r="AL7" s="231" t="str">
        <f>IF(OR(AND(E7&lt;&gt;Støtteark!$U$6,N7 = Støtteark!$L$25),N7 = Støtteark!$L$26,N7 = Støtteark!$L$28,AND(N7 = Støtteark!$L$29,O7=Støtteark!$B$34)),1,"")</f>
        <v/>
      </c>
      <c r="AM7" s="231" t="str">
        <f>IF(AND(N7 = Støtteark!$L$29,OR(O7=Støtteark!$B$30,O7=Støtteark!$B$32,O7=Støtteark!$B$33,O7=Støtteark!$B$34,O7=Støtteark!$B$35)),Støtteark!$L$32,"")</f>
        <v/>
      </c>
      <c r="AN7" s="235"/>
      <c r="AO7" s="91"/>
      <c r="AP7" s="170">
        <v>0</v>
      </c>
      <c r="AQ7" s="235"/>
      <c r="AR7" s="64">
        <f ca="1">AR6</f>
        <v>44022</v>
      </c>
    </row>
    <row r="8" spans="1:16384" ht="25.5" hidden="1" x14ac:dyDescent="0.25">
      <c r="A8" s="221" t="str">
        <f>A7</f>
        <v>Kundenr.-Ejendom</v>
      </c>
      <c r="B8" s="61" t="str">
        <f>Ydelser!A8&amp;" - "&amp;Ydelser!C8</f>
        <v>103 - Deltagelse i møder ud over driftsmøder</v>
      </c>
      <c r="C8" s="61" t="str">
        <f>Ydelser!D8</f>
        <v>Definerede mødetyper, som ikke er driftsmøder.
Eksempelvis beboer-, bestyrelses-, nævns- og budgetmøder.</v>
      </c>
      <c r="D8" s="61" t="b">
        <f>'FS Aftale'!D8</f>
        <v>0</v>
      </c>
      <c r="E8" s="156" t="str">
        <f>'FS Aftale'!E8</f>
        <v>Timeafregnet</v>
      </c>
      <c r="F8" s="61" t="str">
        <f>F7</f>
        <v>Team Ansvarlig</v>
      </c>
      <c r="G8" s="61" t="str">
        <f t="shared" si="0"/>
        <v>Ansvarlig</v>
      </c>
      <c r="H8" s="61" t="str">
        <f t="shared" si="0"/>
        <v>Servicemedarb.</v>
      </c>
      <c r="I8" s="235"/>
      <c r="J8" s="61" t="str">
        <f t="shared" si="1"/>
        <v>Fast</v>
      </c>
      <c r="K8" s="61" t="str">
        <f t="shared" si="1"/>
        <v>FS aftale</v>
      </c>
      <c r="L8" s="188">
        <f t="shared" si="1"/>
        <v>1</v>
      </c>
      <c r="M8" s="157" t="str">
        <f t="shared" si="1"/>
        <v>Mangler planlægning</v>
      </c>
      <c r="N8" s="147" t="str">
        <f>IFERROR(VLOOKUP(O8,Støtteark!$B$21:$F$35,MATCH(E8,Støtteark!$B$21:$F$21,0),0),Støtteark!$L$35)</f>
        <v>Vælg en anden kombination</v>
      </c>
      <c r="O8" s="62">
        <f>'FS Aftale'!F8</f>
        <v>0</v>
      </c>
      <c r="P8" s="179" t="str">
        <f>P7</f>
        <v>7:00</v>
      </c>
      <c r="Q8" s="63">
        <f>'FS Aftale'!G8*Støtteark!$Q$15</f>
        <v>60</v>
      </c>
      <c r="R8" s="235"/>
      <c r="S8" s="231" t="str">
        <f>IF(OR(AND(OR(N8 = Støtteark!$L$25,N8 = Støtteark!$L$26,N8 = Støtteark!$L$28),E8&lt;&gt;Støtteark!$U$6,OR(O8=Støtteark!$B$22,O8=Støtteark!$B$23,O8=Støtteark!$B$24,O8=Støtteark!$B$25,O8=Støtteark!$B$26,O8=Støtteark!$B$27,O8=Støtteark!$B$28)),AND(E8=Støtteark!$U$6,OR(O8=Støtteark!$B$24,O8=Støtteark!$B$27,O8=Støtteark!$B$29))),1,"")</f>
        <v/>
      </c>
      <c r="T8" s="232" t="str">
        <f>IF(OR(AND(N8 = Støtteark!$L$25,E8&lt;&gt;Støtteark!$U$6,O8=Støtteark!$B$22),AND(E8=Støtteark!$U$6,O8=Støtteark!$B$24),O8=Støtteark!$B$22),1,"")</f>
        <v/>
      </c>
      <c r="U8" s="232" t="str">
        <f>IF(OR(AND(N8 = Støtteark!$L$25,E8&lt;&gt;Støtteark!$U$6,OR(O8=Støtteark!$B$22,O8=Støtteark!$B$23,O8=Støtteark!$B$24)),AND(E8=Støtteark!$U$6,OR(O8=Støtteark!$B$22,O8=Støtteark!$B$24))),1,"")</f>
        <v/>
      </c>
      <c r="V8" s="232" t="str">
        <f>IF(OR(AND(N8 = Støtteark!$L$25,E8&lt;&gt;Støtteark!$U$6,O8=Støtteark!$B$22),AND(E8=Støtteark!$U$6,OR(O8=Støtteark!$B$22,O8=Støtteark!$B$24))),1,"")</f>
        <v/>
      </c>
      <c r="W8" s="232" t="str">
        <f>IF(OR(AND(N8 = Støtteark!$L$25,E8&lt;&gt;Støtteark!$U$6,OR(O8=Støtteark!$B$22,O8=Støtteark!$B$23,O8=Støtteark!$B$24,O8=Støtteark!$B$25)),AND(E8=Støtteark!$U$6,OR(O8=Støtteark!$B$22,O8=Støtteark!$B$24))),1,"")</f>
        <v/>
      </c>
      <c r="X8" s="231"/>
      <c r="Y8" s="231"/>
      <c r="Z8" s="235"/>
      <c r="AA8" s="231" t="str">
        <f>IF(OR(AND(E8&lt;&gt;Støtteark!$U$6,N8 = Støtteark!$L$25),N8 = Støtteark!$L$26,N8 = Støtteark!$L$28,AND(N8 = Støtteark!$L$29,E8&lt;&gt;Støtteark!$U$6,OR(O8=Støtteark!$B$30,O8=Støtteark!$B$32,O8=Støtteark!$B$33,AND(E8&lt;&gt;Støtteark!$U$6,O8=Støtteark!$B$34),O8=Støtteark!$B$35))),1,"")</f>
        <v/>
      </c>
      <c r="AB8" s="231" t="str">
        <f>IF(OR(AND(E8&lt;&gt;Støtteark!$U$6,N8 = Støtteark!$L$25),N8 = Støtteark!$L$26,N8 = Støtteark!$L$28,AND(N8 = Støtteark!$L$29,O8=Støtteark!$B$34)),1,"")</f>
        <v/>
      </c>
      <c r="AC8" s="231" t="str">
        <f>IF(OR(AND(E8&lt;&gt;Støtteark!$U$6,N8 = Støtteark!$L$25),N8 = Støtteark!$L$26,N8 = Støtteark!$L$28,AND(N8 = Støtteark!$L$29,E8&lt;&gt;Støtteark!$U$6,OR(O8=Støtteark!$B$30,O8 = Støtteark!$B$34))),1,"")</f>
        <v/>
      </c>
      <c r="AD8" s="232" t="str">
        <f>IF(OR(N8 = Støtteark!$L$25,N8 = Støtteark!$L$26,N8 = Støtteark!$L$28,AND(N8 = Støtteark!$L$29,OR(O8=Støtteark!$B$34,O8=Støtteark!$B$35)),AND(E8=Støtteark!$U$6,OR(O8=Støtteark!$B$29,O8=Støtteark!$B$30,O8=Støtteark!$B$32,O8=Støtteark!$B$33))),1,"")</f>
        <v/>
      </c>
      <c r="AE8" s="231" t="str">
        <f>IF(OR(N8 = Støtteark!$L$25,N8 = Støtteark!$L$26,N8 = Støtteark!$L$28,AND(N8 = Støtteark!$L$29,OR(O8=Støtteark!$B$34,O8 = Støtteark!$B$30)),AND(E8=Støtteark!$U$6,O8=Støtteark!$B$29)),1,"")</f>
        <v/>
      </c>
      <c r="AF8" s="231" t="str">
        <f>IF(OR(N8 = Støtteark!$L$25,N8 = Støtteark!$L$26,N8 = Støtteark!$L$28,AND(N8 = Støtteark!$L$29,O8=Støtteark!$B$34),AND(E8=Støtteark!$U$6,O8=Støtteark!$B$30),AND(E8=Støtteark!$U$6,O8=Støtteark!$B$29)),1,"")</f>
        <v/>
      </c>
      <c r="AG8" s="231" t="str">
        <f>IF(OR(N8 = Støtteark!$L$25,N8 = Støtteark!$L$26,N8 = Støtteark!$L$28,AND(N8 = Støtteark!$L$29,OR(O8=Støtteark!$B$30,O8 = Støtteark!$B$31,O8=Støtteark!$B$32,O8=Støtteark!$B$34)),AND(E8=Støtteark!$U$6,OR(O8=Støtteark!$B$29,O8=Støtteark!$B$31))),1,"")</f>
        <v/>
      </c>
      <c r="AH8" s="231" t="str">
        <f>IF(OR(N8 = Støtteark!$L$25,N8 = Støtteark!$L$26,N8 = Støtteark!$L$28,AND(N8 = Støtteark!$L$29,O8=Støtteark!$B$34),AND(E8=Støtteark!$U$6,OR(O8=Støtteark!$B$29,O8=Støtteark!$B$30))),1,"")</f>
        <v/>
      </c>
      <c r="AI8" s="231" t="str">
        <f>IF(OR(N8 = Støtteark!$L$25,N8 = Støtteark!$L$26,N8 = Støtteark!$L$28,AND(N8 = Støtteark!$L$29,OR(O8=Støtteark!$B$34,O8 = Støtteark!$B$30)),AND(E8=Støtteark!$U$6,OR(O8=Støtteark!$B$29,O8=Støtteark!$B$30))),1,"")</f>
        <v/>
      </c>
      <c r="AJ8" s="231" t="str">
        <f>IF(OR(AND(E8&lt;&gt;Støtteark!$U$6,N8 = Støtteark!$L$25),N8 = Støtteark!$L$26,N8 = Støtteark!$L$28,AND(N8 = Støtteark!$L$29,OR(O8=Støtteark!$B$34,O8=Støtteark!$B$35),O8&lt;&gt;Støtteark!$B$30)),1,"")</f>
        <v/>
      </c>
      <c r="AK8" s="231" t="str">
        <f>IF(OR(AND(E8&lt;&gt;Støtteark!$U$6,N8 = Støtteark!$L$25),N8 = Støtteark!$L$26,N8 = Støtteark!$L$28,AND(N8 = Støtteark!$L$29,E8&lt;&gt;Støtteark!$U$6,OR(O8=Støtteark!$B$34,O8 = Støtteark!$B$30))),1,"")</f>
        <v/>
      </c>
      <c r="AL8" s="231" t="str">
        <f>IF(OR(AND(E8&lt;&gt;Støtteark!$U$6,N8 = Støtteark!$L$25),N8 = Støtteark!$L$26,N8 = Støtteark!$L$28,AND(N8 = Støtteark!$L$29,O8=Støtteark!$B$34)),1,"")</f>
        <v/>
      </c>
      <c r="AM8" s="231" t="str">
        <f>IF(AND(N8 = Støtteark!$L$29,OR(O8=Støtteark!$B$30,O8=Støtteark!$B$32,O8=Støtteark!$B$33,O8=Støtteark!$B$34,O8=Støtteark!$B$35)),Støtteark!$L$32,"")</f>
        <v/>
      </c>
      <c r="AN8" s="235"/>
      <c r="AO8" s="91"/>
      <c r="AP8" s="170">
        <v>0</v>
      </c>
      <c r="AQ8" s="235"/>
      <c r="AR8" s="64">
        <f ca="1">AR7</f>
        <v>44022</v>
      </c>
    </row>
    <row r="9" spans="1:16384" hidden="1" x14ac:dyDescent="0.25">
      <c r="A9" s="222"/>
      <c r="B9" s="65"/>
      <c r="C9" s="65"/>
      <c r="D9" s="66"/>
      <c r="E9" s="66"/>
      <c r="F9" s="66"/>
      <c r="G9" s="65"/>
      <c r="H9" s="65"/>
      <c r="I9" s="237"/>
      <c r="J9" s="65"/>
      <c r="K9" s="65"/>
      <c r="L9" s="189"/>
      <c r="M9" s="158"/>
      <c r="N9" s="148"/>
      <c r="O9" s="67"/>
      <c r="P9" s="180"/>
      <c r="Q9" s="68"/>
      <c r="R9" s="237"/>
      <c r="S9" s="236"/>
      <c r="T9" s="236"/>
      <c r="U9" s="236"/>
      <c r="V9" s="236"/>
      <c r="W9" s="236"/>
      <c r="X9" s="236"/>
      <c r="Y9" s="236"/>
      <c r="Z9" s="237"/>
      <c r="AA9" s="236"/>
      <c r="AB9" s="236"/>
      <c r="AC9" s="236"/>
      <c r="AD9" s="236"/>
      <c r="AE9" s="236"/>
      <c r="AF9" s="236"/>
      <c r="AG9" s="236"/>
      <c r="AH9" s="236"/>
      <c r="AI9" s="236"/>
      <c r="AJ9" s="236"/>
      <c r="AK9" s="236"/>
      <c r="AL9" s="236"/>
      <c r="AM9" s="238"/>
      <c r="AN9" s="237"/>
      <c r="AO9" s="138"/>
      <c r="AP9" s="171"/>
      <c r="AQ9" s="237"/>
      <c r="AR9" s="139"/>
    </row>
    <row r="10" spans="1:16384" hidden="1" x14ac:dyDescent="0.25">
      <c r="A10" s="223"/>
      <c r="B10" s="70"/>
      <c r="C10" s="70"/>
      <c r="D10" s="71"/>
      <c r="E10" s="71"/>
      <c r="F10" s="71"/>
      <c r="G10" s="70"/>
      <c r="H10" s="70"/>
      <c r="I10" s="237"/>
      <c r="J10" s="70"/>
      <c r="K10" s="70"/>
      <c r="L10" s="190"/>
      <c r="M10" s="159"/>
      <c r="N10" s="149"/>
      <c r="O10" s="72"/>
      <c r="P10" s="181"/>
      <c r="Q10" s="73"/>
      <c r="R10" s="237"/>
      <c r="S10" s="239"/>
      <c r="T10" s="239"/>
      <c r="U10" s="239"/>
      <c r="V10" s="239"/>
      <c r="W10" s="239"/>
      <c r="X10" s="239"/>
      <c r="Y10" s="239"/>
      <c r="Z10" s="237"/>
      <c r="AA10" s="239"/>
      <c r="AB10" s="239"/>
      <c r="AC10" s="239"/>
      <c r="AD10" s="239"/>
      <c r="AE10" s="239"/>
      <c r="AF10" s="239"/>
      <c r="AG10" s="239"/>
      <c r="AH10" s="239"/>
      <c r="AI10" s="239"/>
      <c r="AJ10" s="239"/>
      <c r="AK10" s="239"/>
      <c r="AL10" s="239"/>
      <c r="AM10" s="240"/>
      <c r="AN10" s="237"/>
      <c r="AO10" s="141"/>
      <c r="AP10" s="172"/>
      <c r="AQ10" s="237"/>
      <c r="AR10" s="142"/>
    </row>
    <row r="11" spans="1:16384" ht="25.5" hidden="1" x14ac:dyDescent="0.25">
      <c r="A11" s="221" t="str">
        <f>A8</f>
        <v>Kundenr.-Ejendom</v>
      </c>
      <c r="B11" s="61" t="str">
        <f>Ydelser!A11&amp;" - "&amp;Ydelser!C11</f>
        <v>201 - Telefon og mail</v>
      </c>
      <c r="C11" s="61" t="str">
        <f>Ydelser!D11</f>
        <v xml:space="preserve">Besvarelse og behandling af indkomne telefonopkald og e-mails fra kunder i Service Centerets åbningstid. Service Centeret har åbent mandag til fredag fra 08.00-16.00. Tlf. 70 30 23 30 / e-mail: fs@deas.dk. Uden for Service Centerets åbningstid viderstilles opkaldet til BELFOR Skadesservice, som i akutte situationer skadesbegrænser på ejendommen. </v>
      </c>
      <c r="D11" s="61" t="b">
        <f>'FS Aftale'!D11</f>
        <v>1</v>
      </c>
      <c r="E11" s="156" t="str">
        <f>'FS Aftale'!E11</f>
        <v>Indeholdt</v>
      </c>
      <c r="F11" s="61" t="str">
        <f>F8</f>
        <v>Team Ansvarlig</v>
      </c>
      <c r="G11" s="61" t="str">
        <f t="shared" ref="G11:H11" si="2">G8</f>
        <v>Ansvarlig</v>
      </c>
      <c r="H11" s="61" t="str">
        <f t="shared" si="2"/>
        <v>Servicemedarb.</v>
      </c>
      <c r="I11" s="235"/>
      <c r="J11" s="61" t="str">
        <f t="shared" ref="J11:K11" si="3">J8</f>
        <v>Fast</v>
      </c>
      <c r="K11" s="61" t="str">
        <f t="shared" si="3"/>
        <v>FS aftale</v>
      </c>
      <c r="L11" s="188">
        <f>L8</f>
        <v>1</v>
      </c>
      <c r="M11" s="157" t="str">
        <f t="shared" ref="M11" si="4">M8</f>
        <v>Mangler planlægning</v>
      </c>
      <c r="N11" s="147" t="str">
        <f>IFERROR(VLOOKUP(O11,Støtteark!$B$21:$F$35,MATCH(E11,Støtteark!$B$21:$F$21,0),0),Støtteark!$L$35)</f>
        <v>Vælg en anden kombination</v>
      </c>
      <c r="O11" s="62">
        <f>'FS Aftale'!F11</f>
        <v>26</v>
      </c>
      <c r="P11" s="179" t="str">
        <f>P8</f>
        <v>7:00</v>
      </c>
      <c r="Q11" s="63">
        <f>'FS Aftale'!G11*Støtteark!$Q$15</f>
        <v>30</v>
      </c>
      <c r="R11" s="235"/>
      <c r="S11" s="231" t="str">
        <f>IF(OR(AND(OR(N11 = Støtteark!$L$25,N11 = Støtteark!$L$26,N11 = Støtteark!$L$28),E11&lt;&gt;Støtteark!$U$6,OR(O11=Støtteark!$B$22,O11=Støtteark!$B$23,O11=Støtteark!$B$24,O11=Støtteark!$B$25,O11=Støtteark!$B$26,O11=Støtteark!$B$27,O11=Støtteark!$B$28)),AND(E11=Støtteark!$U$6,OR(O11=Støtteark!$B$24,O11=Støtteark!$B$27,O11=Støtteark!$B$29))),1,"")</f>
        <v/>
      </c>
      <c r="T11" s="232" t="str">
        <f>IF(OR(AND(N11 = Støtteark!$L$25,E11&lt;&gt;Støtteark!$U$6,O11=Støtteark!$B$22),AND(E11=Støtteark!$U$6,O11=Støtteark!$B$24),O11=Støtteark!$B$22),1,"")</f>
        <v/>
      </c>
      <c r="U11" s="232" t="str">
        <f>IF(OR(AND(N11 = Støtteark!$L$25,E11&lt;&gt;Støtteark!$U$6,OR(O11=Støtteark!$B$22,O11=Støtteark!$B$23,O11=Støtteark!$B$24)),AND(E11=Støtteark!$U$6,OR(O11=Støtteark!$B$22,O11=Støtteark!$B$24))),1,"")</f>
        <v/>
      </c>
      <c r="V11" s="232" t="str">
        <f>IF(OR(AND(N11 = Støtteark!$L$25,E11&lt;&gt;Støtteark!$U$6,O11=Støtteark!$B$22),AND(E11=Støtteark!$U$6,OR(O11=Støtteark!$B$22,O11=Støtteark!$B$24))),1,"")</f>
        <v/>
      </c>
      <c r="W11" s="232" t="str">
        <f>IF(OR(AND(N11 = Støtteark!$L$25,E11&lt;&gt;Støtteark!$U$6,OR(O11=Støtteark!$B$22,O11=Støtteark!$B$23,O11=Støtteark!$B$24,O11=Støtteark!$B$25)),AND(E11=Støtteark!$U$6,OR(O11=Støtteark!$B$22,O11=Støtteark!$B$24))),1,"")</f>
        <v/>
      </c>
      <c r="X11" s="231"/>
      <c r="Y11" s="231"/>
      <c r="Z11" s="235"/>
      <c r="AA11" s="231" t="str">
        <f>IF(OR(AND(E11&lt;&gt;Støtteark!$U$6,N11 = Støtteark!$L$25),N11 = Støtteark!$L$26,N11 = Støtteark!$L$28,AND(N11 = Støtteark!$L$29,E11&lt;&gt;Støtteark!$U$6,OR(O11=Støtteark!$B$30,O11=Støtteark!$B$32,O11=Støtteark!$B$33,AND(E11&lt;&gt;Støtteark!$U$6,O11=Støtteark!$B$34),O11=Støtteark!$B$35))),1,"")</f>
        <v/>
      </c>
      <c r="AB11" s="231" t="str">
        <f>IF(OR(AND(E11&lt;&gt;Støtteark!$U$6,N11 = Støtteark!$L$25),N11 = Støtteark!$L$26,N11 = Støtteark!$L$28,AND(N11 = Støtteark!$L$29,O11=Støtteark!$B$34)),1,"")</f>
        <v/>
      </c>
      <c r="AC11" s="231" t="str">
        <f>IF(OR(AND(E11&lt;&gt;Støtteark!$U$6,N11 = Støtteark!$L$25),N11 = Støtteark!$L$26,N11 = Støtteark!$L$28,AND(N11 = Støtteark!$L$29,E11&lt;&gt;Støtteark!$U$6,OR(O11=Støtteark!$B$30,O11 = Støtteark!$B$34))),1,"")</f>
        <v/>
      </c>
      <c r="AD11" s="232" t="str">
        <f>IF(OR(N11 = Støtteark!$L$25,N11 = Støtteark!$L$26,N11 = Støtteark!$L$28,AND(N11 = Støtteark!$L$29,OR(O11=Støtteark!$B$34,O11=Støtteark!$B$35)),AND(E11=Støtteark!$U$6,OR(O11=Støtteark!$B$29,O11=Støtteark!$B$30,O11=Støtteark!$B$32,O11=Støtteark!$B$33))),1,"")</f>
        <v/>
      </c>
      <c r="AE11" s="231" t="str">
        <f>IF(OR(N11 = Støtteark!$L$25,N11 = Støtteark!$L$26,N11 = Støtteark!$L$28,AND(N11 = Støtteark!$L$29,OR(O11=Støtteark!$B$34,O11 = Støtteark!$B$30)),AND(E11=Støtteark!$U$6,O11=Støtteark!$B$29)),1,"")</f>
        <v/>
      </c>
      <c r="AF11" s="231" t="str">
        <f>IF(OR(N11 = Støtteark!$L$25,N11 = Støtteark!$L$26,N11 = Støtteark!$L$28,AND(N11 = Støtteark!$L$29,O11=Støtteark!$B$34),AND(E11=Støtteark!$U$6,O11=Støtteark!$B$30),AND(E11=Støtteark!$U$6,O11=Støtteark!$B$29)),1,"")</f>
        <v/>
      </c>
      <c r="AG11" s="231" t="str">
        <f>IF(OR(N11 = Støtteark!$L$25,N11 = Støtteark!$L$26,N11 = Støtteark!$L$28,AND(N11 = Støtteark!$L$29,OR(O11=Støtteark!$B$30,O11 = Støtteark!$B$31,O11=Støtteark!$B$32,O11=Støtteark!$B$34)),AND(E11=Støtteark!$U$6,OR(O11=Støtteark!$B$29,O11=Støtteark!$B$31))),1,"")</f>
        <v/>
      </c>
      <c r="AH11" s="231" t="str">
        <f>IF(OR(N11 = Støtteark!$L$25,N11 = Støtteark!$L$26,N11 = Støtteark!$L$28,AND(N11 = Støtteark!$L$29,O11=Støtteark!$B$34),AND(E11=Støtteark!$U$6,OR(O11=Støtteark!$B$29,O11=Støtteark!$B$30))),1,"")</f>
        <v/>
      </c>
      <c r="AI11" s="231" t="str">
        <f>IF(OR(N11 = Støtteark!$L$25,N11 = Støtteark!$L$26,N11 = Støtteark!$L$28,AND(N11 = Støtteark!$L$29,OR(O11=Støtteark!$B$34,O11 = Støtteark!$B$30)),AND(E11=Støtteark!$U$6,OR(O11=Støtteark!$B$29,O11=Støtteark!$B$30))),1,"")</f>
        <v/>
      </c>
      <c r="AJ11" s="231" t="str">
        <f>IF(OR(AND(E11&lt;&gt;Støtteark!$U$6,N11 = Støtteark!$L$25),N11 = Støtteark!$L$26,N11 = Støtteark!$L$28,AND(N11 = Støtteark!$L$29,OR(O11=Støtteark!$B$34,O11=Støtteark!$B$35),O11&lt;&gt;Støtteark!$B$30)),1,"")</f>
        <v/>
      </c>
      <c r="AK11" s="231" t="str">
        <f>IF(OR(AND(E11&lt;&gt;Støtteark!$U$6,N11 = Støtteark!$L$25),N11 = Støtteark!$L$26,N11 = Støtteark!$L$28,AND(N11 = Støtteark!$L$29,E11&lt;&gt;Støtteark!$U$6,OR(O11=Støtteark!$B$34,O11 = Støtteark!$B$30))),1,"")</f>
        <v/>
      </c>
      <c r="AL11" s="231" t="str">
        <f>IF(OR(AND(E11&lt;&gt;Støtteark!$U$6,N11 = Støtteark!$L$25),N11 = Støtteark!$L$26,N11 = Støtteark!$L$28,AND(N11 = Støtteark!$L$29,O11=Støtteark!$B$34)),1,"")</f>
        <v/>
      </c>
      <c r="AM11" s="231" t="str">
        <f>IF(AND(N11 = Støtteark!$L$29,OR(O11=Støtteark!$B$30,O11=Støtteark!$B$32,O11=Støtteark!$B$33,O11=Støtteark!$B$34,O11=Støtteark!$B$35)),Støtteark!$L$32,"")</f>
        <v/>
      </c>
      <c r="AN11" s="235"/>
      <c r="AO11" s="91"/>
      <c r="AP11" s="170">
        <v>0</v>
      </c>
      <c r="AQ11" s="235"/>
      <c r="AR11" s="64">
        <f ca="1">AR8</f>
        <v>44022</v>
      </c>
    </row>
    <row r="12" spans="1:16384" ht="25.5" hidden="1" x14ac:dyDescent="0.25">
      <c r="A12" s="221" t="str">
        <f t="shared" ref="A12:A19" si="5">A11</f>
        <v>Kundenr.-Ejendom</v>
      </c>
      <c r="B12" s="61" t="str">
        <f>Ydelser!A12&amp;" - "&amp;Ydelser!C12</f>
        <v>202 - Bestilling af håndværker</v>
      </c>
      <c r="C12" s="61" t="str">
        <f>Ydelser!D12</f>
        <v>Bestilling af arbejder hos prækvalificerede håndværkere.</v>
      </c>
      <c r="D12" s="61" t="b">
        <f>'FS Aftale'!D12</f>
        <v>1</v>
      </c>
      <c r="E12" s="156" t="str">
        <f>'FS Aftale'!E12</f>
        <v>Indeholdt</v>
      </c>
      <c r="F12" s="61" t="str">
        <f t="shared" ref="F12:H19" si="6">F11</f>
        <v>Team Ansvarlig</v>
      </c>
      <c r="G12" s="61" t="str">
        <f t="shared" si="6"/>
        <v>Ansvarlig</v>
      </c>
      <c r="H12" s="61" t="str">
        <f t="shared" si="6"/>
        <v>Servicemedarb.</v>
      </c>
      <c r="I12" s="235"/>
      <c r="J12" s="61" t="str">
        <f t="shared" ref="J12:M19" si="7">J11</f>
        <v>Fast</v>
      </c>
      <c r="K12" s="61" t="str">
        <f t="shared" si="7"/>
        <v>FS aftale</v>
      </c>
      <c r="L12" s="188">
        <f t="shared" si="7"/>
        <v>1</v>
      </c>
      <c r="M12" s="157" t="str">
        <f t="shared" si="7"/>
        <v>Mangler planlægning</v>
      </c>
      <c r="N12" s="147" t="str">
        <f>IFERROR(VLOOKUP(O12,Støtteark!$B$21:$F$35,MATCH(E12,Støtteark!$B$21:$F$21,0),0),Støtteark!$L$35)</f>
        <v>Vælg en anden kombination</v>
      </c>
      <c r="O12" s="62">
        <f>'FS Aftale'!F12</f>
        <v>6</v>
      </c>
      <c r="P12" s="179" t="str">
        <f t="shared" ref="P12:P19" si="8">P11</f>
        <v>7:00</v>
      </c>
      <c r="Q12" s="63">
        <f>'FS Aftale'!G12*Støtteark!$Q$15</f>
        <v>30</v>
      </c>
      <c r="R12" s="235"/>
      <c r="S12" s="231" t="str">
        <f>IF(OR(AND(OR(N12 = Støtteark!$L$25,N12 = Støtteark!$L$26,N12 = Støtteark!$L$28),E12&lt;&gt;Støtteark!$U$6,OR(O12=Støtteark!$B$22,O12=Støtteark!$B$23,O12=Støtteark!$B$24,O12=Støtteark!$B$25,O12=Støtteark!$B$26,O12=Støtteark!$B$27,O12=Støtteark!$B$28)),AND(E12=Støtteark!$U$6,OR(O12=Støtteark!$B$24,O12=Støtteark!$B$27,O12=Støtteark!$B$29))),1,"")</f>
        <v/>
      </c>
      <c r="T12" s="232" t="str">
        <f>IF(OR(AND(N12 = Støtteark!$L$25,E12&lt;&gt;Støtteark!$U$6,O12=Støtteark!$B$22),AND(E12=Støtteark!$U$6,O12=Støtteark!$B$24),O12=Støtteark!$B$22),1,"")</f>
        <v/>
      </c>
      <c r="U12" s="232" t="str">
        <f>IF(OR(AND(N12 = Støtteark!$L$25,E12&lt;&gt;Støtteark!$U$6,OR(O12=Støtteark!$B$22,O12=Støtteark!$B$23,O12=Støtteark!$B$24)),AND(E12=Støtteark!$U$6,OR(O12=Støtteark!$B$22,O12=Støtteark!$B$24))),1,"")</f>
        <v/>
      </c>
      <c r="V12" s="232" t="str">
        <f>IF(OR(AND(N12 = Støtteark!$L$25,E12&lt;&gt;Støtteark!$U$6,O12=Støtteark!$B$22),AND(E12=Støtteark!$U$6,OR(O12=Støtteark!$B$22,O12=Støtteark!$B$24))),1,"")</f>
        <v/>
      </c>
      <c r="W12" s="232" t="str">
        <f>IF(OR(AND(N12 = Støtteark!$L$25,E12&lt;&gt;Støtteark!$U$6,OR(O12=Støtteark!$B$22,O12=Støtteark!$B$23,O12=Støtteark!$B$24,O12=Støtteark!$B$25)),AND(E12=Støtteark!$U$6,OR(O12=Støtteark!$B$22,O12=Støtteark!$B$24))),1,"")</f>
        <v/>
      </c>
      <c r="X12" s="231"/>
      <c r="Y12" s="231"/>
      <c r="Z12" s="235"/>
      <c r="AA12" s="231" t="str">
        <f>IF(OR(AND(E12&lt;&gt;Støtteark!$U$6,N12 = Støtteark!$L$25),N12 = Støtteark!$L$26,N12 = Støtteark!$L$28,AND(N12 = Støtteark!$L$29,E12&lt;&gt;Støtteark!$U$6,OR(O12=Støtteark!$B$30,O12=Støtteark!$B$32,O12=Støtteark!$B$33,AND(E12&lt;&gt;Støtteark!$U$6,O12=Støtteark!$B$34),O12=Støtteark!$B$35))),1,"")</f>
        <v/>
      </c>
      <c r="AB12" s="231" t="str">
        <f>IF(OR(AND(E12&lt;&gt;Støtteark!$U$6,N12 = Støtteark!$L$25),N12 = Støtteark!$L$26,N12 = Støtteark!$L$28,AND(N12 = Støtteark!$L$29,O12=Støtteark!$B$34)),1,"")</f>
        <v/>
      </c>
      <c r="AC12" s="231" t="str">
        <f>IF(OR(AND(E12&lt;&gt;Støtteark!$U$6,N12 = Støtteark!$L$25),N12 = Støtteark!$L$26,N12 = Støtteark!$L$28,AND(N12 = Støtteark!$L$29,E12&lt;&gt;Støtteark!$U$6,OR(O12=Støtteark!$B$30,O12 = Støtteark!$B$34))),1,"")</f>
        <v/>
      </c>
      <c r="AD12" s="232" t="str">
        <f>IF(OR(N12 = Støtteark!$L$25,N12 = Støtteark!$L$26,N12 = Støtteark!$L$28,AND(N12 = Støtteark!$L$29,OR(O12=Støtteark!$B$34,O12=Støtteark!$B$35)),AND(E12=Støtteark!$U$6,OR(O12=Støtteark!$B$29,O12=Støtteark!$B$30,O12=Støtteark!$B$32,O12=Støtteark!$B$33))),1,"")</f>
        <v/>
      </c>
      <c r="AE12" s="231" t="str">
        <f>IF(OR(N12 = Støtteark!$L$25,N12 = Støtteark!$L$26,N12 = Støtteark!$L$28,AND(N12 = Støtteark!$L$29,OR(O12=Støtteark!$B$34,O12 = Støtteark!$B$30)),AND(E12=Støtteark!$U$6,O12=Støtteark!$B$29)),1,"")</f>
        <v/>
      </c>
      <c r="AF12" s="231" t="str">
        <f>IF(OR(N12 = Støtteark!$L$25,N12 = Støtteark!$L$26,N12 = Støtteark!$L$28,AND(N12 = Støtteark!$L$29,O12=Støtteark!$B$34),AND(E12=Støtteark!$U$6,O12=Støtteark!$B$30),AND(E12=Støtteark!$U$6,O12=Støtteark!$B$29)),1,"")</f>
        <v/>
      </c>
      <c r="AG12" s="231" t="str">
        <f>IF(OR(N12 = Støtteark!$L$25,N12 = Støtteark!$L$26,N12 = Støtteark!$L$28,AND(N12 = Støtteark!$L$29,OR(O12=Støtteark!$B$30,O12 = Støtteark!$B$31,O12=Støtteark!$B$32,O12=Støtteark!$B$34)),AND(E12=Støtteark!$U$6,OR(O12=Støtteark!$B$29,O12=Støtteark!$B$31))),1,"")</f>
        <v/>
      </c>
      <c r="AH12" s="231" t="str">
        <f>IF(OR(N12 = Støtteark!$L$25,N12 = Støtteark!$L$26,N12 = Støtteark!$L$28,AND(N12 = Støtteark!$L$29,O12=Støtteark!$B$34),AND(E12=Støtteark!$U$6,OR(O12=Støtteark!$B$29,O12=Støtteark!$B$30))),1,"")</f>
        <v/>
      </c>
      <c r="AI12" s="231" t="str">
        <f>IF(OR(N12 = Støtteark!$L$25,N12 = Støtteark!$L$26,N12 = Støtteark!$L$28,AND(N12 = Støtteark!$L$29,OR(O12=Støtteark!$B$34,O12 = Støtteark!$B$30)),AND(E12=Støtteark!$U$6,OR(O12=Støtteark!$B$29,O12=Støtteark!$B$30))),1,"")</f>
        <v/>
      </c>
      <c r="AJ12" s="231" t="str">
        <f>IF(OR(AND(E12&lt;&gt;Støtteark!$U$6,N12 = Støtteark!$L$25),N12 = Støtteark!$L$26,N12 = Støtteark!$L$28,AND(N12 = Støtteark!$L$29,OR(O12=Støtteark!$B$34,O12=Støtteark!$B$35),O12&lt;&gt;Støtteark!$B$30)),1,"")</f>
        <v/>
      </c>
      <c r="AK12" s="231" t="str">
        <f>IF(OR(AND(E12&lt;&gt;Støtteark!$U$6,N12 = Støtteark!$L$25),N12 = Støtteark!$L$26,N12 = Støtteark!$L$28,AND(N12 = Støtteark!$L$29,E12&lt;&gt;Støtteark!$U$6,OR(O12=Støtteark!$B$34,O12 = Støtteark!$B$30))),1,"")</f>
        <v/>
      </c>
      <c r="AL12" s="231" t="str">
        <f>IF(OR(AND(E12&lt;&gt;Støtteark!$U$6,N12 = Støtteark!$L$25),N12 = Støtteark!$L$26,N12 = Støtteark!$L$28,AND(N12 = Støtteark!$L$29,O12=Støtteark!$B$34)),1,"")</f>
        <v/>
      </c>
      <c r="AM12" s="231" t="str">
        <f>IF(AND(N12 = Støtteark!$L$29,OR(O12=Støtteark!$B$30,O12=Støtteark!$B$32,O12=Støtteark!$B$33,O12=Støtteark!$B$34,O12=Støtteark!$B$35)),Støtteark!$L$32,"")</f>
        <v/>
      </c>
      <c r="AN12" s="235"/>
      <c r="AO12" s="91"/>
      <c r="AP12" s="170">
        <v>0</v>
      </c>
      <c r="AQ12" s="235"/>
      <c r="AR12" s="64">
        <f t="shared" ref="AR12:AR19" ca="1" si="9">AR11</f>
        <v>44022</v>
      </c>
    </row>
    <row r="13" spans="1:16384" ht="25.5" hidden="1" x14ac:dyDescent="0.25">
      <c r="A13" s="221" t="str">
        <f t="shared" si="5"/>
        <v>Kundenr.-Ejendom</v>
      </c>
      <c r="B13" s="61" t="str">
        <f>Ydelser!A13&amp;" - "&amp;Ydelser!C13</f>
        <v>203 - Varebestilling</v>
      </c>
      <c r="C13" s="61" t="str">
        <f>Ydelser!D13</f>
        <v>Bestilling af forbrugsmaterialer til ejendommen, fx. lyskilder, batterier, rengøringsartikler, vaskemidler m.m.</v>
      </c>
      <c r="D13" s="61" t="b">
        <f>'FS Aftale'!D13</f>
        <v>1</v>
      </c>
      <c r="E13" s="156" t="str">
        <f>'FS Aftale'!E13</f>
        <v>Indeholdt</v>
      </c>
      <c r="F13" s="61" t="str">
        <f t="shared" si="6"/>
        <v>Team Ansvarlig</v>
      </c>
      <c r="G13" s="61" t="str">
        <f t="shared" si="6"/>
        <v>Ansvarlig</v>
      </c>
      <c r="H13" s="61" t="str">
        <f t="shared" si="6"/>
        <v>Servicemedarb.</v>
      </c>
      <c r="I13" s="235"/>
      <c r="J13" s="61" t="str">
        <f t="shared" si="7"/>
        <v>Fast</v>
      </c>
      <c r="K13" s="61" t="str">
        <f t="shared" si="7"/>
        <v>FS aftale</v>
      </c>
      <c r="L13" s="188">
        <f t="shared" si="7"/>
        <v>1</v>
      </c>
      <c r="M13" s="157" t="str">
        <f t="shared" si="7"/>
        <v>Mangler planlægning</v>
      </c>
      <c r="N13" s="147" t="str">
        <f>IFERROR(VLOOKUP(O13,Støtteark!$B$21:$F$35,MATCH(E13,Støtteark!$B$21:$F$21,0),0),Støtteark!$L$35)</f>
        <v>Vælg en anden kombination</v>
      </c>
      <c r="O13" s="62">
        <f>'FS Aftale'!F13</f>
        <v>4</v>
      </c>
      <c r="P13" s="179" t="str">
        <f t="shared" si="8"/>
        <v>7:00</v>
      </c>
      <c r="Q13" s="63">
        <f>'FS Aftale'!G13*Støtteark!$Q$15</f>
        <v>30</v>
      </c>
      <c r="R13" s="235"/>
      <c r="S13" s="231" t="str">
        <f>IF(OR(AND(OR(N13 = Støtteark!$L$25,N13 = Støtteark!$L$26,N13 = Støtteark!$L$28),E13&lt;&gt;Støtteark!$U$6,OR(O13=Støtteark!$B$22,O13=Støtteark!$B$23,O13=Støtteark!$B$24,O13=Støtteark!$B$25,O13=Støtteark!$B$26,O13=Støtteark!$B$27,O13=Støtteark!$B$28)),AND(E13=Støtteark!$U$6,OR(O13=Støtteark!$B$24,O13=Støtteark!$B$27,O13=Støtteark!$B$29))),1,"")</f>
        <v/>
      </c>
      <c r="T13" s="232" t="str">
        <f>IF(OR(AND(N13 = Støtteark!$L$25,E13&lt;&gt;Støtteark!$U$6,O13=Støtteark!$B$22),AND(E13=Støtteark!$U$6,O13=Støtteark!$B$24),O13=Støtteark!$B$22),1,"")</f>
        <v/>
      </c>
      <c r="U13" s="232" t="str">
        <f>IF(OR(AND(N13 = Støtteark!$L$25,E13&lt;&gt;Støtteark!$U$6,OR(O13=Støtteark!$B$22,O13=Støtteark!$B$23,O13=Støtteark!$B$24)),AND(E13=Støtteark!$U$6,OR(O13=Støtteark!$B$22,O13=Støtteark!$B$24))),1,"")</f>
        <v/>
      </c>
      <c r="V13" s="232" t="str">
        <f>IF(OR(AND(N13 = Støtteark!$L$25,E13&lt;&gt;Støtteark!$U$6,O13=Støtteark!$B$22),AND(E13=Støtteark!$U$6,OR(O13=Støtteark!$B$22,O13=Støtteark!$B$24))),1,"")</f>
        <v/>
      </c>
      <c r="W13" s="232" t="str">
        <f>IF(OR(AND(N13 = Støtteark!$L$25,E13&lt;&gt;Støtteark!$U$6,OR(O13=Støtteark!$B$22,O13=Støtteark!$B$23,O13=Støtteark!$B$24,O13=Støtteark!$B$25)),AND(E13=Støtteark!$U$6,OR(O13=Støtteark!$B$22,O13=Støtteark!$B$24))),1,"")</f>
        <v/>
      </c>
      <c r="X13" s="231"/>
      <c r="Y13" s="231"/>
      <c r="Z13" s="235"/>
      <c r="AA13" s="231" t="str">
        <f>IF(OR(AND(E13&lt;&gt;Støtteark!$U$6,N13 = Støtteark!$L$25),N13 = Støtteark!$L$26,N13 = Støtteark!$L$28,AND(N13 = Støtteark!$L$29,E13&lt;&gt;Støtteark!$U$6,OR(O13=Støtteark!$B$30,O13=Støtteark!$B$32,O13=Støtteark!$B$33,AND(E13&lt;&gt;Støtteark!$U$6,O13=Støtteark!$B$34),O13=Støtteark!$B$35))),1,"")</f>
        <v/>
      </c>
      <c r="AB13" s="231" t="str">
        <f>IF(OR(AND(E13&lt;&gt;Støtteark!$U$6,N13 = Støtteark!$L$25),N13 = Støtteark!$L$26,N13 = Støtteark!$L$28,AND(N13 = Støtteark!$L$29,O13=Støtteark!$B$34)),1,"")</f>
        <v/>
      </c>
      <c r="AC13" s="231" t="str">
        <f>IF(OR(AND(E13&lt;&gt;Støtteark!$U$6,N13 = Støtteark!$L$25),N13 = Støtteark!$L$26,N13 = Støtteark!$L$28,AND(N13 = Støtteark!$L$29,E13&lt;&gt;Støtteark!$U$6,OR(O13=Støtteark!$B$30,O13 = Støtteark!$B$34))),1,"")</f>
        <v/>
      </c>
      <c r="AD13" s="232" t="str">
        <f>IF(OR(N13 = Støtteark!$L$25,N13 = Støtteark!$L$26,N13 = Støtteark!$L$28,AND(N13 = Støtteark!$L$29,OR(O13=Støtteark!$B$34,O13=Støtteark!$B$35)),AND(E13=Støtteark!$U$6,OR(O13=Støtteark!$B$29,O13=Støtteark!$B$30,O13=Støtteark!$B$32,O13=Støtteark!$B$33))),1,"")</f>
        <v/>
      </c>
      <c r="AE13" s="231" t="str">
        <f>IF(OR(N13 = Støtteark!$L$25,N13 = Støtteark!$L$26,N13 = Støtteark!$L$28,AND(N13 = Støtteark!$L$29,OR(O13=Støtteark!$B$34,O13 = Støtteark!$B$30)),AND(E13=Støtteark!$U$6,O13=Støtteark!$B$29)),1,"")</f>
        <v/>
      </c>
      <c r="AF13" s="231" t="str">
        <f>IF(OR(N13 = Støtteark!$L$25,N13 = Støtteark!$L$26,N13 = Støtteark!$L$28,AND(N13 = Støtteark!$L$29,O13=Støtteark!$B$34),AND(E13=Støtteark!$U$6,O13=Støtteark!$B$30),AND(E13=Støtteark!$U$6,O13=Støtteark!$B$29)),1,"")</f>
        <v/>
      </c>
      <c r="AG13" s="231" t="str">
        <f>IF(OR(N13 = Støtteark!$L$25,N13 = Støtteark!$L$26,N13 = Støtteark!$L$28,AND(N13 = Støtteark!$L$29,OR(O13=Støtteark!$B$30,O13 = Støtteark!$B$31,O13=Støtteark!$B$32,O13=Støtteark!$B$34)),AND(E13=Støtteark!$U$6,OR(O13=Støtteark!$B$29,O13=Støtteark!$B$31))),1,"")</f>
        <v/>
      </c>
      <c r="AH13" s="231" t="str">
        <f>IF(OR(N13 = Støtteark!$L$25,N13 = Støtteark!$L$26,N13 = Støtteark!$L$28,AND(N13 = Støtteark!$L$29,O13=Støtteark!$B$34),AND(E13=Støtteark!$U$6,OR(O13=Støtteark!$B$29,O13=Støtteark!$B$30))),1,"")</f>
        <v/>
      </c>
      <c r="AI13" s="231" t="str">
        <f>IF(OR(N13 = Støtteark!$L$25,N13 = Støtteark!$L$26,N13 = Støtteark!$L$28,AND(N13 = Støtteark!$L$29,OR(O13=Støtteark!$B$34,O13 = Støtteark!$B$30)),AND(E13=Støtteark!$U$6,OR(O13=Støtteark!$B$29,O13=Støtteark!$B$30))),1,"")</f>
        <v/>
      </c>
      <c r="AJ13" s="231" t="str">
        <f>IF(OR(AND(E13&lt;&gt;Støtteark!$U$6,N13 = Støtteark!$L$25),N13 = Støtteark!$L$26,N13 = Støtteark!$L$28,AND(N13 = Støtteark!$L$29,OR(O13=Støtteark!$B$34,O13=Støtteark!$B$35),O13&lt;&gt;Støtteark!$B$30)),1,"")</f>
        <v/>
      </c>
      <c r="AK13" s="231" t="str">
        <f>IF(OR(AND(E13&lt;&gt;Støtteark!$U$6,N13 = Støtteark!$L$25),N13 = Støtteark!$L$26,N13 = Støtteark!$L$28,AND(N13 = Støtteark!$L$29,E13&lt;&gt;Støtteark!$U$6,OR(O13=Støtteark!$B$34,O13 = Støtteark!$B$30))),1,"")</f>
        <v/>
      </c>
      <c r="AL13" s="231" t="str">
        <f>IF(OR(AND(E13&lt;&gt;Støtteark!$U$6,N13 = Støtteark!$L$25),N13 = Støtteark!$L$26,N13 = Støtteark!$L$28,AND(N13 = Støtteark!$L$29,O13=Støtteark!$B$34)),1,"")</f>
        <v/>
      </c>
      <c r="AM13" s="231" t="str">
        <f>IF(AND(N13 = Støtteark!$L$29,OR(O13=Støtteark!$B$30,O13=Støtteark!$B$32,O13=Støtteark!$B$33,O13=Støtteark!$B$34,O13=Støtteark!$B$35)),Støtteark!$L$32,"")</f>
        <v/>
      </c>
      <c r="AN13" s="235"/>
      <c r="AO13" s="91"/>
      <c r="AP13" s="170">
        <v>0</v>
      </c>
      <c r="AQ13" s="235"/>
      <c r="AR13" s="64">
        <f t="shared" ca="1" si="9"/>
        <v>44022</v>
      </c>
    </row>
    <row r="14" spans="1:16384" ht="25.5" hidden="1" x14ac:dyDescent="0.25">
      <c r="A14" s="221" t="str">
        <f t="shared" si="5"/>
        <v>Kundenr.-Ejendom</v>
      </c>
      <c r="B14" s="61" t="str">
        <f>Ydelser!A14&amp;" - "&amp;Ydelser!C14</f>
        <v>204 - Anmeldelse og bestilling</v>
      </c>
      <c r="C14" s="61" t="str">
        <f>Ydelser!D14</f>
        <v>Anmeldelse af skadedyr, skaktstop, elevatorstop, ventilationsstop, ekstra tømning af affald, vaskeristop og andre tekniske driftsstop.</v>
      </c>
      <c r="D14" s="61" t="b">
        <f>'FS Aftale'!D14</f>
        <v>1</v>
      </c>
      <c r="E14" s="156" t="str">
        <f>'FS Aftale'!E14</f>
        <v>Indeholdt</v>
      </c>
      <c r="F14" s="61" t="str">
        <f t="shared" si="6"/>
        <v>Team Ansvarlig</v>
      </c>
      <c r="G14" s="61" t="str">
        <f t="shared" si="6"/>
        <v>Ansvarlig</v>
      </c>
      <c r="H14" s="61" t="str">
        <f t="shared" si="6"/>
        <v>Servicemedarb.</v>
      </c>
      <c r="I14" s="235"/>
      <c r="J14" s="61" t="str">
        <f t="shared" si="7"/>
        <v>Fast</v>
      </c>
      <c r="K14" s="61" t="str">
        <f t="shared" si="7"/>
        <v>FS aftale</v>
      </c>
      <c r="L14" s="188">
        <f t="shared" si="7"/>
        <v>1</v>
      </c>
      <c r="M14" s="157" t="str">
        <f t="shared" si="7"/>
        <v>Mangler planlægning</v>
      </c>
      <c r="N14" s="147" t="str">
        <f>IFERROR(VLOOKUP(O14,Støtteark!$B$21:$F$35,MATCH(E14,Støtteark!$B$21:$F$21,0),0),Støtteark!$L$35)</f>
        <v>Vælg en anden kombination</v>
      </c>
      <c r="O14" s="62">
        <f>'FS Aftale'!F14</f>
        <v>2</v>
      </c>
      <c r="P14" s="179" t="str">
        <f t="shared" si="8"/>
        <v>7:00</v>
      </c>
      <c r="Q14" s="63">
        <f>'FS Aftale'!G14*Støtteark!$Q$15</f>
        <v>30</v>
      </c>
      <c r="R14" s="235"/>
      <c r="S14" s="231" t="str">
        <f>IF(OR(AND(OR(N14 = Støtteark!$L$25,N14 = Støtteark!$L$26,N14 = Støtteark!$L$28),E14&lt;&gt;Støtteark!$U$6,OR(O14=Støtteark!$B$22,O14=Støtteark!$B$23,O14=Støtteark!$B$24,O14=Støtteark!$B$25,O14=Støtteark!$B$26,O14=Støtteark!$B$27,O14=Støtteark!$B$28)),AND(E14=Støtteark!$U$6,OR(O14=Støtteark!$B$24,O14=Støtteark!$B$27,O14=Støtteark!$B$29))),1,"")</f>
        <v/>
      </c>
      <c r="T14" s="232" t="str">
        <f>IF(OR(AND(N14 = Støtteark!$L$25,E14&lt;&gt;Støtteark!$U$6,O14=Støtteark!$B$22),AND(E14=Støtteark!$U$6,O14=Støtteark!$B$24),O14=Støtteark!$B$22),1,"")</f>
        <v/>
      </c>
      <c r="U14" s="232" t="str">
        <f>IF(OR(AND(N14 = Støtteark!$L$25,E14&lt;&gt;Støtteark!$U$6,OR(O14=Støtteark!$B$22,O14=Støtteark!$B$23,O14=Støtteark!$B$24)),AND(E14=Støtteark!$U$6,OR(O14=Støtteark!$B$22,O14=Støtteark!$B$24))),1,"")</f>
        <v/>
      </c>
      <c r="V14" s="232" t="str">
        <f>IF(OR(AND(N14 = Støtteark!$L$25,E14&lt;&gt;Støtteark!$U$6,O14=Støtteark!$B$22),AND(E14=Støtteark!$U$6,OR(O14=Støtteark!$B$22,O14=Støtteark!$B$24))),1,"")</f>
        <v/>
      </c>
      <c r="W14" s="232" t="str">
        <f>IF(OR(AND(N14 = Støtteark!$L$25,E14&lt;&gt;Støtteark!$U$6,OR(O14=Støtteark!$B$22,O14=Støtteark!$B$23,O14=Støtteark!$B$24,O14=Støtteark!$B$25)),AND(E14=Støtteark!$U$6,OR(O14=Støtteark!$B$22,O14=Støtteark!$B$24))),1,"")</f>
        <v/>
      </c>
      <c r="X14" s="231"/>
      <c r="Y14" s="231"/>
      <c r="Z14" s="235"/>
      <c r="AA14" s="231" t="str">
        <f>IF(OR(AND(E14&lt;&gt;Støtteark!$U$6,N14 = Støtteark!$L$25),N14 = Støtteark!$L$26,N14 = Støtteark!$L$28,AND(N14 = Støtteark!$L$29,E14&lt;&gt;Støtteark!$U$6,OR(O14=Støtteark!$B$30,O14=Støtteark!$B$32,O14=Støtteark!$B$33,AND(E14&lt;&gt;Støtteark!$U$6,O14=Støtteark!$B$34),O14=Støtteark!$B$35))),1,"")</f>
        <v/>
      </c>
      <c r="AB14" s="231" t="str">
        <f>IF(OR(AND(E14&lt;&gt;Støtteark!$U$6,N14 = Støtteark!$L$25),N14 = Støtteark!$L$26,N14 = Støtteark!$L$28,AND(N14 = Støtteark!$L$29,O14=Støtteark!$B$34)),1,"")</f>
        <v/>
      </c>
      <c r="AC14" s="231" t="str">
        <f>IF(OR(AND(E14&lt;&gt;Støtteark!$U$6,N14 = Støtteark!$L$25),N14 = Støtteark!$L$26,N14 = Støtteark!$L$28,AND(N14 = Støtteark!$L$29,E14&lt;&gt;Støtteark!$U$6,OR(O14=Støtteark!$B$30,O14 = Støtteark!$B$34))),1,"")</f>
        <v/>
      </c>
      <c r="AD14" s="232" t="str">
        <f>IF(OR(N14 = Støtteark!$L$25,N14 = Støtteark!$L$26,N14 = Støtteark!$L$28,AND(N14 = Støtteark!$L$29,OR(O14=Støtteark!$B$34,O14=Støtteark!$B$35)),AND(E14=Støtteark!$U$6,OR(O14=Støtteark!$B$29,O14=Støtteark!$B$30,O14=Støtteark!$B$32,O14=Støtteark!$B$33))),1,"")</f>
        <v/>
      </c>
      <c r="AE14" s="231" t="str">
        <f>IF(OR(N14 = Støtteark!$L$25,N14 = Støtteark!$L$26,N14 = Støtteark!$L$28,AND(N14 = Støtteark!$L$29,OR(O14=Støtteark!$B$34,O14 = Støtteark!$B$30)),AND(E14=Støtteark!$U$6,O14=Støtteark!$B$29)),1,"")</f>
        <v/>
      </c>
      <c r="AF14" s="231" t="str">
        <f>IF(OR(N14 = Støtteark!$L$25,N14 = Støtteark!$L$26,N14 = Støtteark!$L$28,AND(N14 = Støtteark!$L$29,O14=Støtteark!$B$34),AND(E14=Støtteark!$U$6,O14=Støtteark!$B$30),AND(E14=Støtteark!$U$6,O14=Støtteark!$B$29)),1,"")</f>
        <v/>
      </c>
      <c r="AG14" s="231" t="str">
        <f>IF(OR(N14 = Støtteark!$L$25,N14 = Støtteark!$L$26,N14 = Støtteark!$L$28,AND(N14 = Støtteark!$L$29,OR(O14=Støtteark!$B$30,O14 = Støtteark!$B$31,O14=Støtteark!$B$32,O14=Støtteark!$B$34)),AND(E14=Støtteark!$U$6,OR(O14=Støtteark!$B$29,O14=Støtteark!$B$31))),1,"")</f>
        <v/>
      </c>
      <c r="AH14" s="231" t="str">
        <f>IF(OR(N14 = Støtteark!$L$25,N14 = Støtteark!$L$26,N14 = Støtteark!$L$28,AND(N14 = Støtteark!$L$29,O14=Støtteark!$B$34),AND(E14=Støtteark!$U$6,OR(O14=Støtteark!$B$29,O14=Støtteark!$B$30))),1,"")</f>
        <v/>
      </c>
      <c r="AI14" s="231" t="str">
        <f>IF(OR(N14 = Støtteark!$L$25,N14 = Støtteark!$L$26,N14 = Støtteark!$L$28,AND(N14 = Støtteark!$L$29,OR(O14=Støtteark!$B$34,O14 = Støtteark!$B$30)),AND(E14=Støtteark!$U$6,OR(O14=Støtteark!$B$29,O14=Støtteark!$B$30))),1,"")</f>
        <v/>
      </c>
      <c r="AJ14" s="231" t="str">
        <f>IF(OR(AND(E14&lt;&gt;Støtteark!$U$6,N14 = Støtteark!$L$25),N14 = Støtteark!$L$26,N14 = Støtteark!$L$28,AND(N14 = Støtteark!$L$29,OR(O14=Støtteark!$B$34,O14=Støtteark!$B$35),O14&lt;&gt;Støtteark!$B$30)),1,"")</f>
        <v/>
      </c>
      <c r="AK14" s="231" t="str">
        <f>IF(OR(AND(E14&lt;&gt;Støtteark!$U$6,N14 = Støtteark!$L$25),N14 = Støtteark!$L$26,N14 = Støtteark!$L$28,AND(N14 = Støtteark!$L$29,E14&lt;&gt;Støtteark!$U$6,OR(O14=Støtteark!$B$34,O14 = Støtteark!$B$30))),1,"")</f>
        <v/>
      </c>
      <c r="AL14" s="231" t="str">
        <f>IF(OR(AND(E14&lt;&gt;Støtteark!$U$6,N14 = Støtteark!$L$25),N14 = Støtteark!$L$26,N14 = Støtteark!$L$28,AND(N14 = Støtteark!$L$29,O14=Støtteark!$B$34)),1,"")</f>
        <v/>
      </c>
      <c r="AM14" s="231" t="str">
        <f>IF(AND(N14 = Støtteark!$L$29,OR(O14=Støtteark!$B$30,O14=Støtteark!$B$32,O14=Støtteark!$B$33,O14=Støtteark!$B$34,O14=Støtteark!$B$35)),Støtteark!$L$32,"")</f>
        <v/>
      </c>
      <c r="AN14" s="235"/>
      <c r="AO14" s="91"/>
      <c r="AP14" s="170">
        <v>0</v>
      </c>
      <c r="AQ14" s="235"/>
      <c r="AR14" s="64">
        <f t="shared" ca="1" si="9"/>
        <v>44022</v>
      </c>
    </row>
    <row r="15" spans="1:16384" ht="25.5" hidden="1" x14ac:dyDescent="0.25">
      <c r="A15" s="221" t="str">
        <f t="shared" si="5"/>
        <v>Kundenr.-Ejendom</v>
      </c>
      <c r="B15" s="61" t="str">
        <f>Ydelser!A15&amp;" - "&amp;Ydelser!C15</f>
        <v>205 - Forsikringsanmeldelse</v>
      </c>
      <c r="C15" s="61" t="str">
        <f>Ydelser!D15</f>
        <v>Der hjælpes med skades- og evt. politianmeldelse.</v>
      </c>
      <c r="D15" s="61" t="b">
        <f>'FS Aftale'!D15</f>
        <v>1</v>
      </c>
      <c r="E15" s="156" t="str">
        <f>'FS Aftale'!E15</f>
        <v>Indeholdt</v>
      </c>
      <c r="F15" s="61" t="str">
        <f t="shared" si="6"/>
        <v>Team Ansvarlig</v>
      </c>
      <c r="G15" s="61" t="str">
        <f t="shared" si="6"/>
        <v>Ansvarlig</v>
      </c>
      <c r="H15" s="61" t="str">
        <f t="shared" si="6"/>
        <v>Servicemedarb.</v>
      </c>
      <c r="I15" s="235"/>
      <c r="J15" s="61" t="str">
        <f t="shared" si="7"/>
        <v>Fast</v>
      </c>
      <c r="K15" s="61" t="str">
        <f t="shared" si="7"/>
        <v>FS aftale</v>
      </c>
      <c r="L15" s="188">
        <f t="shared" si="7"/>
        <v>1</v>
      </c>
      <c r="M15" s="157" t="str">
        <f t="shared" si="7"/>
        <v>Mangler planlægning</v>
      </c>
      <c r="N15" s="147" t="str">
        <f>IFERROR(VLOOKUP(O15,Støtteark!$B$21:$F$35,MATCH(E15,Støtteark!$B$21:$F$21,0),0),Støtteark!$L$35)</f>
        <v>Vælg en anden kombination</v>
      </c>
      <c r="O15" s="62">
        <f>'FS Aftale'!F15</f>
        <v>2</v>
      </c>
      <c r="P15" s="179" t="str">
        <f t="shared" si="8"/>
        <v>7:00</v>
      </c>
      <c r="Q15" s="63">
        <f>'FS Aftale'!G15*Støtteark!$Q$15</f>
        <v>120</v>
      </c>
      <c r="R15" s="235"/>
      <c r="S15" s="231" t="str">
        <f>IF(OR(AND(OR(N15 = Støtteark!$L$25,N15 = Støtteark!$L$26,N15 = Støtteark!$L$28),E15&lt;&gt;Støtteark!$U$6,OR(O15=Støtteark!$B$22,O15=Støtteark!$B$23,O15=Støtteark!$B$24,O15=Støtteark!$B$25,O15=Støtteark!$B$26,O15=Støtteark!$B$27,O15=Støtteark!$B$28)),AND(E15=Støtteark!$U$6,OR(O15=Støtteark!$B$24,O15=Støtteark!$B$27,O15=Støtteark!$B$29))),1,"")</f>
        <v/>
      </c>
      <c r="T15" s="232" t="str">
        <f>IF(OR(AND(N15 = Støtteark!$L$25,E15&lt;&gt;Støtteark!$U$6,O15=Støtteark!$B$22),AND(E15=Støtteark!$U$6,O15=Støtteark!$B$24),O15=Støtteark!$B$22),1,"")</f>
        <v/>
      </c>
      <c r="U15" s="232" t="str">
        <f>IF(OR(AND(N15 = Støtteark!$L$25,E15&lt;&gt;Støtteark!$U$6,OR(O15=Støtteark!$B$22,O15=Støtteark!$B$23,O15=Støtteark!$B$24)),AND(E15=Støtteark!$U$6,OR(O15=Støtteark!$B$22,O15=Støtteark!$B$24))),1,"")</f>
        <v/>
      </c>
      <c r="V15" s="232" t="str">
        <f>IF(OR(AND(N15 = Støtteark!$L$25,E15&lt;&gt;Støtteark!$U$6,O15=Støtteark!$B$22),AND(E15=Støtteark!$U$6,OR(O15=Støtteark!$B$22,O15=Støtteark!$B$24))),1,"")</f>
        <v/>
      </c>
      <c r="W15" s="232" t="str">
        <f>IF(OR(AND(N15 = Støtteark!$L$25,E15&lt;&gt;Støtteark!$U$6,OR(O15=Støtteark!$B$22,O15=Støtteark!$B$23,O15=Støtteark!$B$24,O15=Støtteark!$B$25)),AND(E15=Støtteark!$U$6,OR(O15=Støtteark!$B$22,O15=Støtteark!$B$24))),1,"")</f>
        <v/>
      </c>
      <c r="X15" s="231"/>
      <c r="Y15" s="231"/>
      <c r="Z15" s="235"/>
      <c r="AA15" s="231" t="str">
        <f>IF(OR(AND(E15&lt;&gt;Støtteark!$U$6,N15 = Støtteark!$L$25),N15 = Støtteark!$L$26,N15 = Støtteark!$L$28,AND(N15 = Støtteark!$L$29,E15&lt;&gt;Støtteark!$U$6,OR(O15=Støtteark!$B$30,O15=Støtteark!$B$32,O15=Støtteark!$B$33,AND(E15&lt;&gt;Støtteark!$U$6,O15=Støtteark!$B$34),O15=Støtteark!$B$35))),1,"")</f>
        <v/>
      </c>
      <c r="AB15" s="231" t="str">
        <f>IF(OR(AND(E15&lt;&gt;Støtteark!$U$6,N15 = Støtteark!$L$25),N15 = Støtteark!$L$26,N15 = Støtteark!$L$28,AND(N15 = Støtteark!$L$29,O15=Støtteark!$B$34)),1,"")</f>
        <v/>
      </c>
      <c r="AC15" s="231" t="str">
        <f>IF(OR(AND(E15&lt;&gt;Støtteark!$U$6,N15 = Støtteark!$L$25),N15 = Støtteark!$L$26,N15 = Støtteark!$L$28,AND(N15 = Støtteark!$L$29,E15&lt;&gt;Støtteark!$U$6,OR(O15=Støtteark!$B$30,O15 = Støtteark!$B$34))),1,"")</f>
        <v/>
      </c>
      <c r="AD15" s="232" t="str">
        <f>IF(OR(N15 = Støtteark!$L$25,N15 = Støtteark!$L$26,N15 = Støtteark!$L$28,AND(N15 = Støtteark!$L$29,OR(O15=Støtteark!$B$34,O15=Støtteark!$B$35)),AND(E15=Støtteark!$U$6,OR(O15=Støtteark!$B$29,O15=Støtteark!$B$30,O15=Støtteark!$B$32,O15=Støtteark!$B$33))),1,"")</f>
        <v/>
      </c>
      <c r="AE15" s="231" t="str">
        <f>IF(OR(N15 = Støtteark!$L$25,N15 = Støtteark!$L$26,N15 = Støtteark!$L$28,AND(N15 = Støtteark!$L$29,OR(O15=Støtteark!$B$34,O15 = Støtteark!$B$30)),AND(E15=Støtteark!$U$6,O15=Støtteark!$B$29)),1,"")</f>
        <v/>
      </c>
      <c r="AF15" s="231" t="str">
        <f>IF(OR(N15 = Støtteark!$L$25,N15 = Støtteark!$L$26,N15 = Støtteark!$L$28,AND(N15 = Støtteark!$L$29,O15=Støtteark!$B$34),AND(E15=Støtteark!$U$6,O15=Støtteark!$B$30),AND(E15=Støtteark!$U$6,O15=Støtteark!$B$29)),1,"")</f>
        <v/>
      </c>
      <c r="AG15" s="231" t="str">
        <f>IF(OR(N15 = Støtteark!$L$25,N15 = Støtteark!$L$26,N15 = Støtteark!$L$28,AND(N15 = Støtteark!$L$29,OR(O15=Støtteark!$B$30,O15 = Støtteark!$B$31,O15=Støtteark!$B$32,O15=Støtteark!$B$34)),AND(E15=Støtteark!$U$6,OR(O15=Støtteark!$B$29,O15=Støtteark!$B$31))),1,"")</f>
        <v/>
      </c>
      <c r="AH15" s="231" t="str">
        <f>IF(OR(N15 = Støtteark!$L$25,N15 = Støtteark!$L$26,N15 = Støtteark!$L$28,AND(N15 = Støtteark!$L$29,O15=Støtteark!$B$34),AND(E15=Støtteark!$U$6,OR(O15=Støtteark!$B$29,O15=Støtteark!$B$30))),1,"")</f>
        <v/>
      </c>
      <c r="AI15" s="231" t="str">
        <f>IF(OR(N15 = Støtteark!$L$25,N15 = Støtteark!$L$26,N15 = Støtteark!$L$28,AND(N15 = Støtteark!$L$29,OR(O15=Støtteark!$B$34,O15 = Støtteark!$B$30)),AND(E15=Støtteark!$U$6,OR(O15=Støtteark!$B$29,O15=Støtteark!$B$30))),1,"")</f>
        <v/>
      </c>
      <c r="AJ15" s="231" t="str">
        <f>IF(OR(AND(E15&lt;&gt;Støtteark!$U$6,N15 = Støtteark!$L$25),N15 = Støtteark!$L$26,N15 = Støtteark!$L$28,AND(N15 = Støtteark!$L$29,OR(O15=Støtteark!$B$34,O15=Støtteark!$B$35),O15&lt;&gt;Støtteark!$B$30)),1,"")</f>
        <v/>
      </c>
      <c r="AK15" s="231" t="str">
        <f>IF(OR(AND(E15&lt;&gt;Støtteark!$U$6,N15 = Støtteark!$L$25),N15 = Støtteark!$L$26,N15 = Støtteark!$L$28,AND(N15 = Støtteark!$L$29,E15&lt;&gt;Støtteark!$U$6,OR(O15=Støtteark!$B$34,O15 = Støtteark!$B$30))),1,"")</f>
        <v/>
      </c>
      <c r="AL15" s="231" t="str">
        <f>IF(OR(AND(E15&lt;&gt;Støtteark!$U$6,N15 = Støtteark!$L$25),N15 = Støtteark!$L$26,N15 = Støtteark!$L$28,AND(N15 = Støtteark!$L$29,O15=Støtteark!$B$34)),1,"")</f>
        <v/>
      </c>
      <c r="AM15" s="231" t="str">
        <f>IF(AND(N15 = Støtteark!$L$29,OR(O15=Støtteark!$B$30,O15=Støtteark!$B$32,O15=Støtteark!$B$33,O15=Støtteark!$B$34,O15=Støtteark!$B$35)),Støtteark!$L$32,"")</f>
        <v/>
      </c>
      <c r="AN15" s="235"/>
      <c r="AO15" s="91"/>
      <c r="AP15" s="170">
        <v>0</v>
      </c>
      <c r="AQ15" s="235"/>
      <c r="AR15" s="64">
        <f t="shared" ca="1" si="9"/>
        <v>44022</v>
      </c>
    </row>
    <row r="16" spans="1:16384" ht="25.5" hidden="1" x14ac:dyDescent="0.25">
      <c r="A16" s="221" t="str">
        <f t="shared" si="5"/>
        <v>Kundenr.-Ejendom</v>
      </c>
      <c r="B16" s="61" t="str">
        <f>Ydelser!A16&amp;" - "&amp;Ydelser!C16</f>
        <v>206 - Booking af fælleslokaler</v>
      </c>
      <c r="C16" s="61" t="str">
        <f>Ydelser!D16</f>
        <v>Booking af fællesrum, gæsteværelser, gildesal m.m. samt oprettelse af opgaver til servicemedarbejdere for håndtering af nøgler, rengøringstjek, leje.</v>
      </c>
      <c r="D16" s="61" t="b">
        <f>'FS Aftale'!D16</f>
        <v>0</v>
      </c>
      <c r="E16" s="156" t="str">
        <f>'FS Aftale'!E16</f>
        <v>Indeholdt</v>
      </c>
      <c r="F16" s="61" t="str">
        <f t="shared" si="6"/>
        <v>Team Ansvarlig</v>
      </c>
      <c r="G16" s="61" t="str">
        <f t="shared" si="6"/>
        <v>Ansvarlig</v>
      </c>
      <c r="H16" s="61" t="str">
        <f t="shared" si="6"/>
        <v>Servicemedarb.</v>
      </c>
      <c r="I16" s="235"/>
      <c r="J16" s="61" t="str">
        <f t="shared" si="7"/>
        <v>Fast</v>
      </c>
      <c r="K16" s="61" t="str">
        <f t="shared" si="7"/>
        <v>FS aftale</v>
      </c>
      <c r="L16" s="188">
        <f t="shared" si="7"/>
        <v>1</v>
      </c>
      <c r="M16" s="157" t="str">
        <f t="shared" si="7"/>
        <v>Mangler planlægning</v>
      </c>
      <c r="N16" s="147" t="str">
        <f>IFERROR(VLOOKUP(O16,Støtteark!$B$21:$F$35,MATCH(E16,Støtteark!$B$21:$F$21,0),0),Støtteark!$L$35)</f>
        <v>Vælg en anden kombination</v>
      </c>
      <c r="O16" s="62">
        <f>'FS Aftale'!F16</f>
        <v>52</v>
      </c>
      <c r="P16" s="179" t="str">
        <f t="shared" si="8"/>
        <v>7:00</v>
      </c>
      <c r="Q16" s="63">
        <f>'FS Aftale'!G16*Støtteark!$Q$15</f>
        <v>15</v>
      </c>
      <c r="R16" s="235"/>
      <c r="S16" s="231" t="str">
        <f>IF(OR(AND(OR(N16 = Støtteark!$L$25,N16 = Støtteark!$L$26,N16 = Støtteark!$L$28),E16&lt;&gt;Støtteark!$U$6,OR(O16=Støtteark!$B$22,O16=Støtteark!$B$23,O16=Støtteark!$B$24,O16=Støtteark!$B$25,O16=Støtteark!$B$26,O16=Støtteark!$B$27,O16=Støtteark!$B$28)),AND(E16=Støtteark!$U$6,OR(O16=Støtteark!$B$24,O16=Støtteark!$B$27,O16=Støtteark!$B$29))),1,"")</f>
        <v/>
      </c>
      <c r="T16" s="232" t="str">
        <f>IF(OR(AND(N16 = Støtteark!$L$25,E16&lt;&gt;Støtteark!$U$6,O16=Støtteark!$B$22),AND(E16=Støtteark!$U$6,O16=Støtteark!$B$24),O16=Støtteark!$B$22),1,"")</f>
        <v/>
      </c>
      <c r="U16" s="232" t="str">
        <f>IF(OR(AND(N16 = Støtteark!$L$25,E16&lt;&gt;Støtteark!$U$6,OR(O16=Støtteark!$B$22,O16=Støtteark!$B$23,O16=Støtteark!$B$24)),AND(E16=Støtteark!$U$6,OR(O16=Støtteark!$B$22,O16=Støtteark!$B$24))),1,"")</f>
        <v/>
      </c>
      <c r="V16" s="232" t="str">
        <f>IF(OR(AND(N16 = Støtteark!$L$25,E16&lt;&gt;Støtteark!$U$6,O16=Støtteark!$B$22),AND(E16=Støtteark!$U$6,OR(O16=Støtteark!$B$22,O16=Støtteark!$B$24))),1,"")</f>
        <v/>
      </c>
      <c r="W16" s="232" t="str">
        <f>IF(OR(AND(N16 = Støtteark!$L$25,E16&lt;&gt;Støtteark!$U$6,OR(O16=Støtteark!$B$22,O16=Støtteark!$B$23,O16=Støtteark!$B$24,O16=Støtteark!$B$25)),AND(E16=Støtteark!$U$6,OR(O16=Støtteark!$B$22,O16=Støtteark!$B$24))),1,"")</f>
        <v/>
      </c>
      <c r="X16" s="231"/>
      <c r="Y16" s="231"/>
      <c r="Z16" s="235"/>
      <c r="AA16" s="231" t="str">
        <f>IF(OR(AND(E16&lt;&gt;Støtteark!$U$6,N16 = Støtteark!$L$25),N16 = Støtteark!$L$26,N16 = Støtteark!$L$28,AND(N16 = Støtteark!$L$29,E16&lt;&gt;Støtteark!$U$6,OR(O16=Støtteark!$B$30,O16=Støtteark!$B$32,O16=Støtteark!$B$33,AND(E16&lt;&gt;Støtteark!$U$6,O16=Støtteark!$B$34),O16=Støtteark!$B$35))),1,"")</f>
        <v/>
      </c>
      <c r="AB16" s="231" t="str">
        <f>IF(OR(AND(E16&lt;&gt;Støtteark!$U$6,N16 = Støtteark!$L$25),N16 = Støtteark!$L$26,N16 = Støtteark!$L$28,AND(N16 = Støtteark!$L$29,O16=Støtteark!$B$34)),1,"")</f>
        <v/>
      </c>
      <c r="AC16" s="231" t="str">
        <f>IF(OR(AND(E16&lt;&gt;Støtteark!$U$6,N16 = Støtteark!$L$25),N16 = Støtteark!$L$26,N16 = Støtteark!$L$28,AND(N16 = Støtteark!$L$29,E16&lt;&gt;Støtteark!$U$6,OR(O16=Støtteark!$B$30,O16 = Støtteark!$B$34))),1,"")</f>
        <v/>
      </c>
      <c r="AD16" s="232" t="str">
        <f>IF(OR(N16 = Støtteark!$L$25,N16 = Støtteark!$L$26,N16 = Støtteark!$L$28,AND(N16 = Støtteark!$L$29,OR(O16=Støtteark!$B$34,O16=Støtteark!$B$35)),AND(E16=Støtteark!$U$6,OR(O16=Støtteark!$B$29,O16=Støtteark!$B$30,O16=Støtteark!$B$32,O16=Støtteark!$B$33))),1,"")</f>
        <v/>
      </c>
      <c r="AE16" s="231" t="str">
        <f>IF(OR(N16 = Støtteark!$L$25,N16 = Støtteark!$L$26,N16 = Støtteark!$L$28,AND(N16 = Støtteark!$L$29,OR(O16=Støtteark!$B$34,O16 = Støtteark!$B$30)),AND(E16=Støtteark!$U$6,O16=Støtteark!$B$29)),1,"")</f>
        <v/>
      </c>
      <c r="AF16" s="231" t="str">
        <f>IF(OR(N16 = Støtteark!$L$25,N16 = Støtteark!$L$26,N16 = Støtteark!$L$28,AND(N16 = Støtteark!$L$29,O16=Støtteark!$B$34),AND(E16=Støtteark!$U$6,O16=Støtteark!$B$30),AND(E16=Støtteark!$U$6,O16=Støtteark!$B$29)),1,"")</f>
        <v/>
      </c>
      <c r="AG16" s="231" t="str">
        <f>IF(OR(N16 = Støtteark!$L$25,N16 = Støtteark!$L$26,N16 = Støtteark!$L$28,AND(N16 = Støtteark!$L$29,OR(O16=Støtteark!$B$30,O16 = Støtteark!$B$31,O16=Støtteark!$B$32,O16=Støtteark!$B$34)),AND(E16=Støtteark!$U$6,OR(O16=Støtteark!$B$29,O16=Støtteark!$B$31))),1,"")</f>
        <v/>
      </c>
      <c r="AH16" s="231" t="str">
        <f>IF(OR(N16 = Støtteark!$L$25,N16 = Støtteark!$L$26,N16 = Støtteark!$L$28,AND(N16 = Støtteark!$L$29,O16=Støtteark!$B$34),AND(E16=Støtteark!$U$6,OR(O16=Støtteark!$B$29,O16=Støtteark!$B$30))),1,"")</f>
        <v/>
      </c>
      <c r="AI16" s="231" t="str">
        <f>IF(OR(N16 = Støtteark!$L$25,N16 = Støtteark!$L$26,N16 = Støtteark!$L$28,AND(N16 = Støtteark!$L$29,OR(O16=Støtteark!$B$34,O16 = Støtteark!$B$30)),AND(E16=Støtteark!$U$6,OR(O16=Støtteark!$B$29,O16=Støtteark!$B$30))),1,"")</f>
        <v/>
      </c>
      <c r="AJ16" s="231" t="str">
        <f>IF(OR(AND(E16&lt;&gt;Støtteark!$U$6,N16 = Støtteark!$L$25),N16 = Støtteark!$L$26,N16 = Støtteark!$L$28,AND(N16 = Støtteark!$L$29,OR(O16=Støtteark!$B$34,O16=Støtteark!$B$35),O16&lt;&gt;Støtteark!$B$30)),1,"")</f>
        <v/>
      </c>
      <c r="AK16" s="231" t="str">
        <f>IF(OR(AND(E16&lt;&gt;Støtteark!$U$6,N16 = Støtteark!$L$25),N16 = Støtteark!$L$26,N16 = Støtteark!$L$28,AND(N16 = Støtteark!$L$29,E16&lt;&gt;Støtteark!$U$6,OR(O16=Støtteark!$B$34,O16 = Støtteark!$B$30))),1,"")</f>
        <v/>
      </c>
      <c r="AL16" s="231" t="str">
        <f>IF(OR(AND(E16&lt;&gt;Støtteark!$U$6,N16 = Støtteark!$L$25),N16 = Støtteark!$L$26,N16 = Støtteark!$L$28,AND(N16 = Støtteark!$L$29,O16=Støtteark!$B$34)),1,"")</f>
        <v/>
      </c>
      <c r="AM16" s="231" t="str">
        <f>IF(AND(N16 = Støtteark!$L$29,OR(O16=Støtteark!$B$30,O16=Støtteark!$B$32,O16=Støtteark!$B$33,O16=Støtteark!$B$34,O16=Støtteark!$B$35)),Støtteark!$L$32,"")</f>
        <v/>
      </c>
      <c r="AN16" s="235"/>
      <c r="AO16" s="91"/>
      <c r="AP16" s="170">
        <v>0</v>
      </c>
      <c r="AQ16" s="235"/>
      <c r="AR16" s="64">
        <f t="shared" ca="1" si="9"/>
        <v>44022</v>
      </c>
    </row>
    <row r="17" spans="1:44" ht="25.5" hidden="1" x14ac:dyDescent="0.25">
      <c r="A17" s="221" t="str">
        <f t="shared" si="5"/>
        <v>Kundenr.-Ejendom</v>
      </c>
      <c r="B17" s="61" t="str">
        <f>Ydelser!A17&amp;" - "&amp;Ydelser!C17</f>
        <v>207 - Administration af cykeloprydning</v>
      </c>
      <c r="C17" s="61" t="str">
        <f>Ydelser!D17</f>
        <v>Standard varslingsbrev udarbejdes og omdeles til lejerne 3 uger før.</v>
      </c>
      <c r="D17" s="61" t="b">
        <f>'FS Aftale'!D17</f>
        <v>1</v>
      </c>
      <c r="E17" s="156" t="str">
        <f>'FS Aftale'!E17</f>
        <v>Indeholdt</v>
      </c>
      <c r="F17" s="61" t="str">
        <f t="shared" si="6"/>
        <v>Team Ansvarlig</v>
      </c>
      <c r="G17" s="61" t="str">
        <f t="shared" si="6"/>
        <v>Ansvarlig</v>
      </c>
      <c r="H17" s="61" t="str">
        <f t="shared" si="6"/>
        <v>Servicemedarb.</v>
      </c>
      <c r="I17" s="235"/>
      <c r="J17" s="61" t="str">
        <f t="shared" si="7"/>
        <v>Fast</v>
      </c>
      <c r="K17" s="61" t="str">
        <f t="shared" si="7"/>
        <v>FS aftale</v>
      </c>
      <c r="L17" s="188">
        <f t="shared" si="7"/>
        <v>1</v>
      </c>
      <c r="M17" s="157" t="str">
        <f t="shared" si="7"/>
        <v>Mangler planlægning</v>
      </c>
      <c r="N17" s="147" t="str">
        <f>IFERROR(VLOOKUP(O17,Støtteark!$B$21:$F$35,MATCH(E17,Støtteark!$B$21:$F$21,0),0),Støtteark!$L$35)</f>
        <v>Vælg en anden kombination</v>
      </c>
      <c r="O17" s="62">
        <f>'FS Aftale'!F17</f>
        <v>52</v>
      </c>
      <c r="P17" s="179" t="str">
        <f t="shared" si="8"/>
        <v>7:00</v>
      </c>
      <c r="Q17" s="63">
        <f>'FS Aftale'!G17*Støtteark!$Q$15</f>
        <v>60</v>
      </c>
      <c r="R17" s="235"/>
      <c r="S17" s="231" t="str">
        <f>IF(OR(AND(OR(N17 = Støtteark!$L$25,N17 = Støtteark!$L$26,N17 = Støtteark!$L$28),E17&lt;&gt;Støtteark!$U$6,OR(O17=Støtteark!$B$22,O17=Støtteark!$B$23,O17=Støtteark!$B$24,O17=Støtteark!$B$25,O17=Støtteark!$B$26,O17=Støtteark!$B$27,O17=Støtteark!$B$28)),AND(E17=Støtteark!$U$6,OR(O17=Støtteark!$B$24,O17=Støtteark!$B$27,O17=Støtteark!$B$29))),1,"")</f>
        <v/>
      </c>
      <c r="T17" s="232" t="str">
        <f>IF(OR(AND(N17 = Støtteark!$L$25,E17&lt;&gt;Støtteark!$U$6,O17=Støtteark!$B$22),AND(E17=Støtteark!$U$6,O17=Støtteark!$B$24),O17=Støtteark!$B$22),1,"")</f>
        <v/>
      </c>
      <c r="U17" s="232" t="str">
        <f>IF(OR(AND(N17 = Støtteark!$L$25,E17&lt;&gt;Støtteark!$U$6,OR(O17=Støtteark!$B$22,O17=Støtteark!$B$23,O17=Støtteark!$B$24)),AND(E17=Støtteark!$U$6,OR(O17=Støtteark!$B$22,O17=Støtteark!$B$24))),1,"")</f>
        <v/>
      </c>
      <c r="V17" s="232" t="str">
        <f>IF(OR(AND(N17 = Støtteark!$L$25,E17&lt;&gt;Støtteark!$U$6,O17=Støtteark!$B$22),AND(E17=Støtteark!$U$6,OR(O17=Støtteark!$B$22,O17=Støtteark!$B$24))),1,"")</f>
        <v/>
      </c>
      <c r="W17" s="232" t="str">
        <f>IF(OR(AND(N17 = Støtteark!$L$25,E17&lt;&gt;Støtteark!$U$6,OR(O17=Støtteark!$B$22,O17=Støtteark!$B$23,O17=Støtteark!$B$24,O17=Støtteark!$B$25)),AND(E17=Støtteark!$U$6,OR(O17=Støtteark!$B$22,O17=Støtteark!$B$24))),1,"")</f>
        <v/>
      </c>
      <c r="X17" s="231"/>
      <c r="Y17" s="231"/>
      <c r="Z17" s="235"/>
      <c r="AA17" s="231" t="str">
        <f>IF(OR(AND(E17&lt;&gt;Støtteark!$U$6,N17 = Støtteark!$L$25),N17 = Støtteark!$L$26,N17 = Støtteark!$L$28,AND(N17 = Støtteark!$L$29,E17&lt;&gt;Støtteark!$U$6,OR(O17=Støtteark!$B$30,O17=Støtteark!$B$32,O17=Støtteark!$B$33,AND(E17&lt;&gt;Støtteark!$U$6,O17=Støtteark!$B$34),O17=Støtteark!$B$35))),1,"")</f>
        <v/>
      </c>
      <c r="AB17" s="231" t="str">
        <f>IF(OR(AND(E17&lt;&gt;Støtteark!$U$6,N17 = Støtteark!$L$25),N17 = Støtteark!$L$26,N17 = Støtteark!$L$28,AND(N17 = Støtteark!$L$29,O17=Støtteark!$B$34)),1,"")</f>
        <v/>
      </c>
      <c r="AC17" s="231" t="str">
        <f>IF(OR(AND(E17&lt;&gt;Støtteark!$U$6,N17 = Støtteark!$L$25),N17 = Støtteark!$L$26,N17 = Støtteark!$L$28,AND(N17 = Støtteark!$L$29,E17&lt;&gt;Støtteark!$U$6,OR(O17=Støtteark!$B$30,O17 = Støtteark!$B$34))),1,"")</f>
        <v/>
      </c>
      <c r="AD17" s="232" t="str">
        <f>IF(OR(N17 = Støtteark!$L$25,N17 = Støtteark!$L$26,N17 = Støtteark!$L$28,AND(N17 = Støtteark!$L$29,OR(O17=Støtteark!$B$34,O17=Støtteark!$B$35)),AND(E17=Støtteark!$U$6,OR(O17=Støtteark!$B$29,O17=Støtteark!$B$30,O17=Støtteark!$B$32,O17=Støtteark!$B$33))),1,"")</f>
        <v/>
      </c>
      <c r="AE17" s="231" t="str">
        <f>IF(OR(N17 = Støtteark!$L$25,N17 = Støtteark!$L$26,N17 = Støtteark!$L$28,AND(N17 = Støtteark!$L$29,OR(O17=Støtteark!$B$34,O17 = Støtteark!$B$30)),AND(E17=Støtteark!$U$6,O17=Støtteark!$B$29)),1,"")</f>
        <v/>
      </c>
      <c r="AF17" s="231" t="str">
        <f>IF(OR(N17 = Støtteark!$L$25,N17 = Støtteark!$L$26,N17 = Støtteark!$L$28,AND(N17 = Støtteark!$L$29,O17=Støtteark!$B$34),AND(E17=Støtteark!$U$6,O17=Støtteark!$B$30),AND(E17=Støtteark!$U$6,O17=Støtteark!$B$29)),1,"")</f>
        <v/>
      </c>
      <c r="AG17" s="231" t="str">
        <f>IF(OR(N17 = Støtteark!$L$25,N17 = Støtteark!$L$26,N17 = Støtteark!$L$28,AND(N17 = Støtteark!$L$29,OR(O17=Støtteark!$B$30,O17 = Støtteark!$B$31,O17=Støtteark!$B$32,O17=Støtteark!$B$34)),AND(E17=Støtteark!$U$6,OR(O17=Støtteark!$B$29,O17=Støtteark!$B$31))),1,"")</f>
        <v/>
      </c>
      <c r="AH17" s="231" t="str">
        <f>IF(OR(N17 = Støtteark!$L$25,N17 = Støtteark!$L$26,N17 = Støtteark!$L$28,AND(N17 = Støtteark!$L$29,O17=Støtteark!$B$34),AND(E17=Støtteark!$U$6,OR(O17=Støtteark!$B$29,O17=Støtteark!$B$30))),1,"")</f>
        <v/>
      </c>
      <c r="AI17" s="231" t="str">
        <f>IF(OR(N17 = Støtteark!$L$25,N17 = Støtteark!$L$26,N17 = Støtteark!$L$28,AND(N17 = Støtteark!$L$29,OR(O17=Støtteark!$B$34,O17 = Støtteark!$B$30)),AND(E17=Støtteark!$U$6,OR(O17=Støtteark!$B$29,O17=Støtteark!$B$30))),1,"")</f>
        <v/>
      </c>
      <c r="AJ17" s="231" t="str">
        <f>IF(OR(AND(E17&lt;&gt;Støtteark!$U$6,N17 = Støtteark!$L$25),N17 = Støtteark!$L$26,N17 = Støtteark!$L$28,AND(N17 = Støtteark!$L$29,OR(O17=Støtteark!$B$34,O17=Støtteark!$B$35),O17&lt;&gt;Støtteark!$B$30)),1,"")</f>
        <v/>
      </c>
      <c r="AK17" s="231" t="str">
        <f>IF(OR(AND(E17&lt;&gt;Støtteark!$U$6,N17 = Støtteark!$L$25),N17 = Støtteark!$L$26,N17 = Støtteark!$L$28,AND(N17 = Støtteark!$L$29,E17&lt;&gt;Støtteark!$U$6,OR(O17=Støtteark!$B$34,O17 = Støtteark!$B$30))),1,"")</f>
        <v/>
      </c>
      <c r="AL17" s="231" t="str">
        <f>IF(OR(AND(E17&lt;&gt;Støtteark!$U$6,N17 = Støtteark!$L$25),N17 = Støtteark!$L$26,N17 = Støtteark!$L$28,AND(N17 = Støtteark!$L$29,O17=Støtteark!$B$34)),1,"")</f>
        <v/>
      </c>
      <c r="AM17" s="231" t="str">
        <f>IF(AND(N17 = Støtteark!$L$29,OR(O17=Støtteark!$B$30,O17=Støtteark!$B$32,O17=Støtteark!$B$33,O17=Støtteark!$B$34,O17=Støtteark!$B$35)),Støtteark!$L$32,"")</f>
        <v/>
      </c>
      <c r="AN17" s="235"/>
      <c r="AO17" s="91"/>
      <c r="AP17" s="170">
        <v>0</v>
      </c>
      <c r="AQ17" s="235"/>
      <c r="AR17" s="64">
        <f t="shared" ca="1" si="9"/>
        <v>44022</v>
      </c>
    </row>
    <row r="18" spans="1:44" ht="25.5" hidden="1" x14ac:dyDescent="0.25">
      <c r="A18" s="221" t="str">
        <f t="shared" si="5"/>
        <v>Kundenr.-Ejendom</v>
      </c>
      <c r="B18" s="61" t="str">
        <f>Ydelser!A18&amp;" - "&amp;Ydelser!C18</f>
        <v>208 - Nøgle- og kortadministration</v>
      </c>
      <c r="C18" s="61" t="str">
        <f>Ydelser!D18</f>
        <v>Administration og bestilling af nøgler, adgangskort, brik-systemer, P-ordninger og vaskekort.</v>
      </c>
      <c r="D18" s="61" t="b">
        <f>'FS Aftale'!D18</f>
        <v>0</v>
      </c>
      <c r="E18" s="156" t="str">
        <f>'FS Aftale'!E18</f>
        <v>Indeholdt</v>
      </c>
      <c r="F18" s="61" t="str">
        <f t="shared" si="6"/>
        <v>Team Ansvarlig</v>
      </c>
      <c r="G18" s="61" t="str">
        <f t="shared" si="6"/>
        <v>Ansvarlig</v>
      </c>
      <c r="H18" s="61" t="str">
        <f t="shared" si="6"/>
        <v>Servicemedarb.</v>
      </c>
      <c r="I18" s="235"/>
      <c r="J18" s="61" t="str">
        <f t="shared" si="7"/>
        <v>Fast</v>
      </c>
      <c r="K18" s="61" t="str">
        <f t="shared" si="7"/>
        <v>FS aftale</v>
      </c>
      <c r="L18" s="188">
        <f t="shared" si="7"/>
        <v>1</v>
      </c>
      <c r="M18" s="157" t="str">
        <f t="shared" si="7"/>
        <v>Mangler planlægning</v>
      </c>
      <c r="N18" s="147" t="str">
        <f>IFERROR(VLOOKUP(O18,Støtteark!$B$21:$F$35,MATCH(E18,Støtteark!$B$21:$F$21,0),0),Støtteark!$L$35)</f>
        <v>Vælg en anden kombination</v>
      </c>
      <c r="O18" s="62">
        <f>'FS Aftale'!F18</f>
        <v>12</v>
      </c>
      <c r="P18" s="179" t="str">
        <f t="shared" si="8"/>
        <v>7:00</v>
      </c>
      <c r="Q18" s="63">
        <f>'FS Aftale'!G18*Støtteark!$Q$15</f>
        <v>30</v>
      </c>
      <c r="R18" s="235"/>
      <c r="S18" s="231" t="str">
        <f>IF(OR(AND(OR(N18 = Støtteark!$L$25,N18 = Støtteark!$L$26,N18 = Støtteark!$L$28),E18&lt;&gt;Støtteark!$U$6,OR(O18=Støtteark!$B$22,O18=Støtteark!$B$23,O18=Støtteark!$B$24,O18=Støtteark!$B$25,O18=Støtteark!$B$26,O18=Støtteark!$B$27,O18=Støtteark!$B$28)),AND(E18=Støtteark!$U$6,OR(O18=Støtteark!$B$24,O18=Støtteark!$B$27,O18=Støtteark!$B$29))),1,"")</f>
        <v/>
      </c>
      <c r="T18" s="232" t="str">
        <f>IF(OR(AND(N18 = Støtteark!$L$25,E18&lt;&gt;Støtteark!$U$6,O18=Støtteark!$B$22),AND(E18=Støtteark!$U$6,O18=Støtteark!$B$24),O18=Støtteark!$B$22),1,"")</f>
        <v/>
      </c>
      <c r="U18" s="232" t="str">
        <f>IF(OR(AND(N18 = Støtteark!$L$25,E18&lt;&gt;Støtteark!$U$6,OR(O18=Støtteark!$B$22,O18=Støtteark!$B$23,O18=Støtteark!$B$24)),AND(E18=Støtteark!$U$6,OR(O18=Støtteark!$B$22,O18=Støtteark!$B$24))),1,"")</f>
        <v/>
      </c>
      <c r="V18" s="232" t="str">
        <f>IF(OR(AND(N18 = Støtteark!$L$25,E18&lt;&gt;Støtteark!$U$6,O18=Støtteark!$B$22),AND(E18=Støtteark!$U$6,OR(O18=Støtteark!$B$22,O18=Støtteark!$B$24))),1,"")</f>
        <v/>
      </c>
      <c r="W18" s="232" t="str">
        <f>IF(OR(AND(N18 = Støtteark!$L$25,E18&lt;&gt;Støtteark!$U$6,OR(O18=Støtteark!$B$22,O18=Støtteark!$B$23,O18=Støtteark!$B$24,O18=Støtteark!$B$25)),AND(E18=Støtteark!$U$6,OR(O18=Støtteark!$B$22,O18=Støtteark!$B$24))),1,"")</f>
        <v/>
      </c>
      <c r="X18" s="231"/>
      <c r="Y18" s="231"/>
      <c r="Z18" s="235"/>
      <c r="AA18" s="231" t="str">
        <f>IF(OR(AND(E18&lt;&gt;Støtteark!$U$6,N18 = Støtteark!$L$25),N18 = Støtteark!$L$26,N18 = Støtteark!$L$28,AND(N18 = Støtteark!$L$29,E18&lt;&gt;Støtteark!$U$6,OR(O18=Støtteark!$B$30,O18=Støtteark!$B$32,O18=Støtteark!$B$33,AND(E18&lt;&gt;Støtteark!$U$6,O18=Støtteark!$B$34),O18=Støtteark!$B$35))),1,"")</f>
        <v/>
      </c>
      <c r="AB18" s="231" t="str">
        <f>IF(OR(AND(E18&lt;&gt;Støtteark!$U$6,N18 = Støtteark!$L$25),N18 = Støtteark!$L$26,N18 = Støtteark!$L$28,AND(N18 = Støtteark!$L$29,O18=Støtteark!$B$34)),1,"")</f>
        <v/>
      </c>
      <c r="AC18" s="231" t="str">
        <f>IF(OR(AND(E18&lt;&gt;Støtteark!$U$6,N18 = Støtteark!$L$25),N18 = Støtteark!$L$26,N18 = Støtteark!$L$28,AND(N18 = Støtteark!$L$29,E18&lt;&gt;Støtteark!$U$6,OR(O18=Støtteark!$B$30,O18 = Støtteark!$B$34))),1,"")</f>
        <v/>
      </c>
      <c r="AD18" s="232" t="str">
        <f>IF(OR(N18 = Støtteark!$L$25,N18 = Støtteark!$L$26,N18 = Støtteark!$L$28,AND(N18 = Støtteark!$L$29,OR(O18=Støtteark!$B$34,O18=Støtteark!$B$35)),AND(E18=Støtteark!$U$6,OR(O18=Støtteark!$B$29,O18=Støtteark!$B$30,O18=Støtteark!$B$32,O18=Støtteark!$B$33))),1,"")</f>
        <v/>
      </c>
      <c r="AE18" s="231" t="str">
        <f>IF(OR(N18 = Støtteark!$L$25,N18 = Støtteark!$L$26,N18 = Støtteark!$L$28,AND(N18 = Støtteark!$L$29,OR(O18=Støtteark!$B$34,O18 = Støtteark!$B$30)),AND(E18=Støtteark!$U$6,O18=Støtteark!$B$29)),1,"")</f>
        <v/>
      </c>
      <c r="AF18" s="231" t="str">
        <f>IF(OR(N18 = Støtteark!$L$25,N18 = Støtteark!$L$26,N18 = Støtteark!$L$28,AND(N18 = Støtteark!$L$29,O18=Støtteark!$B$34),AND(E18=Støtteark!$U$6,O18=Støtteark!$B$30),AND(E18=Støtteark!$U$6,O18=Støtteark!$B$29)),1,"")</f>
        <v/>
      </c>
      <c r="AG18" s="231" t="str">
        <f>IF(OR(N18 = Støtteark!$L$25,N18 = Støtteark!$L$26,N18 = Støtteark!$L$28,AND(N18 = Støtteark!$L$29,OR(O18=Støtteark!$B$30,O18 = Støtteark!$B$31,O18=Støtteark!$B$32,O18=Støtteark!$B$34)),AND(E18=Støtteark!$U$6,OR(O18=Støtteark!$B$29,O18=Støtteark!$B$31))),1,"")</f>
        <v/>
      </c>
      <c r="AH18" s="231" t="str">
        <f>IF(OR(N18 = Støtteark!$L$25,N18 = Støtteark!$L$26,N18 = Støtteark!$L$28,AND(N18 = Støtteark!$L$29,O18=Støtteark!$B$34),AND(E18=Støtteark!$U$6,OR(O18=Støtteark!$B$29,O18=Støtteark!$B$30))),1,"")</f>
        <v/>
      </c>
      <c r="AI18" s="231" t="str">
        <f>IF(OR(N18 = Støtteark!$L$25,N18 = Støtteark!$L$26,N18 = Støtteark!$L$28,AND(N18 = Støtteark!$L$29,OR(O18=Støtteark!$B$34,O18 = Støtteark!$B$30)),AND(E18=Støtteark!$U$6,OR(O18=Støtteark!$B$29,O18=Støtteark!$B$30))),1,"")</f>
        <v/>
      </c>
      <c r="AJ18" s="231" t="str">
        <f>IF(OR(AND(E18&lt;&gt;Støtteark!$U$6,N18 = Støtteark!$L$25),N18 = Støtteark!$L$26,N18 = Støtteark!$L$28,AND(N18 = Støtteark!$L$29,OR(O18=Støtteark!$B$34,O18=Støtteark!$B$35),O18&lt;&gt;Støtteark!$B$30)),1,"")</f>
        <v/>
      </c>
      <c r="AK18" s="231" t="str">
        <f>IF(OR(AND(E18&lt;&gt;Støtteark!$U$6,N18 = Støtteark!$L$25),N18 = Støtteark!$L$26,N18 = Støtteark!$L$28,AND(N18 = Støtteark!$L$29,E18&lt;&gt;Støtteark!$U$6,OR(O18=Støtteark!$B$34,O18 = Støtteark!$B$30))),1,"")</f>
        <v/>
      </c>
      <c r="AL18" s="231" t="str">
        <f>IF(OR(AND(E18&lt;&gt;Støtteark!$U$6,N18 = Støtteark!$L$25),N18 = Støtteark!$L$26,N18 = Støtteark!$L$28,AND(N18 = Støtteark!$L$29,O18=Støtteark!$B$34)),1,"")</f>
        <v/>
      </c>
      <c r="AM18" s="231" t="str">
        <f>IF(AND(N18 = Støtteark!$L$29,OR(O18=Støtteark!$B$30,O18=Støtteark!$B$32,O18=Støtteark!$B$33,O18=Støtteark!$B$34,O18=Støtteark!$B$35)),Støtteark!$L$32,"")</f>
        <v/>
      </c>
      <c r="AN18" s="235"/>
      <c r="AO18" s="91"/>
      <c r="AP18" s="170">
        <v>0</v>
      </c>
      <c r="AQ18" s="235"/>
      <c r="AR18" s="64">
        <f t="shared" ca="1" si="9"/>
        <v>44022</v>
      </c>
    </row>
    <row r="19" spans="1:44" ht="25.5" hidden="1" x14ac:dyDescent="0.25">
      <c r="A19" s="221" t="str">
        <f t="shared" si="5"/>
        <v>Kundenr.-Ejendom</v>
      </c>
      <c r="B19" s="61" t="str">
        <f>Ydelser!A19&amp;" - "&amp;Ydelser!C19</f>
        <v>209 - Leveringsgodkendelse</v>
      </c>
      <c r="C19" s="61" t="str">
        <f>Ydelser!D19</f>
        <v>Leveringsgodkendelse af indkomne fakturaer på opgaver, som er bestilt af DEAS FS på kundens vegne.</v>
      </c>
      <c r="D19" s="61" t="b">
        <f>'FS Aftale'!D19</f>
        <v>0</v>
      </c>
      <c r="E19" s="156" t="str">
        <f>'FS Aftale'!E19</f>
        <v>Indeholdt</v>
      </c>
      <c r="F19" s="61" t="str">
        <f t="shared" si="6"/>
        <v>Team Ansvarlig</v>
      </c>
      <c r="G19" s="61" t="str">
        <f t="shared" si="6"/>
        <v>Ansvarlig</v>
      </c>
      <c r="H19" s="61" t="str">
        <f t="shared" si="6"/>
        <v>Servicemedarb.</v>
      </c>
      <c r="I19" s="235"/>
      <c r="J19" s="61" t="str">
        <f t="shared" si="7"/>
        <v>Fast</v>
      </c>
      <c r="K19" s="61" t="str">
        <f t="shared" si="7"/>
        <v>FS aftale</v>
      </c>
      <c r="L19" s="188">
        <f t="shared" si="7"/>
        <v>1</v>
      </c>
      <c r="M19" s="157" t="str">
        <f t="shared" si="7"/>
        <v>Mangler planlægning</v>
      </c>
      <c r="N19" s="147" t="str">
        <f>IFERROR(VLOOKUP(O19,Støtteark!$B$21:$F$35,MATCH(E19,Støtteark!$B$21:$F$21,0),0),Støtteark!$L$35)</f>
        <v>Vælg en anden kombination</v>
      </c>
      <c r="O19" s="62">
        <f>'FS Aftale'!F19</f>
        <v>6</v>
      </c>
      <c r="P19" s="179" t="str">
        <f t="shared" si="8"/>
        <v>7:00</v>
      </c>
      <c r="Q19" s="63">
        <f>'FS Aftale'!G19*Støtteark!$Q$15</f>
        <v>30</v>
      </c>
      <c r="R19" s="235"/>
      <c r="S19" s="231" t="str">
        <f>IF(OR(AND(OR(N19 = Støtteark!$L$25,N19 = Støtteark!$L$26,N19 = Støtteark!$L$28),E19&lt;&gt;Støtteark!$U$6,OR(O19=Støtteark!$B$22,O19=Støtteark!$B$23,O19=Støtteark!$B$24,O19=Støtteark!$B$25,O19=Støtteark!$B$26,O19=Støtteark!$B$27,O19=Støtteark!$B$28)),AND(E19=Støtteark!$U$6,OR(O19=Støtteark!$B$24,O19=Støtteark!$B$27,O19=Støtteark!$B$29))),1,"")</f>
        <v/>
      </c>
      <c r="T19" s="232" t="str">
        <f>IF(OR(AND(N19 = Støtteark!$L$25,E19&lt;&gt;Støtteark!$U$6,O19=Støtteark!$B$22),AND(E19=Støtteark!$U$6,O19=Støtteark!$B$24),O19=Støtteark!$B$22),1,"")</f>
        <v/>
      </c>
      <c r="U19" s="232" t="str">
        <f>IF(OR(AND(N19 = Støtteark!$L$25,E19&lt;&gt;Støtteark!$U$6,OR(O19=Støtteark!$B$22,O19=Støtteark!$B$23,O19=Støtteark!$B$24)),AND(E19=Støtteark!$U$6,OR(O19=Støtteark!$B$22,O19=Støtteark!$B$24))),1,"")</f>
        <v/>
      </c>
      <c r="V19" s="232" t="str">
        <f>IF(OR(AND(N19 = Støtteark!$L$25,E19&lt;&gt;Støtteark!$U$6,O19=Støtteark!$B$22),AND(E19=Støtteark!$U$6,OR(O19=Støtteark!$B$22,O19=Støtteark!$B$24))),1,"")</f>
        <v/>
      </c>
      <c r="W19" s="232" t="str">
        <f>IF(OR(AND(N19 = Støtteark!$L$25,E19&lt;&gt;Støtteark!$U$6,OR(O19=Støtteark!$B$22,O19=Støtteark!$B$23,O19=Støtteark!$B$24,O19=Støtteark!$B$25)),AND(E19=Støtteark!$U$6,OR(O19=Støtteark!$B$22,O19=Støtteark!$B$24))),1,"")</f>
        <v/>
      </c>
      <c r="X19" s="231"/>
      <c r="Y19" s="231"/>
      <c r="Z19" s="235"/>
      <c r="AA19" s="231" t="str">
        <f>IF(OR(AND(E19&lt;&gt;Støtteark!$U$6,N19 = Støtteark!$L$25),N19 = Støtteark!$L$26,N19 = Støtteark!$L$28,AND(N19 = Støtteark!$L$29,E19&lt;&gt;Støtteark!$U$6,OR(O19=Støtteark!$B$30,O19=Støtteark!$B$32,O19=Støtteark!$B$33,AND(E19&lt;&gt;Støtteark!$U$6,O19=Støtteark!$B$34),O19=Støtteark!$B$35))),1,"")</f>
        <v/>
      </c>
      <c r="AB19" s="231" t="str">
        <f>IF(OR(AND(E19&lt;&gt;Støtteark!$U$6,N19 = Støtteark!$L$25),N19 = Støtteark!$L$26,N19 = Støtteark!$L$28,AND(N19 = Støtteark!$L$29,O19=Støtteark!$B$34)),1,"")</f>
        <v/>
      </c>
      <c r="AC19" s="231" t="str">
        <f>IF(OR(AND(E19&lt;&gt;Støtteark!$U$6,N19 = Støtteark!$L$25),N19 = Støtteark!$L$26,N19 = Støtteark!$L$28,AND(N19 = Støtteark!$L$29,E19&lt;&gt;Støtteark!$U$6,OR(O19=Støtteark!$B$30,O19 = Støtteark!$B$34))),1,"")</f>
        <v/>
      </c>
      <c r="AD19" s="232" t="str">
        <f>IF(OR(N19 = Støtteark!$L$25,N19 = Støtteark!$L$26,N19 = Støtteark!$L$28,AND(N19 = Støtteark!$L$29,OR(O19=Støtteark!$B$34,O19=Støtteark!$B$35)),AND(E19=Støtteark!$U$6,OR(O19=Støtteark!$B$29,O19=Støtteark!$B$30,O19=Støtteark!$B$32,O19=Støtteark!$B$33))),1,"")</f>
        <v/>
      </c>
      <c r="AE19" s="231" t="str">
        <f>IF(OR(N19 = Støtteark!$L$25,N19 = Støtteark!$L$26,N19 = Støtteark!$L$28,AND(N19 = Støtteark!$L$29,OR(O19=Støtteark!$B$34,O19 = Støtteark!$B$30)),AND(E19=Støtteark!$U$6,O19=Støtteark!$B$29)),1,"")</f>
        <v/>
      </c>
      <c r="AF19" s="231" t="str">
        <f>IF(OR(N19 = Støtteark!$L$25,N19 = Støtteark!$L$26,N19 = Støtteark!$L$28,AND(N19 = Støtteark!$L$29,O19=Støtteark!$B$34),AND(E19=Støtteark!$U$6,O19=Støtteark!$B$30),AND(E19=Støtteark!$U$6,O19=Støtteark!$B$29)),1,"")</f>
        <v/>
      </c>
      <c r="AG19" s="231" t="str">
        <f>IF(OR(N19 = Støtteark!$L$25,N19 = Støtteark!$L$26,N19 = Støtteark!$L$28,AND(N19 = Støtteark!$L$29,OR(O19=Støtteark!$B$30,O19 = Støtteark!$B$31,O19=Støtteark!$B$32,O19=Støtteark!$B$34)),AND(E19=Støtteark!$U$6,OR(O19=Støtteark!$B$29,O19=Støtteark!$B$31))),1,"")</f>
        <v/>
      </c>
      <c r="AH19" s="231" t="str">
        <f>IF(OR(N19 = Støtteark!$L$25,N19 = Støtteark!$L$26,N19 = Støtteark!$L$28,AND(N19 = Støtteark!$L$29,O19=Støtteark!$B$34),AND(E19=Støtteark!$U$6,OR(O19=Støtteark!$B$29,O19=Støtteark!$B$30))),1,"")</f>
        <v/>
      </c>
      <c r="AI19" s="231" t="str">
        <f>IF(OR(N19 = Støtteark!$L$25,N19 = Støtteark!$L$26,N19 = Støtteark!$L$28,AND(N19 = Støtteark!$L$29,OR(O19=Støtteark!$B$34,O19 = Støtteark!$B$30)),AND(E19=Støtteark!$U$6,OR(O19=Støtteark!$B$29,O19=Støtteark!$B$30))),1,"")</f>
        <v/>
      </c>
      <c r="AJ19" s="231" t="str">
        <f>IF(OR(AND(E19&lt;&gt;Støtteark!$U$6,N19 = Støtteark!$L$25),N19 = Støtteark!$L$26,N19 = Støtteark!$L$28,AND(N19 = Støtteark!$L$29,OR(O19=Støtteark!$B$34,O19=Støtteark!$B$35),O19&lt;&gt;Støtteark!$B$30)),1,"")</f>
        <v/>
      </c>
      <c r="AK19" s="231" t="str">
        <f>IF(OR(AND(E19&lt;&gt;Støtteark!$U$6,N19 = Støtteark!$L$25),N19 = Støtteark!$L$26,N19 = Støtteark!$L$28,AND(N19 = Støtteark!$L$29,E19&lt;&gt;Støtteark!$U$6,OR(O19=Støtteark!$B$34,O19 = Støtteark!$B$30))),1,"")</f>
        <v/>
      </c>
      <c r="AL19" s="231" t="str">
        <f>IF(OR(AND(E19&lt;&gt;Støtteark!$U$6,N19 = Støtteark!$L$25),N19 = Støtteark!$L$26,N19 = Støtteark!$L$28,AND(N19 = Støtteark!$L$29,O19=Støtteark!$B$34)),1,"")</f>
        <v/>
      </c>
      <c r="AM19" s="231" t="str">
        <f>IF(AND(N19 = Støtteark!$L$29,OR(O19=Støtteark!$B$30,O19=Støtteark!$B$32,O19=Støtteark!$B$33,O19=Støtteark!$B$34,O19=Støtteark!$B$35)),Støtteark!$L$32,"")</f>
        <v/>
      </c>
      <c r="AN19" s="235"/>
      <c r="AO19" s="91"/>
      <c r="AP19" s="170">
        <v>0</v>
      </c>
      <c r="AQ19" s="235"/>
      <c r="AR19" s="64">
        <f t="shared" ca="1" si="9"/>
        <v>44022</v>
      </c>
    </row>
    <row r="20" spans="1:44" hidden="1" x14ac:dyDescent="0.25">
      <c r="A20" s="222"/>
      <c r="B20" s="65"/>
      <c r="C20" s="65"/>
      <c r="D20" s="66"/>
      <c r="E20" s="66"/>
      <c r="F20" s="66"/>
      <c r="G20" s="65"/>
      <c r="H20" s="65"/>
      <c r="I20" s="237"/>
      <c r="J20" s="65"/>
      <c r="K20" s="65"/>
      <c r="L20" s="189"/>
      <c r="M20" s="158"/>
      <c r="N20" s="148"/>
      <c r="O20" s="67"/>
      <c r="P20" s="180"/>
      <c r="Q20" s="68"/>
      <c r="R20" s="237"/>
      <c r="S20" s="236"/>
      <c r="T20" s="236"/>
      <c r="U20" s="236"/>
      <c r="V20" s="236"/>
      <c r="W20" s="236"/>
      <c r="X20" s="236"/>
      <c r="Y20" s="236"/>
      <c r="Z20" s="237"/>
      <c r="AA20" s="236"/>
      <c r="AB20" s="236"/>
      <c r="AC20" s="236"/>
      <c r="AD20" s="236"/>
      <c r="AE20" s="236"/>
      <c r="AF20" s="236"/>
      <c r="AG20" s="236"/>
      <c r="AH20" s="236"/>
      <c r="AI20" s="236"/>
      <c r="AJ20" s="236"/>
      <c r="AK20" s="236"/>
      <c r="AL20" s="236"/>
      <c r="AM20" s="238"/>
      <c r="AN20" s="237"/>
      <c r="AO20" s="138"/>
      <c r="AP20" s="171"/>
      <c r="AQ20" s="237"/>
      <c r="AR20" s="139"/>
    </row>
    <row r="21" spans="1:44" hidden="1" x14ac:dyDescent="0.25">
      <c r="A21" s="223"/>
      <c r="B21" s="70"/>
      <c r="C21" s="70"/>
      <c r="D21" s="71"/>
      <c r="E21" s="71"/>
      <c r="F21" s="71"/>
      <c r="G21" s="70"/>
      <c r="H21" s="70"/>
      <c r="I21" s="237"/>
      <c r="J21" s="70"/>
      <c r="K21" s="70"/>
      <c r="L21" s="190"/>
      <c r="M21" s="159"/>
      <c r="N21" s="149"/>
      <c r="O21" s="72"/>
      <c r="P21" s="181"/>
      <c r="Q21" s="73"/>
      <c r="R21" s="237"/>
      <c r="S21" s="239"/>
      <c r="T21" s="239"/>
      <c r="U21" s="239"/>
      <c r="V21" s="239"/>
      <c r="W21" s="239"/>
      <c r="X21" s="239"/>
      <c r="Y21" s="239"/>
      <c r="Z21" s="237"/>
      <c r="AA21" s="239"/>
      <c r="AB21" s="239"/>
      <c r="AC21" s="239"/>
      <c r="AD21" s="239"/>
      <c r="AE21" s="239"/>
      <c r="AF21" s="239"/>
      <c r="AG21" s="239"/>
      <c r="AH21" s="239"/>
      <c r="AI21" s="239"/>
      <c r="AJ21" s="239"/>
      <c r="AK21" s="239"/>
      <c r="AL21" s="239"/>
      <c r="AM21" s="240"/>
      <c r="AN21" s="237"/>
      <c r="AO21" s="141"/>
      <c r="AP21" s="172"/>
      <c r="AQ21" s="237"/>
      <c r="AR21" s="142"/>
    </row>
    <row r="22" spans="1:44" ht="25.5" x14ac:dyDescent="0.25">
      <c r="A22" s="221" t="str">
        <f>A19</f>
        <v>Kundenr.-Ejendom</v>
      </c>
      <c r="B22" s="61" t="str">
        <f>Ydelser!A22&amp;" - "&amp;Ydelser!C22</f>
        <v>301 - Kontortid</v>
      </c>
      <c r="C22" s="61" t="str">
        <f>Ydelser!D22</f>
        <v>Kontortid afholdes på ejendommen.</v>
      </c>
      <c r="D22" s="61" t="b">
        <f>'FS Aftale'!D22</f>
        <v>1</v>
      </c>
      <c r="E22" s="156" t="str">
        <f>'FS Aftale'!E22</f>
        <v>Ugentligt</v>
      </c>
      <c r="F22" s="61" t="str">
        <f>F19</f>
        <v>Team Ansvarlig</v>
      </c>
      <c r="G22" s="61" t="str">
        <f t="shared" ref="G22:H22" si="10">G19</f>
        <v>Ansvarlig</v>
      </c>
      <c r="H22" s="61" t="str">
        <f t="shared" si="10"/>
        <v>Servicemedarb.</v>
      </c>
      <c r="I22" s="235"/>
      <c r="J22" s="61" t="str">
        <f t="shared" ref="J22:K22" si="11">J19</f>
        <v>Fast</v>
      </c>
      <c r="K22" s="61" t="str">
        <f t="shared" si="11"/>
        <v>FS aftale</v>
      </c>
      <c r="L22" s="188">
        <f>L19</f>
        <v>1</v>
      </c>
      <c r="M22" s="157" t="str">
        <f t="shared" ref="M22" si="12">M19</f>
        <v>Mangler planlægning</v>
      </c>
      <c r="N22" s="147" t="str">
        <f>IFERROR(VLOOKUP(O22,Støtteark!$B$21:$F$35,MATCH(E22,Støtteark!$B$21:$F$21,0),0),Støtteark!$L$35)</f>
        <v>Ugentligt</v>
      </c>
      <c r="O22" s="62">
        <f>'FS Aftale'!F22</f>
        <v>52</v>
      </c>
      <c r="P22" s="179" t="str">
        <f>P19</f>
        <v>7:00</v>
      </c>
      <c r="Q22" s="63">
        <f>'FS Aftale'!G22*Støtteark!$Q$15</f>
        <v>60</v>
      </c>
      <c r="R22" s="235"/>
      <c r="S22" s="231">
        <f>IF(OR(AND(OR(N22 = Støtteark!$L$25,N22 = Støtteark!$L$26,N22 = Støtteark!$L$28),E22&lt;&gt;Støtteark!$U$6,OR(O22=Støtteark!$B$22,O22=Støtteark!$B$23,O22=Støtteark!$B$24,O22=Støtteark!$B$25,O22=Støtteark!$B$26,O22=Støtteark!$B$27,O22=Støtteark!$B$28)),AND(E22=Støtteark!$U$6,OR(O22=Støtteark!$B$24,O22=Støtteark!$B$27,O22=Støtteark!$B$29))),1,"")</f>
        <v>1</v>
      </c>
      <c r="T22" s="232" t="str">
        <f>IF(OR(AND(N22 = Støtteark!$L$25,E22&lt;&gt;Støtteark!$U$6,O22=Støtteark!$B$22),AND(E22=Støtteark!$U$6,O22=Støtteark!$B$24),O22=Støtteark!$B$22),1,"")</f>
        <v/>
      </c>
      <c r="U22" s="232" t="str">
        <f>IF(OR(AND(N22 = Støtteark!$L$25,E22&lt;&gt;Støtteark!$U$6,OR(O22=Støtteark!$B$22,O22=Støtteark!$B$23,O22=Støtteark!$B$24)),AND(E22=Støtteark!$U$6,OR(O22=Støtteark!$B$22,O22=Støtteark!$B$24))),1,"")</f>
        <v/>
      </c>
      <c r="V22" s="232" t="str">
        <f>IF(OR(AND(N22 = Støtteark!$L$25,E22&lt;&gt;Støtteark!$U$6,O22=Støtteark!$B$22),AND(E22=Støtteark!$U$6,OR(O22=Støtteark!$B$22,O22=Støtteark!$B$24))),1,"")</f>
        <v/>
      </c>
      <c r="W22" s="232" t="str">
        <f>IF(OR(AND(N22 = Støtteark!$L$25,E22&lt;&gt;Støtteark!$U$6,OR(O22=Støtteark!$B$22,O22=Støtteark!$B$23,O22=Støtteark!$B$24,O22=Støtteark!$B$25)),AND(E22=Støtteark!$U$6,OR(O22=Støtteark!$B$22,O22=Støtteark!$B$24))),1,"")</f>
        <v/>
      </c>
      <c r="X22" s="231"/>
      <c r="Y22" s="231"/>
      <c r="Z22" s="235"/>
      <c r="AA22" s="231">
        <f>IF(OR(AND(E22&lt;&gt;Støtteark!$U$6,N22 = Støtteark!$L$25),N22 = Støtteark!$L$26,N22 = Støtteark!$L$28,AND(N22 = Støtteark!$L$29,E22&lt;&gt;Støtteark!$U$6,OR(O22=Støtteark!$B$30,O22=Støtteark!$B$32,O22=Støtteark!$B$33,AND(E22&lt;&gt;Støtteark!$U$6,O22=Støtteark!$B$34),O22=Støtteark!$B$35))),1,"")</f>
        <v>1</v>
      </c>
      <c r="AB22" s="231">
        <f>IF(OR(AND(E22&lt;&gt;Støtteark!$U$6,N22 = Støtteark!$L$25),N22 = Støtteark!$L$26,N22 = Støtteark!$L$28,AND(N22 = Støtteark!$L$29,O22=Støtteark!$B$34)),1,"")</f>
        <v>1</v>
      </c>
      <c r="AC22" s="231">
        <f>IF(OR(AND(E22&lt;&gt;Støtteark!$U$6,N22 = Støtteark!$L$25),N22 = Støtteark!$L$26,N22 = Støtteark!$L$28,AND(N22 = Støtteark!$L$29,E22&lt;&gt;Støtteark!$U$6,OR(O22=Støtteark!$B$30,O22 = Støtteark!$B$34))),1,"")</f>
        <v>1</v>
      </c>
      <c r="AD22" s="232">
        <f>IF(OR(N22 = Støtteark!$L$25,N22 = Støtteark!$L$26,N22 = Støtteark!$L$28,AND(N22 = Støtteark!$L$29,OR(O22=Støtteark!$B$34,O22=Støtteark!$B$35)),AND(E22=Støtteark!$U$6,OR(O22=Støtteark!$B$29,O22=Støtteark!$B$30,O22=Støtteark!$B$32,O22=Støtteark!$B$33))),1,"")</f>
        <v>1</v>
      </c>
      <c r="AE22" s="231">
        <f>IF(OR(N22 = Støtteark!$L$25,N22 = Støtteark!$L$26,N22 = Støtteark!$L$28,AND(N22 = Støtteark!$L$29,OR(O22=Støtteark!$B$34,O22 = Støtteark!$B$30)),AND(E22=Støtteark!$U$6,O22=Støtteark!$B$29)),1,"")</f>
        <v>1</v>
      </c>
      <c r="AF22" s="231">
        <f>IF(OR(N22 = Støtteark!$L$25,N22 = Støtteark!$L$26,N22 = Støtteark!$L$28,AND(N22 = Støtteark!$L$29,O22=Støtteark!$B$34),AND(E22=Støtteark!$U$6,O22=Støtteark!$B$30),AND(E22=Støtteark!$U$6,O22=Støtteark!$B$29)),1,"")</f>
        <v>1</v>
      </c>
      <c r="AG22" s="231">
        <f>IF(OR(N22 = Støtteark!$L$25,N22 = Støtteark!$L$26,N22 = Støtteark!$L$28,AND(N22 = Støtteark!$L$29,OR(O22=Støtteark!$B$30,O22 = Støtteark!$B$31,O22=Støtteark!$B$32,O22=Støtteark!$B$34)),AND(E22=Støtteark!$U$6,OR(O22=Støtteark!$B$29,O22=Støtteark!$B$31))),1,"")</f>
        <v>1</v>
      </c>
      <c r="AH22" s="231">
        <f>IF(OR(N22 = Støtteark!$L$25,N22 = Støtteark!$L$26,N22 = Støtteark!$L$28,AND(N22 = Støtteark!$L$29,O22=Støtteark!$B$34),AND(E22=Støtteark!$U$6,OR(O22=Støtteark!$B$29,O22=Støtteark!$B$30))),1,"")</f>
        <v>1</v>
      </c>
      <c r="AI22" s="231">
        <f>IF(OR(N22 = Støtteark!$L$25,N22 = Støtteark!$L$26,N22 = Støtteark!$L$28,AND(N22 = Støtteark!$L$29,OR(O22=Støtteark!$B$34,O22 = Støtteark!$B$30)),AND(E22=Støtteark!$U$6,OR(O22=Støtteark!$B$29,O22=Støtteark!$B$30))),1,"")</f>
        <v>1</v>
      </c>
      <c r="AJ22" s="231">
        <f>IF(OR(AND(E22&lt;&gt;Støtteark!$U$6,N22 = Støtteark!$L$25),N22 = Støtteark!$L$26,N22 = Støtteark!$L$28,AND(N22 = Støtteark!$L$29,OR(O22=Støtteark!$B$34,O22=Støtteark!$B$35),O22&lt;&gt;Støtteark!$B$30)),1,"")</f>
        <v>1</v>
      </c>
      <c r="AK22" s="231">
        <f>IF(OR(AND(E22&lt;&gt;Støtteark!$U$6,N22 = Støtteark!$L$25),N22 = Støtteark!$L$26,N22 = Støtteark!$L$28,AND(N22 = Støtteark!$L$29,E22&lt;&gt;Støtteark!$U$6,OR(O22=Støtteark!$B$34,O22 = Støtteark!$B$30))),1,"")</f>
        <v>1</v>
      </c>
      <c r="AL22" s="231">
        <f>IF(OR(AND(E22&lt;&gt;Støtteark!$U$6,N22 = Støtteark!$L$25),N22 = Støtteark!$L$26,N22 = Støtteark!$L$28,AND(N22 = Støtteark!$L$29,O22=Støtteark!$B$34)),1,"")</f>
        <v>1</v>
      </c>
      <c r="AM22" s="231" t="str">
        <f>IF(AND(N22 = Støtteark!$L$29,OR(O22=Støtteark!$B$30,O22=Støtteark!$B$32,O22=Støtteark!$B$33,O22=Støtteark!$B$34,O22=Støtteark!$B$35)),Støtteark!$L$32,"")</f>
        <v/>
      </c>
      <c r="AN22" s="235"/>
      <c r="AO22" s="91"/>
      <c r="AP22" s="170">
        <v>0</v>
      </c>
      <c r="AQ22" s="235"/>
      <c r="AR22" s="64">
        <f ca="1">AR19</f>
        <v>44022</v>
      </c>
    </row>
    <row r="23" spans="1:44" ht="25.5" hidden="1" x14ac:dyDescent="0.25">
      <c r="A23" s="221" t="str">
        <f t="shared" ref="A23:A27" si="13">A22</f>
        <v>Kundenr.-Ejendom</v>
      </c>
      <c r="B23" s="61" t="str">
        <f>Ydelser!A23&amp;" - "&amp;Ydelser!C23</f>
        <v>302 - Beboerservice - Afklaring</v>
      </c>
      <c r="C23" s="61" t="str">
        <f>Ydelser!D23</f>
        <v>Afklaring af problemets omfang med fx elinstallation, fælles belysning, brugsvand, varme, inventar, hårde hvidevarer, fugtproblemer, utætte eller defekte vinduer og døre, vaskerimaskiner og betalingsanlæg, parkeringsanlæg, elevator og affald.</v>
      </c>
      <c r="D23" s="61" t="b">
        <f>'FS Aftale'!D23</f>
        <v>1</v>
      </c>
      <c r="E23" s="156" t="str">
        <f>'FS Aftale'!E23</f>
        <v>Indeholdt</v>
      </c>
      <c r="F23" s="61" t="str">
        <f t="shared" ref="F23:H24" si="14">F22</f>
        <v>Team Ansvarlig</v>
      </c>
      <c r="G23" s="61" t="str">
        <f t="shared" si="14"/>
        <v>Ansvarlig</v>
      </c>
      <c r="H23" s="61" t="str">
        <f t="shared" si="14"/>
        <v>Servicemedarb.</v>
      </c>
      <c r="I23" s="235"/>
      <c r="J23" s="61" t="str">
        <f t="shared" ref="J23:M24" si="15">J22</f>
        <v>Fast</v>
      </c>
      <c r="K23" s="61" t="str">
        <f t="shared" si="15"/>
        <v>FS aftale</v>
      </c>
      <c r="L23" s="188">
        <f t="shared" si="15"/>
        <v>1</v>
      </c>
      <c r="M23" s="157" t="str">
        <f t="shared" si="15"/>
        <v>Mangler planlægning</v>
      </c>
      <c r="N23" s="147" t="str">
        <f>IFERROR(VLOOKUP(O23,Støtteark!$B$21:$F$35,MATCH(E23,Støtteark!$B$21:$F$21,0),0),Støtteark!$L$35)</f>
        <v>Vælg en anden kombination</v>
      </c>
      <c r="O23" s="62">
        <f>'FS Aftale'!F23</f>
        <v>52</v>
      </c>
      <c r="P23" s="179" t="str">
        <f t="shared" ref="P23:P27" si="16">P22</f>
        <v>7:00</v>
      </c>
      <c r="Q23" s="63">
        <f>'FS Aftale'!G23*Støtteark!$Q$15</f>
        <v>30</v>
      </c>
      <c r="R23" s="235"/>
      <c r="S23" s="231" t="str">
        <f>IF(OR(AND(OR(N23 = Støtteark!$L$25,N23 = Støtteark!$L$26,N23 = Støtteark!$L$28),E23&lt;&gt;Støtteark!$U$6,OR(O23=Støtteark!$B$22,O23=Støtteark!$B$23,O23=Støtteark!$B$24,O23=Støtteark!$B$25,O23=Støtteark!$B$26,O23=Støtteark!$B$27,O23=Støtteark!$B$28)),AND(E23=Støtteark!$U$6,OR(O23=Støtteark!$B$24,O23=Støtteark!$B$27,O23=Støtteark!$B$29))),1,"")</f>
        <v/>
      </c>
      <c r="T23" s="232" t="str">
        <f>IF(OR(AND(N23 = Støtteark!$L$25,E23&lt;&gt;Støtteark!$U$6,O23=Støtteark!$B$22),AND(E23=Støtteark!$U$6,O23=Støtteark!$B$24),O23=Støtteark!$B$22),1,"")</f>
        <v/>
      </c>
      <c r="U23" s="232" t="str">
        <f>IF(OR(AND(N23 = Støtteark!$L$25,E23&lt;&gt;Støtteark!$U$6,OR(O23=Støtteark!$B$22,O23=Støtteark!$B$23,O23=Støtteark!$B$24)),AND(E23=Støtteark!$U$6,OR(O23=Støtteark!$B$22,O23=Støtteark!$B$24))),1,"")</f>
        <v/>
      </c>
      <c r="V23" s="232" t="str">
        <f>IF(OR(AND(N23 = Støtteark!$L$25,E23&lt;&gt;Støtteark!$U$6,O23=Støtteark!$B$22),AND(E23=Støtteark!$U$6,OR(O23=Støtteark!$B$22,O23=Støtteark!$B$24))),1,"")</f>
        <v/>
      </c>
      <c r="W23" s="232" t="str">
        <f>IF(OR(AND(N23 = Støtteark!$L$25,E23&lt;&gt;Støtteark!$U$6,OR(O23=Støtteark!$B$22,O23=Støtteark!$B$23,O23=Støtteark!$B$24,O23=Støtteark!$B$25)),AND(E23=Støtteark!$U$6,OR(O23=Støtteark!$B$22,O23=Støtteark!$B$24))),1,"")</f>
        <v/>
      </c>
      <c r="X23" s="231"/>
      <c r="Y23" s="231"/>
      <c r="Z23" s="235"/>
      <c r="AA23" s="231" t="str">
        <f>IF(OR(AND(E23&lt;&gt;Støtteark!$U$6,N23 = Støtteark!$L$25),N23 = Støtteark!$L$26,N23 = Støtteark!$L$28,AND(N23 = Støtteark!$L$29,E23&lt;&gt;Støtteark!$U$6,OR(O23=Støtteark!$B$30,O23=Støtteark!$B$32,O23=Støtteark!$B$33,AND(E23&lt;&gt;Støtteark!$U$6,O23=Støtteark!$B$34),O23=Støtteark!$B$35))),1,"")</f>
        <v/>
      </c>
      <c r="AB23" s="231" t="str">
        <f>IF(OR(AND(E23&lt;&gt;Støtteark!$U$6,N23 = Støtteark!$L$25),N23 = Støtteark!$L$26,N23 = Støtteark!$L$28,AND(N23 = Støtteark!$L$29,O23=Støtteark!$B$34)),1,"")</f>
        <v/>
      </c>
      <c r="AC23" s="231" t="str">
        <f>IF(OR(AND(E23&lt;&gt;Støtteark!$U$6,N23 = Støtteark!$L$25),N23 = Støtteark!$L$26,N23 = Støtteark!$L$28,AND(N23 = Støtteark!$L$29,E23&lt;&gt;Støtteark!$U$6,OR(O23=Støtteark!$B$30,O23 = Støtteark!$B$34))),1,"")</f>
        <v/>
      </c>
      <c r="AD23" s="232" t="str">
        <f>IF(OR(N23 = Støtteark!$L$25,N23 = Støtteark!$L$26,N23 = Støtteark!$L$28,AND(N23 = Støtteark!$L$29,OR(O23=Støtteark!$B$34,O23=Støtteark!$B$35)),AND(E23=Støtteark!$U$6,OR(O23=Støtteark!$B$29,O23=Støtteark!$B$30,O23=Støtteark!$B$32,O23=Støtteark!$B$33))),1,"")</f>
        <v/>
      </c>
      <c r="AE23" s="231" t="str">
        <f>IF(OR(N23 = Støtteark!$L$25,N23 = Støtteark!$L$26,N23 = Støtteark!$L$28,AND(N23 = Støtteark!$L$29,OR(O23=Støtteark!$B$34,O23 = Støtteark!$B$30)),AND(E23=Støtteark!$U$6,O23=Støtteark!$B$29)),1,"")</f>
        <v/>
      </c>
      <c r="AF23" s="231" t="str">
        <f>IF(OR(N23 = Støtteark!$L$25,N23 = Støtteark!$L$26,N23 = Støtteark!$L$28,AND(N23 = Støtteark!$L$29,O23=Støtteark!$B$34),AND(E23=Støtteark!$U$6,O23=Støtteark!$B$30),AND(E23=Støtteark!$U$6,O23=Støtteark!$B$29)),1,"")</f>
        <v/>
      </c>
      <c r="AG23" s="231" t="str">
        <f>IF(OR(N23 = Støtteark!$L$25,N23 = Støtteark!$L$26,N23 = Støtteark!$L$28,AND(N23 = Støtteark!$L$29,OR(O23=Støtteark!$B$30,O23 = Støtteark!$B$31,O23=Støtteark!$B$32,O23=Støtteark!$B$34)),AND(E23=Støtteark!$U$6,OR(O23=Støtteark!$B$29,O23=Støtteark!$B$31))),1,"")</f>
        <v/>
      </c>
      <c r="AH23" s="231" t="str">
        <f>IF(OR(N23 = Støtteark!$L$25,N23 = Støtteark!$L$26,N23 = Støtteark!$L$28,AND(N23 = Støtteark!$L$29,O23=Støtteark!$B$34),AND(E23=Støtteark!$U$6,OR(O23=Støtteark!$B$29,O23=Støtteark!$B$30))),1,"")</f>
        <v/>
      </c>
      <c r="AI23" s="231" t="str">
        <f>IF(OR(N23 = Støtteark!$L$25,N23 = Støtteark!$L$26,N23 = Støtteark!$L$28,AND(N23 = Støtteark!$L$29,OR(O23=Støtteark!$B$34,O23 = Støtteark!$B$30)),AND(E23=Støtteark!$U$6,OR(O23=Støtteark!$B$29,O23=Støtteark!$B$30))),1,"")</f>
        <v/>
      </c>
      <c r="AJ23" s="231" t="str">
        <f>IF(OR(AND(E23&lt;&gt;Støtteark!$U$6,N23 = Støtteark!$L$25),N23 = Støtteark!$L$26,N23 = Støtteark!$L$28,AND(N23 = Støtteark!$L$29,OR(O23=Støtteark!$B$34,O23=Støtteark!$B$35),O23&lt;&gt;Støtteark!$B$30)),1,"")</f>
        <v/>
      </c>
      <c r="AK23" s="231" t="str">
        <f>IF(OR(AND(E23&lt;&gt;Støtteark!$U$6,N23 = Støtteark!$L$25),N23 = Støtteark!$L$26,N23 = Støtteark!$L$28,AND(N23 = Støtteark!$L$29,E23&lt;&gt;Støtteark!$U$6,OR(O23=Støtteark!$B$34,O23 = Støtteark!$B$30))),1,"")</f>
        <v/>
      </c>
      <c r="AL23" s="231" t="str">
        <f>IF(OR(AND(E23&lt;&gt;Støtteark!$U$6,N23 = Støtteark!$L$25),N23 = Støtteark!$L$26,N23 = Støtteark!$L$28,AND(N23 = Støtteark!$L$29,O23=Støtteark!$B$34)),1,"")</f>
        <v/>
      </c>
      <c r="AM23" s="231" t="str">
        <f>IF(AND(N23 = Støtteark!$L$29,OR(O23=Støtteark!$B$30,O23=Støtteark!$B$32,O23=Støtteark!$B$33,O23=Støtteark!$B$34,O23=Støtteark!$B$35)),Støtteark!$L$32,"")</f>
        <v/>
      </c>
      <c r="AN23" s="235"/>
      <c r="AO23" s="91"/>
      <c r="AP23" s="170">
        <v>0</v>
      </c>
      <c r="AQ23" s="235"/>
      <c r="AR23" s="64">
        <f t="shared" ref="AR23:AR27" ca="1" si="17">AR22</f>
        <v>44022</v>
      </c>
    </row>
    <row r="24" spans="1:44" ht="25.5" hidden="1" x14ac:dyDescent="0.25">
      <c r="A24" s="221" t="str">
        <f t="shared" si="13"/>
        <v>Kundenr.-Ejendom</v>
      </c>
      <c r="B24" s="61" t="str">
        <f>Ydelser!A24&amp;" - "&amp;Ydelser!C24</f>
        <v>303 - Oplukning og adgang</v>
      </c>
      <c r="C24" s="61" t="str">
        <f>Ydelser!D24</f>
        <v>Oplukning og adgang for servicemontører og håndværkere i forbindelse med arbejder på ejendommen.</v>
      </c>
      <c r="D24" s="61" t="b">
        <f>'FS Aftale'!D24</f>
        <v>1</v>
      </c>
      <c r="E24" s="156" t="str">
        <f>'FS Aftale'!E24</f>
        <v>Indeholdt</v>
      </c>
      <c r="F24" s="61" t="str">
        <f t="shared" si="14"/>
        <v>Team Ansvarlig</v>
      </c>
      <c r="G24" s="61" t="str">
        <f t="shared" si="14"/>
        <v>Ansvarlig</v>
      </c>
      <c r="H24" s="61" t="str">
        <f t="shared" si="14"/>
        <v>Servicemedarb.</v>
      </c>
      <c r="I24" s="235"/>
      <c r="J24" s="61" t="str">
        <f t="shared" si="15"/>
        <v>Fast</v>
      </c>
      <c r="K24" s="61" t="str">
        <f t="shared" si="15"/>
        <v>FS aftale</v>
      </c>
      <c r="L24" s="188">
        <f t="shared" si="15"/>
        <v>1</v>
      </c>
      <c r="M24" s="157" t="str">
        <f t="shared" si="15"/>
        <v>Mangler planlægning</v>
      </c>
      <c r="N24" s="147" t="str">
        <f>IFERROR(VLOOKUP(O24,Støtteark!$B$21:$F$35,MATCH(E24,Støtteark!$B$21:$F$21,0),0),Støtteark!$L$35)</f>
        <v>Vælg en anden kombination</v>
      </c>
      <c r="O24" s="62">
        <f>'FS Aftale'!F24</f>
        <v>52</v>
      </c>
      <c r="P24" s="179" t="str">
        <f t="shared" si="16"/>
        <v>7:00</v>
      </c>
      <c r="Q24" s="63">
        <f>'FS Aftale'!G24*Støtteark!$Q$15</f>
        <v>60</v>
      </c>
      <c r="R24" s="235"/>
      <c r="S24" s="231" t="str">
        <f>IF(OR(AND(OR(N24 = Støtteark!$L$25,N24 = Støtteark!$L$26,N24 = Støtteark!$L$28),E24&lt;&gt;Støtteark!$U$6,OR(O24=Støtteark!$B$22,O24=Støtteark!$B$23,O24=Støtteark!$B$24,O24=Støtteark!$B$25,O24=Støtteark!$B$26,O24=Støtteark!$B$27,O24=Støtteark!$B$28)),AND(E24=Støtteark!$U$6,OR(O24=Støtteark!$B$24,O24=Støtteark!$B$27,O24=Støtteark!$B$29))),1,"")</f>
        <v/>
      </c>
      <c r="T24" s="232" t="str">
        <f>IF(OR(AND(N24 = Støtteark!$L$25,E24&lt;&gt;Støtteark!$U$6,O24=Støtteark!$B$22),AND(E24=Støtteark!$U$6,O24=Støtteark!$B$24),O24=Støtteark!$B$22),1,"")</f>
        <v/>
      </c>
      <c r="U24" s="232" t="str">
        <f>IF(OR(AND(N24 = Støtteark!$L$25,E24&lt;&gt;Støtteark!$U$6,OR(O24=Støtteark!$B$22,O24=Støtteark!$B$23,O24=Støtteark!$B$24)),AND(E24=Støtteark!$U$6,OR(O24=Støtteark!$B$22,O24=Støtteark!$B$24))),1,"")</f>
        <v/>
      </c>
      <c r="V24" s="232" t="str">
        <f>IF(OR(AND(N24 = Støtteark!$L$25,E24&lt;&gt;Støtteark!$U$6,O24=Støtteark!$B$22),AND(E24=Støtteark!$U$6,OR(O24=Støtteark!$B$22,O24=Støtteark!$B$24))),1,"")</f>
        <v/>
      </c>
      <c r="W24" s="232" t="str">
        <f>IF(OR(AND(N24 = Støtteark!$L$25,E24&lt;&gt;Støtteark!$U$6,OR(O24=Støtteark!$B$22,O24=Støtteark!$B$23,O24=Støtteark!$B$24,O24=Støtteark!$B$25)),AND(E24=Støtteark!$U$6,OR(O24=Støtteark!$B$22,O24=Støtteark!$B$24))),1,"")</f>
        <v/>
      </c>
      <c r="X24" s="231"/>
      <c r="Y24" s="231"/>
      <c r="Z24" s="235"/>
      <c r="AA24" s="231" t="str">
        <f>IF(OR(AND(E24&lt;&gt;Støtteark!$U$6,N24 = Støtteark!$L$25),N24 = Støtteark!$L$26,N24 = Støtteark!$L$28,AND(N24 = Støtteark!$L$29,E24&lt;&gt;Støtteark!$U$6,OR(O24=Støtteark!$B$30,O24=Støtteark!$B$32,O24=Støtteark!$B$33,AND(E24&lt;&gt;Støtteark!$U$6,O24=Støtteark!$B$34),O24=Støtteark!$B$35))),1,"")</f>
        <v/>
      </c>
      <c r="AB24" s="231" t="str">
        <f>IF(OR(AND(E24&lt;&gt;Støtteark!$U$6,N24 = Støtteark!$L$25),N24 = Støtteark!$L$26,N24 = Støtteark!$L$28,AND(N24 = Støtteark!$L$29,O24=Støtteark!$B$34)),1,"")</f>
        <v/>
      </c>
      <c r="AC24" s="231" t="str">
        <f>IF(OR(AND(E24&lt;&gt;Støtteark!$U$6,N24 = Støtteark!$L$25),N24 = Støtteark!$L$26,N24 = Støtteark!$L$28,AND(N24 = Støtteark!$L$29,E24&lt;&gt;Støtteark!$U$6,OR(O24=Støtteark!$B$30,O24 = Støtteark!$B$34))),1,"")</f>
        <v/>
      </c>
      <c r="AD24" s="232" t="str">
        <f>IF(OR(N24 = Støtteark!$L$25,N24 = Støtteark!$L$26,N24 = Støtteark!$L$28,AND(N24 = Støtteark!$L$29,OR(O24=Støtteark!$B$34,O24=Støtteark!$B$35)),AND(E24=Støtteark!$U$6,OR(O24=Støtteark!$B$29,O24=Støtteark!$B$30,O24=Støtteark!$B$32,O24=Støtteark!$B$33))),1,"")</f>
        <v/>
      </c>
      <c r="AE24" s="231" t="str">
        <f>IF(OR(N24 = Støtteark!$L$25,N24 = Støtteark!$L$26,N24 = Støtteark!$L$28,AND(N24 = Støtteark!$L$29,OR(O24=Støtteark!$B$34,O24 = Støtteark!$B$30)),AND(E24=Støtteark!$U$6,O24=Støtteark!$B$29)),1,"")</f>
        <v/>
      </c>
      <c r="AF24" s="231" t="str">
        <f>IF(OR(N24 = Støtteark!$L$25,N24 = Støtteark!$L$26,N24 = Støtteark!$L$28,AND(N24 = Støtteark!$L$29,O24=Støtteark!$B$34),AND(E24=Støtteark!$U$6,O24=Støtteark!$B$30),AND(E24=Støtteark!$U$6,O24=Støtteark!$B$29)),1,"")</f>
        <v/>
      </c>
      <c r="AG24" s="231" t="str">
        <f>IF(OR(N24 = Støtteark!$L$25,N24 = Støtteark!$L$26,N24 = Støtteark!$L$28,AND(N24 = Støtteark!$L$29,OR(O24=Støtteark!$B$30,O24 = Støtteark!$B$31,O24=Støtteark!$B$32,O24=Støtteark!$B$34)),AND(E24=Støtteark!$U$6,OR(O24=Støtteark!$B$29,O24=Støtteark!$B$31))),1,"")</f>
        <v/>
      </c>
      <c r="AH24" s="231" t="str">
        <f>IF(OR(N24 = Støtteark!$L$25,N24 = Støtteark!$L$26,N24 = Støtteark!$L$28,AND(N24 = Støtteark!$L$29,O24=Støtteark!$B$34),AND(E24=Støtteark!$U$6,OR(O24=Støtteark!$B$29,O24=Støtteark!$B$30))),1,"")</f>
        <v/>
      </c>
      <c r="AI24" s="231" t="str">
        <f>IF(OR(N24 = Støtteark!$L$25,N24 = Støtteark!$L$26,N24 = Støtteark!$L$28,AND(N24 = Støtteark!$L$29,OR(O24=Støtteark!$B$34,O24 = Støtteark!$B$30)),AND(E24=Støtteark!$U$6,OR(O24=Støtteark!$B$29,O24=Støtteark!$B$30))),1,"")</f>
        <v/>
      </c>
      <c r="AJ24" s="231" t="str">
        <f>IF(OR(AND(E24&lt;&gt;Støtteark!$U$6,N24 = Støtteark!$L$25),N24 = Støtteark!$L$26,N24 = Støtteark!$L$28,AND(N24 = Støtteark!$L$29,OR(O24=Støtteark!$B$34,O24=Støtteark!$B$35),O24&lt;&gt;Støtteark!$B$30)),1,"")</f>
        <v/>
      </c>
      <c r="AK24" s="231" t="str">
        <f>IF(OR(AND(E24&lt;&gt;Støtteark!$U$6,N24 = Støtteark!$L$25),N24 = Støtteark!$L$26,N24 = Støtteark!$L$28,AND(N24 = Støtteark!$L$29,E24&lt;&gt;Støtteark!$U$6,OR(O24=Støtteark!$B$34,O24 = Støtteark!$B$30))),1,"")</f>
        <v/>
      </c>
      <c r="AL24" s="231" t="str">
        <f>IF(OR(AND(E24&lt;&gt;Støtteark!$U$6,N24 = Støtteark!$L$25),N24 = Støtteark!$L$26,N24 = Støtteark!$L$28,AND(N24 = Støtteark!$L$29,O24=Støtteark!$B$34)),1,"")</f>
        <v/>
      </c>
      <c r="AM24" s="231" t="str">
        <f>IF(AND(N24 = Støtteark!$L$29,OR(O24=Støtteark!$B$30,O24=Støtteark!$B$32,O24=Støtteark!$B$33,O24=Støtteark!$B$34,O24=Støtteark!$B$35)),Støtteark!$L$32,"")</f>
        <v/>
      </c>
      <c r="AN24" s="235"/>
      <c r="AO24" s="91"/>
      <c r="AP24" s="170">
        <v>0</v>
      </c>
      <c r="AQ24" s="235"/>
      <c r="AR24" s="64">
        <f t="shared" ca="1" si="17"/>
        <v>44022</v>
      </c>
    </row>
    <row r="25" spans="1:44" ht="25.5" hidden="1" x14ac:dyDescent="0.25">
      <c r="A25" s="221" t="str">
        <f t="shared" si="13"/>
        <v>Kundenr.-Ejendom</v>
      </c>
      <c r="B25" s="61" t="str">
        <f>Ydelser!A25&amp;" - "&amp;Ydelser!C25</f>
        <v>304 - Services for lejere eller ejendom</v>
      </c>
      <c r="C25" s="61" t="str">
        <f>Ydelser!D25</f>
        <v>Ikke autorisationskrævende opgaver, f. eks. ringeklokke, tryk, ændring af navneskilt osv.</v>
      </c>
      <c r="D25" s="61" t="b">
        <f>'FS Aftale'!D25</f>
        <v>1</v>
      </c>
      <c r="E25" s="156" t="str">
        <f>'FS Aftale'!E25</f>
        <v>Indeholdt</v>
      </c>
      <c r="F25" s="61" t="str">
        <f t="shared" ref="F25:H25" si="18">F24</f>
        <v>Team Ansvarlig</v>
      </c>
      <c r="G25" s="61" t="str">
        <f t="shared" si="18"/>
        <v>Ansvarlig</v>
      </c>
      <c r="H25" s="61" t="str">
        <f t="shared" si="18"/>
        <v>Servicemedarb.</v>
      </c>
      <c r="I25" s="235"/>
      <c r="J25" s="61" t="str">
        <f t="shared" ref="J25:M25" si="19">J24</f>
        <v>Fast</v>
      </c>
      <c r="K25" s="61" t="str">
        <f t="shared" si="19"/>
        <v>FS aftale</v>
      </c>
      <c r="L25" s="188">
        <f t="shared" si="19"/>
        <v>1</v>
      </c>
      <c r="M25" s="157" t="str">
        <f t="shared" si="19"/>
        <v>Mangler planlægning</v>
      </c>
      <c r="N25" s="147" t="str">
        <f>IFERROR(VLOOKUP(O25,Støtteark!$B$21:$F$35,MATCH(E25,Støtteark!$B$21:$F$21,0),0),Støtteark!$L$35)</f>
        <v>Vælg en anden kombination</v>
      </c>
      <c r="O25" s="62">
        <f>'FS Aftale'!F25</f>
        <v>52</v>
      </c>
      <c r="P25" s="179" t="str">
        <f t="shared" si="16"/>
        <v>7:00</v>
      </c>
      <c r="Q25" s="63">
        <f>'FS Aftale'!G25*Støtteark!$Q$15</f>
        <v>60</v>
      </c>
      <c r="R25" s="235"/>
      <c r="S25" s="231" t="str">
        <f>IF(OR(AND(OR(N25 = Støtteark!$L$25,N25 = Støtteark!$L$26,N25 = Støtteark!$L$28),E25&lt;&gt;Støtteark!$U$6,OR(O25=Støtteark!$B$22,O25=Støtteark!$B$23,O25=Støtteark!$B$24,O25=Støtteark!$B$25,O25=Støtteark!$B$26,O25=Støtteark!$B$27,O25=Støtteark!$B$28)),AND(E25=Støtteark!$U$6,OR(O25=Støtteark!$B$24,O25=Støtteark!$B$27,O25=Støtteark!$B$29))),1,"")</f>
        <v/>
      </c>
      <c r="T25" s="232" t="str">
        <f>IF(OR(AND(N25 = Støtteark!$L$25,E25&lt;&gt;Støtteark!$U$6,O25=Støtteark!$B$22),AND(E25=Støtteark!$U$6,O25=Støtteark!$B$24),O25=Støtteark!$B$22),1,"")</f>
        <v/>
      </c>
      <c r="U25" s="232" t="str">
        <f>IF(OR(AND(N25 = Støtteark!$L$25,E25&lt;&gt;Støtteark!$U$6,OR(O25=Støtteark!$B$22,O25=Støtteark!$B$23,O25=Støtteark!$B$24)),AND(E25=Støtteark!$U$6,OR(O25=Støtteark!$B$22,O25=Støtteark!$B$24))),1,"")</f>
        <v/>
      </c>
      <c r="V25" s="232" t="str">
        <f>IF(OR(AND(N25 = Støtteark!$L$25,E25&lt;&gt;Støtteark!$U$6,O25=Støtteark!$B$22),AND(E25=Støtteark!$U$6,OR(O25=Støtteark!$B$22,O25=Støtteark!$B$24))),1,"")</f>
        <v/>
      </c>
      <c r="W25" s="232" t="str">
        <f>IF(OR(AND(N25 = Støtteark!$L$25,E25&lt;&gt;Støtteark!$U$6,OR(O25=Støtteark!$B$22,O25=Støtteark!$B$23,O25=Støtteark!$B$24,O25=Støtteark!$B$25)),AND(E25=Støtteark!$U$6,OR(O25=Støtteark!$B$22,O25=Støtteark!$B$24))),1,"")</f>
        <v/>
      </c>
      <c r="X25" s="231"/>
      <c r="Y25" s="231"/>
      <c r="Z25" s="235"/>
      <c r="AA25" s="231" t="str">
        <f>IF(OR(AND(E25&lt;&gt;Støtteark!$U$6,N25 = Støtteark!$L$25),N25 = Støtteark!$L$26,N25 = Støtteark!$L$28,AND(N25 = Støtteark!$L$29,E25&lt;&gt;Støtteark!$U$6,OR(O25=Støtteark!$B$30,O25=Støtteark!$B$32,O25=Støtteark!$B$33,AND(E25&lt;&gt;Støtteark!$U$6,O25=Støtteark!$B$34),O25=Støtteark!$B$35))),1,"")</f>
        <v/>
      </c>
      <c r="AB25" s="231" t="str">
        <f>IF(OR(AND(E25&lt;&gt;Støtteark!$U$6,N25 = Støtteark!$L$25),N25 = Støtteark!$L$26,N25 = Støtteark!$L$28,AND(N25 = Støtteark!$L$29,O25=Støtteark!$B$34)),1,"")</f>
        <v/>
      </c>
      <c r="AC25" s="231" t="str">
        <f>IF(OR(AND(E25&lt;&gt;Støtteark!$U$6,N25 = Støtteark!$L$25),N25 = Støtteark!$L$26,N25 = Støtteark!$L$28,AND(N25 = Støtteark!$L$29,E25&lt;&gt;Støtteark!$U$6,OR(O25=Støtteark!$B$30,O25 = Støtteark!$B$34))),1,"")</f>
        <v/>
      </c>
      <c r="AD25" s="232" t="str">
        <f>IF(OR(N25 = Støtteark!$L$25,N25 = Støtteark!$L$26,N25 = Støtteark!$L$28,AND(N25 = Støtteark!$L$29,OR(O25=Støtteark!$B$34,O25=Støtteark!$B$35)),AND(E25=Støtteark!$U$6,OR(O25=Støtteark!$B$29,O25=Støtteark!$B$30,O25=Støtteark!$B$32,O25=Støtteark!$B$33))),1,"")</f>
        <v/>
      </c>
      <c r="AE25" s="231" t="str">
        <f>IF(OR(N25 = Støtteark!$L$25,N25 = Støtteark!$L$26,N25 = Støtteark!$L$28,AND(N25 = Støtteark!$L$29,OR(O25=Støtteark!$B$34,O25 = Støtteark!$B$30)),AND(E25=Støtteark!$U$6,O25=Støtteark!$B$29)),1,"")</f>
        <v/>
      </c>
      <c r="AF25" s="231" t="str">
        <f>IF(OR(N25 = Støtteark!$L$25,N25 = Støtteark!$L$26,N25 = Støtteark!$L$28,AND(N25 = Støtteark!$L$29,O25=Støtteark!$B$34),AND(E25=Støtteark!$U$6,O25=Støtteark!$B$30),AND(E25=Støtteark!$U$6,O25=Støtteark!$B$29)),1,"")</f>
        <v/>
      </c>
      <c r="AG25" s="231" t="str">
        <f>IF(OR(N25 = Støtteark!$L$25,N25 = Støtteark!$L$26,N25 = Støtteark!$L$28,AND(N25 = Støtteark!$L$29,OR(O25=Støtteark!$B$30,O25 = Støtteark!$B$31,O25=Støtteark!$B$32,O25=Støtteark!$B$34)),AND(E25=Støtteark!$U$6,OR(O25=Støtteark!$B$29,O25=Støtteark!$B$31))),1,"")</f>
        <v/>
      </c>
      <c r="AH25" s="231" t="str">
        <f>IF(OR(N25 = Støtteark!$L$25,N25 = Støtteark!$L$26,N25 = Støtteark!$L$28,AND(N25 = Støtteark!$L$29,O25=Støtteark!$B$34),AND(E25=Støtteark!$U$6,OR(O25=Støtteark!$B$29,O25=Støtteark!$B$30))),1,"")</f>
        <v/>
      </c>
      <c r="AI25" s="231" t="str">
        <f>IF(OR(N25 = Støtteark!$L$25,N25 = Støtteark!$L$26,N25 = Støtteark!$L$28,AND(N25 = Støtteark!$L$29,OR(O25=Støtteark!$B$34,O25 = Støtteark!$B$30)),AND(E25=Støtteark!$U$6,OR(O25=Støtteark!$B$29,O25=Støtteark!$B$30))),1,"")</f>
        <v/>
      </c>
      <c r="AJ25" s="231" t="str">
        <f>IF(OR(AND(E25&lt;&gt;Støtteark!$U$6,N25 = Støtteark!$L$25),N25 = Støtteark!$L$26,N25 = Støtteark!$L$28,AND(N25 = Støtteark!$L$29,OR(O25=Støtteark!$B$34,O25=Støtteark!$B$35),O25&lt;&gt;Støtteark!$B$30)),1,"")</f>
        <v/>
      </c>
      <c r="AK25" s="231" t="str">
        <f>IF(OR(AND(E25&lt;&gt;Støtteark!$U$6,N25 = Støtteark!$L$25),N25 = Støtteark!$L$26,N25 = Støtteark!$L$28,AND(N25 = Støtteark!$L$29,E25&lt;&gt;Støtteark!$U$6,OR(O25=Støtteark!$B$34,O25 = Støtteark!$B$30))),1,"")</f>
        <v/>
      </c>
      <c r="AL25" s="231" t="str">
        <f>IF(OR(AND(E25&lt;&gt;Støtteark!$U$6,N25 = Støtteark!$L$25),N25 = Støtteark!$L$26,N25 = Støtteark!$L$28,AND(N25 = Støtteark!$L$29,O25=Støtteark!$B$34)),1,"")</f>
        <v/>
      </c>
      <c r="AM25" s="231" t="str">
        <f>IF(AND(N25 = Støtteark!$L$29,OR(O25=Støtteark!$B$30,O25=Støtteark!$B$32,O25=Støtteark!$B$33,O25=Støtteark!$B$34,O25=Støtteark!$B$35)),Støtteark!$L$32,"")</f>
        <v/>
      </c>
      <c r="AN25" s="235"/>
      <c r="AO25" s="91"/>
      <c r="AP25" s="170">
        <v>0</v>
      </c>
      <c r="AQ25" s="235"/>
      <c r="AR25" s="64">
        <f t="shared" ca="1" si="17"/>
        <v>44022</v>
      </c>
    </row>
    <row r="26" spans="1:44" ht="25.5" hidden="1" x14ac:dyDescent="0.25">
      <c r="A26" s="221" t="str">
        <f t="shared" si="13"/>
        <v>Kundenr.-Ejendom</v>
      </c>
      <c r="B26" s="61" t="str">
        <f>Ydelser!A26&amp;" - "&amp;Ydelser!C26</f>
        <v>305 - Deltagelse i møder</v>
      </c>
      <c r="C26" s="61" t="str">
        <f>Ydelser!D26</f>
        <v>Definerede mødetyper.
Eksempelvis beboer-, bestyrelses-, nævns- og budgetmøder.</v>
      </c>
      <c r="D26" s="61" t="b">
        <f>'FS Aftale'!D26</f>
        <v>0</v>
      </c>
      <c r="E26" s="156" t="str">
        <f>'FS Aftale'!E26</f>
        <v>Indeholdt</v>
      </c>
      <c r="F26" s="61" t="str">
        <f t="shared" ref="F26:H26" si="20">F25</f>
        <v>Team Ansvarlig</v>
      </c>
      <c r="G26" s="61" t="str">
        <f t="shared" si="20"/>
        <v>Ansvarlig</v>
      </c>
      <c r="H26" s="61" t="str">
        <f t="shared" si="20"/>
        <v>Servicemedarb.</v>
      </c>
      <c r="I26" s="235"/>
      <c r="J26" s="61" t="str">
        <f t="shared" ref="J26:M26" si="21">J25</f>
        <v>Fast</v>
      </c>
      <c r="K26" s="61" t="str">
        <f t="shared" si="21"/>
        <v>FS aftale</v>
      </c>
      <c r="L26" s="188">
        <f t="shared" si="21"/>
        <v>1</v>
      </c>
      <c r="M26" s="157" t="str">
        <f t="shared" si="21"/>
        <v>Mangler planlægning</v>
      </c>
      <c r="N26" s="147" t="str">
        <f>IFERROR(VLOOKUP(O26,Støtteark!$B$21:$F$35,MATCH(E26,Støtteark!$B$21:$F$21,0),0),Støtteark!$L$35)</f>
        <v>Vælg en anden kombination</v>
      </c>
      <c r="O26" s="62">
        <f>'FS Aftale'!F26</f>
        <v>52</v>
      </c>
      <c r="P26" s="179" t="str">
        <f t="shared" si="16"/>
        <v>7:00</v>
      </c>
      <c r="Q26" s="63">
        <f>'FS Aftale'!G26*Støtteark!$Q$15</f>
        <v>60</v>
      </c>
      <c r="R26" s="235"/>
      <c r="S26" s="231" t="str">
        <f>IF(OR(AND(OR(N26 = Støtteark!$L$25,N26 = Støtteark!$L$26,N26 = Støtteark!$L$28),E26&lt;&gt;Støtteark!$U$6,OR(O26=Støtteark!$B$22,O26=Støtteark!$B$23,O26=Støtteark!$B$24,O26=Støtteark!$B$25,O26=Støtteark!$B$26,O26=Støtteark!$B$27,O26=Støtteark!$B$28)),AND(E26=Støtteark!$U$6,OR(O26=Støtteark!$B$24,O26=Støtteark!$B$27,O26=Støtteark!$B$29))),1,"")</f>
        <v/>
      </c>
      <c r="T26" s="232" t="str">
        <f>IF(OR(AND(N26 = Støtteark!$L$25,E26&lt;&gt;Støtteark!$U$6,O26=Støtteark!$B$22),AND(E26=Støtteark!$U$6,O26=Støtteark!$B$24),O26=Støtteark!$B$22),1,"")</f>
        <v/>
      </c>
      <c r="U26" s="232" t="str">
        <f>IF(OR(AND(N26 = Støtteark!$L$25,E26&lt;&gt;Støtteark!$U$6,OR(O26=Støtteark!$B$22,O26=Støtteark!$B$23,O26=Støtteark!$B$24)),AND(E26=Støtteark!$U$6,OR(O26=Støtteark!$B$22,O26=Støtteark!$B$24))),1,"")</f>
        <v/>
      </c>
      <c r="V26" s="232" t="str">
        <f>IF(OR(AND(N26 = Støtteark!$L$25,E26&lt;&gt;Støtteark!$U$6,O26=Støtteark!$B$22),AND(E26=Støtteark!$U$6,OR(O26=Støtteark!$B$22,O26=Støtteark!$B$24))),1,"")</f>
        <v/>
      </c>
      <c r="W26" s="232" t="str">
        <f>IF(OR(AND(N26 = Støtteark!$L$25,E26&lt;&gt;Støtteark!$U$6,OR(O26=Støtteark!$B$22,O26=Støtteark!$B$23,O26=Støtteark!$B$24,O26=Støtteark!$B$25)),AND(E26=Støtteark!$U$6,OR(O26=Støtteark!$B$22,O26=Støtteark!$B$24))),1,"")</f>
        <v/>
      </c>
      <c r="X26" s="231"/>
      <c r="Y26" s="231"/>
      <c r="Z26" s="235"/>
      <c r="AA26" s="231" t="str">
        <f>IF(OR(AND(E26&lt;&gt;Støtteark!$U$6,N26 = Støtteark!$L$25),N26 = Støtteark!$L$26,N26 = Støtteark!$L$28,AND(N26 = Støtteark!$L$29,E26&lt;&gt;Støtteark!$U$6,OR(O26=Støtteark!$B$30,O26=Støtteark!$B$32,O26=Støtteark!$B$33,AND(E26&lt;&gt;Støtteark!$U$6,O26=Støtteark!$B$34),O26=Støtteark!$B$35))),1,"")</f>
        <v/>
      </c>
      <c r="AB26" s="231" t="str">
        <f>IF(OR(AND(E26&lt;&gt;Støtteark!$U$6,N26 = Støtteark!$L$25),N26 = Støtteark!$L$26,N26 = Støtteark!$L$28,AND(N26 = Støtteark!$L$29,O26=Støtteark!$B$34)),1,"")</f>
        <v/>
      </c>
      <c r="AC26" s="231" t="str">
        <f>IF(OR(AND(E26&lt;&gt;Støtteark!$U$6,N26 = Støtteark!$L$25),N26 = Støtteark!$L$26,N26 = Støtteark!$L$28,AND(N26 = Støtteark!$L$29,E26&lt;&gt;Støtteark!$U$6,OR(O26=Støtteark!$B$30,O26 = Støtteark!$B$34))),1,"")</f>
        <v/>
      </c>
      <c r="AD26" s="232" t="str">
        <f>IF(OR(N26 = Støtteark!$L$25,N26 = Støtteark!$L$26,N26 = Støtteark!$L$28,AND(N26 = Støtteark!$L$29,OR(O26=Støtteark!$B$34,O26=Støtteark!$B$35)),AND(E26=Støtteark!$U$6,OR(O26=Støtteark!$B$29,O26=Støtteark!$B$30,O26=Støtteark!$B$32,O26=Støtteark!$B$33))),1,"")</f>
        <v/>
      </c>
      <c r="AE26" s="231" t="str">
        <f>IF(OR(N26 = Støtteark!$L$25,N26 = Støtteark!$L$26,N26 = Støtteark!$L$28,AND(N26 = Støtteark!$L$29,OR(O26=Støtteark!$B$34,O26 = Støtteark!$B$30)),AND(E26=Støtteark!$U$6,O26=Støtteark!$B$29)),1,"")</f>
        <v/>
      </c>
      <c r="AF26" s="231" t="str">
        <f>IF(OR(N26 = Støtteark!$L$25,N26 = Støtteark!$L$26,N26 = Støtteark!$L$28,AND(N26 = Støtteark!$L$29,O26=Støtteark!$B$34),AND(E26=Støtteark!$U$6,O26=Støtteark!$B$30),AND(E26=Støtteark!$U$6,O26=Støtteark!$B$29)),1,"")</f>
        <v/>
      </c>
      <c r="AG26" s="231" t="str">
        <f>IF(OR(N26 = Støtteark!$L$25,N26 = Støtteark!$L$26,N26 = Støtteark!$L$28,AND(N26 = Støtteark!$L$29,OR(O26=Støtteark!$B$30,O26 = Støtteark!$B$31,O26=Støtteark!$B$32,O26=Støtteark!$B$34)),AND(E26=Støtteark!$U$6,OR(O26=Støtteark!$B$29,O26=Støtteark!$B$31))),1,"")</f>
        <v/>
      </c>
      <c r="AH26" s="231" t="str">
        <f>IF(OR(N26 = Støtteark!$L$25,N26 = Støtteark!$L$26,N26 = Støtteark!$L$28,AND(N26 = Støtteark!$L$29,O26=Støtteark!$B$34),AND(E26=Støtteark!$U$6,OR(O26=Støtteark!$B$29,O26=Støtteark!$B$30))),1,"")</f>
        <v/>
      </c>
      <c r="AI26" s="231" t="str">
        <f>IF(OR(N26 = Støtteark!$L$25,N26 = Støtteark!$L$26,N26 = Støtteark!$L$28,AND(N26 = Støtteark!$L$29,OR(O26=Støtteark!$B$34,O26 = Støtteark!$B$30)),AND(E26=Støtteark!$U$6,OR(O26=Støtteark!$B$29,O26=Støtteark!$B$30))),1,"")</f>
        <v/>
      </c>
      <c r="AJ26" s="231" t="str">
        <f>IF(OR(AND(E26&lt;&gt;Støtteark!$U$6,N26 = Støtteark!$L$25),N26 = Støtteark!$L$26,N26 = Støtteark!$L$28,AND(N26 = Støtteark!$L$29,OR(O26=Støtteark!$B$34,O26=Støtteark!$B$35),O26&lt;&gt;Støtteark!$B$30)),1,"")</f>
        <v/>
      </c>
      <c r="AK26" s="231" t="str">
        <f>IF(OR(AND(E26&lt;&gt;Støtteark!$U$6,N26 = Støtteark!$L$25),N26 = Støtteark!$L$26,N26 = Støtteark!$L$28,AND(N26 = Støtteark!$L$29,E26&lt;&gt;Støtteark!$U$6,OR(O26=Støtteark!$B$34,O26 = Støtteark!$B$30))),1,"")</f>
        <v/>
      </c>
      <c r="AL26" s="231" t="str">
        <f>IF(OR(AND(E26&lt;&gt;Støtteark!$U$6,N26 = Støtteark!$L$25),N26 = Støtteark!$L$26,N26 = Støtteark!$L$28,AND(N26 = Støtteark!$L$29,O26=Støtteark!$B$34)),1,"")</f>
        <v/>
      </c>
      <c r="AM26" s="231" t="str">
        <f>IF(AND(N26 = Støtteark!$L$29,OR(O26=Støtteark!$B$30,O26=Støtteark!$B$32,O26=Støtteark!$B$33,O26=Støtteark!$B$34,O26=Støtteark!$B$35)),Støtteark!$L$32,"")</f>
        <v/>
      </c>
      <c r="AN26" s="235"/>
      <c r="AO26" s="91"/>
      <c r="AP26" s="170">
        <v>0</v>
      </c>
      <c r="AQ26" s="235"/>
      <c r="AR26" s="64">
        <f t="shared" ca="1" si="17"/>
        <v>44022</v>
      </c>
    </row>
    <row r="27" spans="1:44" ht="25.5" hidden="1" x14ac:dyDescent="0.25">
      <c r="A27" s="221" t="str">
        <f t="shared" si="13"/>
        <v>Kundenr.-Ejendom</v>
      </c>
      <c r="B27" s="61" t="str">
        <f>Ydelser!A27&amp;" - "&amp;Ydelser!C27</f>
        <v>306 - Tilsyn med tomgangslejemål</v>
      </c>
      <c r="C27" s="61" t="str">
        <f>Ydelser!D27</f>
        <v>Visuelt tilsyn for sikring af at lejemålet er i umiddelbar funktion. Herunder tilsyn med forsyningsanlæg, fyldning af vandlåse og toiletter.</v>
      </c>
      <c r="D27" s="61" t="b">
        <f>'FS Aftale'!D27</f>
        <v>1</v>
      </c>
      <c r="E27" s="156" t="str">
        <f>'FS Aftale'!E27</f>
        <v>Indeholdt</v>
      </c>
      <c r="F27" s="61" t="str">
        <f t="shared" ref="F27:H27" si="22">F26</f>
        <v>Team Ansvarlig</v>
      </c>
      <c r="G27" s="61" t="str">
        <f t="shared" si="22"/>
        <v>Ansvarlig</v>
      </c>
      <c r="H27" s="61" t="str">
        <f t="shared" si="22"/>
        <v>Servicemedarb.</v>
      </c>
      <c r="I27" s="235"/>
      <c r="J27" s="61" t="str">
        <f t="shared" ref="J27:M27" si="23">J26</f>
        <v>Fast</v>
      </c>
      <c r="K27" s="61" t="str">
        <f t="shared" si="23"/>
        <v>FS aftale</v>
      </c>
      <c r="L27" s="188">
        <f t="shared" si="23"/>
        <v>1</v>
      </c>
      <c r="M27" s="157" t="str">
        <f t="shared" si="23"/>
        <v>Mangler planlægning</v>
      </c>
      <c r="N27" s="147" t="str">
        <f>IFERROR(VLOOKUP(O27,Støtteark!$B$21:$F$35,MATCH(E27,Støtteark!$B$21:$F$21,0),0),Støtteark!$L$35)</f>
        <v>Vælg en anden kombination</v>
      </c>
      <c r="O27" s="62">
        <f>'FS Aftale'!F27</f>
        <v>52</v>
      </c>
      <c r="P27" s="179" t="str">
        <f t="shared" si="16"/>
        <v>7:00</v>
      </c>
      <c r="Q27" s="63">
        <f>'FS Aftale'!G27*Støtteark!$Q$15</f>
        <v>30</v>
      </c>
      <c r="R27" s="235"/>
      <c r="S27" s="231" t="str">
        <f>IF(OR(AND(OR(N27 = Støtteark!$L$25,N27 = Støtteark!$L$26,N27 = Støtteark!$L$28),E27&lt;&gt;Støtteark!$U$6,OR(O27=Støtteark!$B$22,O27=Støtteark!$B$23,O27=Støtteark!$B$24,O27=Støtteark!$B$25,O27=Støtteark!$B$26,O27=Støtteark!$B$27,O27=Støtteark!$B$28)),AND(E27=Støtteark!$U$6,OR(O27=Støtteark!$B$24,O27=Støtteark!$B$27,O27=Støtteark!$B$29))),1,"")</f>
        <v/>
      </c>
      <c r="T27" s="232" t="str">
        <f>IF(OR(AND(N27 = Støtteark!$L$25,E27&lt;&gt;Støtteark!$U$6,O27=Støtteark!$B$22),AND(E27=Støtteark!$U$6,O27=Støtteark!$B$24),O27=Støtteark!$B$22),1,"")</f>
        <v/>
      </c>
      <c r="U27" s="232" t="str">
        <f>IF(OR(AND(N27 = Støtteark!$L$25,E27&lt;&gt;Støtteark!$U$6,OR(O27=Støtteark!$B$22,O27=Støtteark!$B$23,O27=Støtteark!$B$24)),AND(E27=Støtteark!$U$6,OR(O27=Støtteark!$B$22,O27=Støtteark!$B$24))),1,"")</f>
        <v/>
      </c>
      <c r="V27" s="232" t="str">
        <f>IF(OR(AND(N27 = Støtteark!$L$25,E27&lt;&gt;Støtteark!$U$6,O27=Støtteark!$B$22),AND(E27=Støtteark!$U$6,OR(O27=Støtteark!$B$22,O27=Støtteark!$B$24))),1,"")</f>
        <v/>
      </c>
      <c r="W27" s="232" t="str">
        <f>IF(OR(AND(N27 = Støtteark!$L$25,E27&lt;&gt;Støtteark!$U$6,OR(O27=Støtteark!$B$22,O27=Støtteark!$B$23,O27=Støtteark!$B$24,O27=Støtteark!$B$25)),AND(E27=Støtteark!$U$6,OR(O27=Støtteark!$B$22,O27=Støtteark!$B$24))),1,"")</f>
        <v/>
      </c>
      <c r="X27" s="231"/>
      <c r="Y27" s="231"/>
      <c r="Z27" s="235"/>
      <c r="AA27" s="231" t="str">
        <f>IF(OR(AND(E27&lt;&gt;Støtteark!$U$6,N27 = Støtteark!$L$25),N27 = Støtteark!$L$26,N27 = Støtteark!$L$28,AND(N27 = Støtteark!$L$29,E27&lt;&gt;Støtteark!$U$6,OR(O27=Støtteark!$B$30,O27=Støtteark!$B$32,O27=Støtteark!$B$33,AND(E27&lt;&gt;Støtteark!$U$6,O27=Støtteark!$B$34),O27=Støtteark!$B$35))),1,"")</f>
        <v/>
      </c>
      <c r="AB27" s="231" t="str">
        <f>IF(OR(AND(E27&lt;&gt;Støtteark!$U$6,N27 = Støtteark!$L$25),N27 = Støtteark!$L$26,N27 = Støtteark!$L$28,AND(N27 = Støtteark!$L$29,O27=Støtteark!$B$34)),1,"")</f>
        <v/>
      </c>
      <c r="AC27" s="231" t="str">
        <f>IF(OR(AND(E27&lt;&gt;Støtteark!$U$6,N27 = Støtteark!$L$25),N27 = Støtteark!$L$26,N27 = Støtteark!$L$28,AND(N27 = Støtteark!$L$29,E27&lt;&gt;Støtteark!$U$6,OR(O27=Støtteark!$B$30,O27 = Støtteark!$B$34))),1,"")</f>
        <v/>
      </c>
      <c r="AD27" s="232" t="str">
        <f>IF(OR(N27 = Støtteark!$L$25,N27 = Støtteark!$L$26,N27 = Støtteark!$L$28,AND(N27 = Støtteark!$L$29,OR(O27=Støtteark!$B$34,O27=Støtteark!$B$35)),AND(E27=Støtteark!$U$6,OR(O27=Støtteark!$B$29,O27=Støtteark!$B$30,O27=Støtteark!$B$32,O27=Støtteark!$B$33))),1,"")</f>
        <v/>
      </c>
      <c r="AE27" s="231" t="str">
        <f>IF(OR(N27 = Støtteark!$L$25,N27 = Støtteark!$L$26,N27 = Støtteark!$L$28,AND(N27 = Støtteark!$L$29,OR(O27=Støtteark!$B$34,O27 = Støtteark!$B$30)),AND(E27=Støtteark!$U$6,O27=Støtteark!$B$29)),1,"")</f>
        <v/>
      </c>
      <c r="AF27" s="231" t="str">
        <f>IF(OR(N27 = Støtteark!$L$25,N27 = Støtteark!$L$26,N27 = Støtteark!$L$28,AND(N27 = Støtteark!$L$29,O27=Støtteark!$B$34),AND(E27=Støtteark!$U$6,O27=Støtteark!$B$30),AND(E27=Støtteark!$U$6,O27=Støtteark!$B$29)),1,"")</f>
        <v/>
      </c>
      <c r="AG27" s="231" t="str">
        <f>IF(OR(N27 = Støtteark!$L$25,N27 = Støtteark!$L$26,N27 = Støtteark!$L$28,AND(N27 = Støtteark!$L$29,OR(O27=Støtteark!$B$30,O27 = Støtteark!$B$31,O27=Støtteark!$B$32,O27=Støtteark!$B$34)),AND(E27=Støtteark!$U$6,OR(O27=Støtteark!$B$29,O27=Støtteark!$B$31))),1,"")</f>
        <v/>
      </c>
      <c r="AH27" s="231" t="str">
        <f>IF(OR(N27 = Støtteark!$L$25,N27 = Støtteark!$L$26,N27 = Støtteark!$L$28,AND(N27 = Støtteark!$L$29,O27=Støtteark!$B$34),AND(E27=Støtteark!$U$6,OR(O27=Støtteark!$B$29,O27=Støtteark!$B$30))),1,"")</f>
        <v/>
      </c>
      <c r="AI27" s="231" t="str">
        <f>IF(OR(N27 = Støtteark!$L$25,N27 = Støtteark!$L$26,N27 = Støtteark!$L$28,AND(N27 = Støtteark!$L$29,OR(O27=Støtteark!$B$34,O27 = Støtteark!$B$30)),AND(E27=Støtteark!$U$6,OR(O27=Støtteark!$B$29,O27=Støtteark!$B$30))),1,"")</f>
        <v/>
      </c>
      <c r="AJ27" s="231" t="str">
        <f>IF(OR(AND(E27&lt;&gt;Støtteark!$U$6,N27 = Støtteark!$L$25),N27 = Støtteark!$L$26,N27 = Støtteark!$L$28,AND(N27 = Støtteark!$L$29,OR(O27=Støtteark!$B$34,O27=Støtteark!$B$35),O27&lt;&gt;Støtteark!$B$30)),1,"")</f>
        <v/>
      </c>
      <c r="AK27" s="231" t="str">
        <f>IF(OR(AND(E27&lt;&gt;Støtteark!$U$6,N27 = Støtteark!$L$25),N27 = Støtteark!$L$26,N27 = Støtteark!$L$28,AND(N27 = Støtteark!$L$29,E27&lt;&gt;Støtteark!$U$6,OR(O27=Støtteark!$B$34,O27 = Støtteark!$B$30))),1,"")</f>
        <v/>
      </c>
      <c r="AL27" s="231" t="str">
        <f>IF(OR(AND(E27&lt;&gt;Støtteark!$U$6,N27 = Støtteark!$L$25),N27 = Støtteark!$L$26,N27 = Støtteark!$L$28,AND(N27 = Støtteark!$L$29,O27=Støtteark!$B$34)),1,"")</f>
        <v/>
      </c>
      <c r="AM27" s="231" t="str">
        <f>IF(AND(N27 = Støtteark!$L$29,OR(O27=Støtteark!$B$30,O27=Støtteark!$B$32,O27=Støtteark!$B$33,O27=Støtteark!$B$34,O27=Støtteark!$B$35)),Støtteark!$L$32,"")</f>
        <v/>
      </c>
      <c r="AN27" s="235"/>
      <c r="AO27" s="91"/>
      <c r="AP27" s="170">
        <v>0</v>
      </c>
      <c r="AQ27" s="235"/>
      <c r="AR27" s="64">
        <f t="shared" ca="1" si="17"/>
        <v>44022</v>
      </c>
    </row>
    <row r="28" spans="1:44" hidden="1" x14ac:dyDescent="0.25">
      <c r="A28" s="224"/>
      <c r="B28" s="78"/>
      <c r="C28" s="78"/>
      <c r="D28" s="79"/>
      <c r="E28" s="79"/>
      <c r="F28" s="79"/>
      <c r="G28" s="78"/>
      <c r="H28" s="78"/>
      <c r="I28" s="237"/>
      <c r="J28" s="78"/>
      <c r="K28" s="78"/>
      <c r="L28" s="191"/>
      <c r="M28" s="160"/>
      <c r="N28" s="150"/>
      <c r="O28" s="80"/>
      <c r="P28" s="182"/>
      <c r="Q28" s="81"/>
      <c r="R28" s="237"/>
      <c r="S28" s="241"/>
      <c r="T28" s="241"/>
      <c r="U28" s="241"/>
      <c r="V28" s="241"/>
      <c r="W28" s="241"/>
      <c r="X28" s="241"/>
      <c r="Y28" s="241"/>
      <c r="Z28" s="237"/>
      <c r="AA28" s="241"/>
      <c r="AB28" s="241"/>
      <c r="AC28" s="241"/>
      <c r="AD28" s="241"/>
      <c r="AE28" s="241"/>
      <c r="AF28" s="241"/>
      <c r="AG28" s="241"/>
      <c r="AH28" s="241"/>
      <c r="AI28" s="241"/>
      <c r="AJ28" s="241"/>
      <c r="AK28" s="241"/>
      <c r="AL28" s="241"/>
      <c r="AM28" s="241"/>
      <c r="AN28" s="237"/>
      <c r="AO28" s="143"/>
      <c r="AP28" s="173"/>
      <c r="AQ28" s="237"/>
      <c r="AR28" s="144"/>
    </row>
    <row r="29" spans="1:44" ht="25.5" x14ac:dyDescent="0.25">
      <c r="A29" s="221" t="str">
        <f>A27</f>
        <v>Kundenr.-Ejendom</v>
      </c>
      <c r="B29" s="61" t="str">
        <f>Ydelser!A29&amp;" - "&amp;Ydelser!C29</f>
        <v>308 - Måleraflæsning</v>
      </c>
      <c r="C29" s="61" t="str">
        <f>Ydelser!D29</f>
        <v>Aflæsning af Ejendommens hoved- og evt. bimålere.
Evt. indberetning i MinEnergi portalen.</v>
      </c>
      <c r="D29" s="61" t="b">
        <f>'FS Aftale'!D29</f>
        <v>1</v>
      </c>
      <c r="E29" s="156" t="str">
        <f>'FS Aftale'!E29</f>
        <v>Månedligt</v>
      </c>
      <c r="F29" s="61" t="str">
        <f>F27</f>
        <v>Team Ansvarlig</v>
      </c>
      <c r="G29" s="61" t="str">
        <f>G27</f>
        <v>Ansvarlig</v>
      </c>
      <c r="H29" s="61" t="str">
        <f>H27</f>
        <v>Servicemedarb.</v>
      </c>
      <c r="I29" s="235"/>
      <c r="J29" s="61" t="str">
        <f>J27</f>
        <v>Fast</v>
      </c>
      <c r="K29" s="61" t="str">
        <f>K27</f>
        <v>FS aftale</v>
      </c>
      <c r="L29" s="188">
        <f>L27</f>
        <v>1</v>
      </c>
      <c r="M29" s="61" t="str">
        <f t="shared" ref="M29" si="24">M27</f>
        <v>Mangler planlægning</v>
      </c>
      <c r="N29" s="147" t="str">
        <f>IFERROR(VLOOKUP(O29,Støtteark!$B$21:$F$35,MATCH(E29,Støtteark!$B$21:$F$21,0),0),Støtteark!$L$35)</f>
        <v>Månedligt</v>
      </c>
      <c r="O29" s="62">
        <f>'FS Aftale'!F29</f>
        <v>12</v>
      </c>
      <c r="P29" s="179" t="str">
        <f>P27</f>
        <v>7:00</v>
      </c>
      <c r="Q29" s="63">
        <f>'FS Aftale'!G29*Støtteark!$Q$15</f>
        <v>30</v>
      </c>
      <c r="R29" s="235"/>
      <c r="S29" s="231" t="str">
        <f>IF(OR(AND(OR(N29 = Støtteark!$L$25,N29 = Støtteark!$L$26,N29 = Støtteark!$L$28),E29&lt;&gt;Støtteark!$U$6,OR(O29=Støtteark!$B$22,O29=Støtteark!$B$23,O29=Støtteark!$B$24,O29=Støtteark!$B$25,O29=Støtteark!$B$26,O29=Støtteark!$B$27,O29=Støtteark!$B$28)),AND(E29=Støtteark!$U$6,OR(O29=Støtteark!$B$24,O29=Støtteark!$B$27,O29=Støtteark!$B$29))),1,"")</f>
        <v/>
      </c>
      <c r="T29" s="232" t="str">
        <f>IF(OR(AND(N29 = Støtteark!$L$25,E29&lt;&gt;Støtteark!$U$6,O29=Støtteark!$B$22),AND(E29=Støtteark!$U$6,O29=Støtteark!$B$24),O29=Støtteark!$B$22),1,"")</f>
        <v/>
      </c>
      <c r="U29" s="232" t="str">
        <f>IF(OR(AND(N29 = Støtteark!$L$25,E29&lt;&gt;Støtteark!$U$6,OR(O29=Støtteark!$B$22,O29=Støtteark!$B$23,O29=Støtteark!$B$24)),AND(E29=Støtteark!$U$6,OR(O29=Støtteark!$B$22,O29=Støtteark!$B$24))),1,"")</f>
        <v/>
      </c>
      <c r="V29" s="232" t="str">
        <f>IF(OR(AND(N29 = Støtteark!$L$25,E29&lt;&gt;Støtteark!$U$6,O29=Støtteark!$B$22),AND(E29=Støtteark!$U$6,OR(O29=Støtteark!$B$22,O29=Støtteark!$B$24))),1,"")</f>
        <v/>
      </c>
      <c r="W29" s="232" t="str">
        <f>IF(OR(AND(N29 = Støtteark!$L$25,E29&lt;&gt;Støtteark!$U$6,OR(O29=Støtteark!$B$22,O29=Støtteark!$B$23,O29=Støtteark!$B$24,O29=Støtteark!$B$25)),AND(E29=Støtteark!$U$6,OR(O29=Støtteark!$B$22,O29=Støtteark!$B$24))),1,"")</f>
        <v/>
      </c>
      <c r="X29" s="231"/>
      <c r="Y29" s="231"/>
      <c r="Z29" s="235"/>
      <c r="AA29" s="231">
        <f>IF(OR(AND(E29&lt;&gt;Støtteark!$U$6,N29 = Støtteark!$L$25),N29 = Støtteark!$L$26,N29 = Støtteark!$L$28,AND(N29 = Støtteark!$L$29,E29&lt;&gt;Støtteark!$U$6,OR(O29=Støtteark!$B$30,O29=Støtteark!$B$32,O29=Støtteark!$B$33,AND(E29&lt;&gt;Støtteark!$U$6,O29=Støtteark!$B$34),O29=Støtteark!$B$35))),1,"")</f>
        <v>1</v>
      </c>
      <c r="AB29" s="231">
        <f>IF(OR(AND(E29&lt;&gt;Støtteark!$U$6,N29 = Støtteark!$L$25),N29 = Støtteark!$L$26,N29 = Støtteark!$L$28,AND(N29 = Støtteark!$L$29,O29=Støtteark!$B$34)),1,"")</f>
        <v>1</v>
      </c>
      <c r="AC29" s="231">
        <f>IF(OR(AND(E29&lt;&gt;Støtteark!$U$6,N29 = Støtteark!$L$25),N29 = Støtteark!$L$26,N29 = Støtteark!$L$28,AND(N29 = Støtteark!$L$29,E29&lt;&gt;Støtteark!$U$6,OR(O29=Støtteark!$B$30,O29 = Støtteark!$B$34))),1,"")</f>
        <v>1</v>
      </c>
      <c r="AD29" s="232">
        <f>IF(OR(N29 = Støtteark!$L$25,N29 = Støtteark!$L$26,N29 = Støtteark!$L$28,AND(N29 = Støtteark!$L$29,OR(O29=Støtteark!$B$34,O29=Støtteark!$B$35)),AND(E29=Støtteark!$U$6,OR(O29=Støtteark!$B$29,O29=Støtteark!$B$30,O29=Støtteark!$B$32,O29=Støtteark!$B$33))),1,"")</f>
        <v>1</v>
      </c>
      <c r="AE29" s="231">
        <f>IF(OR(N29 = Støtteark!$L$25,N29 = Støtteark!$L$26,N29 = Støtteark!$L$28,AND(N29 = Støtteark!$L$29,OR(O29=Støtteark!$B$34,O29 = Støtteark!$B$30)),AND(E29=Støtteark!$U$6,O29=Støtteark!$B$29)),1,"")</f>
        <v>1</v>
      </c>
      <c r="AF29" s="231">
        <f>IF(OR(N29 = Støtteark!$L$25,N29 = Støtteark!$L$26,N29 = Støtteark!$L$28,AND(N29 = Støtteark!$L$29,O29=Støtteark!$B$34),AND(E29=Støtteark!$U$6,O29=Støtteark!$B$30),AND(E29=Støtteark!$U$6,O29=Støtteark!$B$29)),1,"")</f>
        <v>1</v>
      </c>
      <c r="AG29" s="231">
        <f>IF(OR(N29 = Støtteark!$L$25,N29 = Støtteark!$L$26,N29 = Støtteark!$L$28,AND(N29 = Støtteark!$L$29,OR(O29=Støtteark!$B$30,O29 = Støtteark!$B$31,O29=Støtteark!$B$32,O29=Støtteark!$B$34)),AND(E29=Støtteark!$U$6,OR(O29=Støtteark!$B$29,O29=Støtteark!$B$31))),1,"")</f>
        <v>1</v>
      </c>
      <c r="AH29" s="231">
        <f>IF(OR(N29 = Støtteark!$L$25,N29 = Støtteark!$L$26,N29 = Støtteark!$L$28,AND(N29 = Støtteark!$L$29,O29=Støtteark!$B$34),AND(E29=Støtteark!$U$6,OR(O29=Støtteark!$B$29,O29=Støtteark!$B$30))),1,"")</f>
        <v>1</v>
      </c>
      <c r="AI29" s="231">
        <f>IF(OR(N29 = Støtteark!$L$25,N29 = Støtteark!$L$26,N29 = Støtteark!$L$28,AND(N29 = Støtteark!$L$29,OR(O29=Støtteark!$B$34,O29 = Støtteark!$B$30)),AND(E29=Støtteark!$U$6,OR(O29=Støtteark!$B$29,O29=Støtteark!$B$30))),1,"")</f>
        <v>1</v>
      </c>
      <c r="AJ29" s="231">
        <f>IF(OR(AND(E29&lt;&gt;Støtteark!$U$6,N29 = Støtteark!$L$25),N29 = Støtteark!$L$26,N29 = Støtteark!$L$28,AND(N29 = Støtteark!$L$29,OR(O29=Støtteark!$B$34,O29=Støtteark!$B$35),O29&lt;&gt;Støtteark!$B$30)),1,"")</f>
        <v>1</v>
      </c>
      <c r="AK29" s="231">
        <f>IF(OR(AND(E29&lt;&gt;Støtteark!$U$6,N29 = Støtteark!$L$25),N29 = Støtteark!$L$26,N29 = Støtteark!$L$28,AND(N29 = Støtteark!$L$29,E29&lt;&gt;Støtteark!$U$6,OR(O29=Støtteark!$B$34,O29 = Støtteark!$B$30))),1,"")</f>
        <v>1</v>
      </c>
      <c r="AL29" s="231">
        <f>IF(OR(AND(E29&lt;&gt;Støtteark!$U$6,N29 = Støtteark!$L$25),N29 = Støtteark!$L$26,N29 = Støtteark!$L$28,AND(N29 = Støtteark!$L$29,O29=Støtteark!$B$34)),1,"")</f>
        <v>1</v>
      </c>
      <c r="AM29" s="231">
        <f>IF(AND(N29 = Støtteark!$L$29,OR(O29=Støtteark!$B$30,O29=Støtteark!$B$32,O29=Støtteark!$B$33,O29=Støtteark!$B$34,O29=Støtteark!$B$35)),Støtteark!$L$32,"")</f>
        <v>801</v>
      </c>
      <c r="AN29" s="235"/>
      <c r="AO29" s="91"/>
      <c r="AP29" s="170">
        <v>0</v>
      </c>
      <c r="AQ29" s="235"/>
      <c r="AR29" s="64">
        <f ca="1">AR27</f>
        <v>44022</v>
      </c>
    </row>
    <row r="30" spans="1:44" ht="25.5" hidden="1" x14ac:dyDescent="0.25">
      <c r="A30" s="221" t="str">
        <f t="shared" ref="A30" si="25">A29</f>
        <v>Kundenr.-Ejendom</v>
      </c>
      <c r="B30" s="61" t="str">
        <f>Ydelser!A30&amp;" - "&amp;Ydelser!C30</f>
        <v>309 - Årsaflæsning</v>
      </c>
      <c r="C30" s="61" t="str">
        <f>Ydelser!D30</f>
        <v>Aflæsning af Ejendommens hoved- og evt. bimålere.
Indberetning til energiselskabet.</v>
      </c>
      <c r="D30" s="61">
        <f>'FS Aftale'!D30</f>
        <v>0</v>
      </c>
      <c r="E30" s="156" t="str">
        <f>'FS Aftale'!E30</f>
        <v>Indeholdt</v>
      </c>
      <c r="F30" s="61" t="str">
        <f t="shared" ref="F30:H30" si="26">F29</f>
        <v>Team Ansvarlig</v>
      </c>
      <c r="G30" s="61" t="str">
        <f t="shared" si="26"/>
        <v>Ansvarlig</v>
      </c>
      <c r="H30" s="61" t="str">
        <f t="shared" si="26"/>
        <v>Servicemedarb.</v>
      </c>
      <c r="I30" s="235"/>
      <c r="J30" s="61" t="str">
        <f t="shared" ref="J30:M30" si="27">J29</f>
        <v>Fast</v>
      </c>
      <c r="K30" s="61" t="str">
        <f t="shared" si="27"/>
        <v>FS aftale</v>
      </c>
      <c r="L30" s="188">
        <f t="shared" si="27"/>
        <v>1</v>
      </c>
      <c r="M30" s="157" t="str">
        <f t="shared" si="27"/>
        <v>Mangler planlægning</v>
      </c>
      <c r="N30" s="147" t="str">
        <f>IFERROR(VLOOKUP(O30,Støtteark!$B$21:$F$35,MATCH(E30,Støtteark!$B$21:$F$21,0),0),Støtteark!$L$35)</f>
        <v>Vælg en anden kombination</v>
      </c>
      <c r="O30" s="62">
        <f>'FS Aftale'!F30</f>
        <v>1</v>
      </c>
      <c r="P30" s="179" t="str">
        <f t="shared" ref="P30" si="28">P29</f>
        <v>7:00</v>
      </c>
      <c r="Q30" s="63">
        <f>'FS Aftale'!G30*Støtteark!$Q$15</f>
        <v>30</v>
      </c>
      <c r="R30" s="235"/>
      <c r="S30" s="231" t="str">
        <f>IF(OR(AND(OR(N30 = Støtteark!$L$25,N30 = Støtteark!$L$26,N30 = Støtteark!$L$28),E30&lt;&gt;Støtteark!$U$6,OR(O30=Støtteark!$B$22,O30=Støtteark!$B$23,O30=Støtteark!$B$24,O30=Støtteark!$B$25,O30=Støtteark!$B$26,O30=Støtteark!$B$27,O30=Støtteark!$B$28)),AND(E30=Støtteark!$U$6,OR(O30=Støtteark!$B$24,O30=Støtteark!$B$27,O30=Støtteark!$B$29))),1,"")</f>
        <v/>
      </c>
      <c r="T30" s="232" t="str">
        <f>IF(OR(AND(N30 = Støtteark!$L$25,E30&lt;&gt;Støtteark!$U$6,O30=Støtteark!$B$22),AND(E30=Støtteark!$U$6,O30=Støtteark!$B$24),O30=Støtteark!$B$22),1,"")</f>
        <v/>
      </c>
      <c r="U30" s="232" t="str">
        <f>IF(OR(AND(N30 = Støtteark!$L$25,E30&lt;&gt;Støtteark!$U$6,OR(O30=Støtteark!$B$22,O30=Støtteark!$B$23,O30=Støtteark!$B$24)),AND(E30=Støtteark!$U$6,OR(O30=Støtteark!$B$22,O30=Støtteark!$B$24))),1,"")</f>
        <v/>
      </c>
      <c r="V30" s="232" t="str">
        <f>IF(OR(AND(N30 = Støtteark!$L$25,E30&lt;&gt;Støtteark!$U$6,O30=Støtteark!$B$22),AND(E30=Støtteark!$U$6,OR(O30=Støtteark!$B$22,O30=Støtteark!$B$24))),1,"")</f>
        <v/>
      </c>
      <c r="W30" s="232" t="str">
        <f>IF(OR(AND(N30 = Støtteark!$L$25,E30&lt;&gt;Støtteark!$U$6,OR(O30=Støtteark!$B$22,O30=Støtteark!$B$23,O30=Støtteark!$B$24,O30=Støtteark!$B$25)),AND(E30=Støtteark!$U$6,OR(O30=Støtteark!$B$22,O30=Støtteark!$B$24))),1,"")</f>
        <v/>
      </c>
      <c r="X30" s="231"/>
      <c r="Y30" s="231"/>
      <c r="Z30" s="235"/>
      <c r="AA30" s="231" t="str">
        <f>IF(OR(AND(E30&lt;&gt;Støtteark!$U$6,N30 = Støtteark!$L$25),N30 = Støtteark!$L$26,N30 = Støtteark!$L$28,AND(N30 = Støtteark!$L$29,E30&lt;&gt;Støtteark!$U$6,OR(O30=Støtteark!$B$30,O30=Støtteark!$B$32,O30=Støtteark!$B$33,AND(E30&lt;&gt;Støtteark!$U$6,O30=Støtteark!$B$34),O30=Støtteark!$B$35))),1,"")</f>
        <v/>
      </c>
      <c r="AB30" s="231" t="str">
        <f>IF(OR(AND(E30&lt;&gt;Støtteark!$U$6,N30 = Støtteark!$L$25),N30 = Støtteark!$L$26,N30 = Støtteark!$L$28,AND(N30 = Støtteark!$L$29,O30=Støtteark!$B$34)),1,"")</f>
        <v/>
      </c>
      <c r="AC30" s="231" t="str">
        <f>IF(OR(AND(E30&lt;&gt;Støtteark!$U$6,N30 = Støtteark!$L$25),N30 = Støtteark!$L$26,N30 = Støtteark!$L$28,AND(N30 = Støtteark!$L$29,E30&lt;&gt;Støtteark!$U$6,OR(O30=Støtteark!$B$30,O30 = Støtteark!$B$34))),1,"")</f>
        <v/>
      </c>
      <c r="AD30" s="232" t="str">
        <f>IF(OR(N30 = Støtteark!$L$25,N30 = Støtteark!$L$26,N30 = Støtteark!$L$28,AND(N30 = Støtteark!$L$29,OR(O30=Støtteark!$B$34,O30=Støtteark!$B$35)),AND(E30=Støtteark!$U$6,OR(O30=Støtteark!$B$29,O30=Støtteark!$B$30,O30=Støtteark!$B$32,O30=Støtteark!$B$33))),1,"")</f>
        <v/>
      </c>
      <c r="AE30" s="231" t="str">
        <f>IF(OR(N30 = Støtteark!$L$25,N30 = Støtteark!$L$26,N30 = Støtteark!$L$28,AND(N30 = Støtteark!$L$29,OR(O30=Støtteark!$B$34,O30 = Støtteark!$B$30)),AND(E30=Støtteark!$U$6,O30=Støtteark!$B$29)),1,"")</f>
        <v/>
      </c>
      <c r="AF30" s="231" t="str">
        <f>IF(OR(N30 = Støtteark!$L$25,N30 = Støtteark!$L$26,N30 = Støtteark!$L$28,AND(N30 = Støtteark!$L$29,O30=Støtteark!$B$34),AND(E30=Støtteark!$U$6,O30=Støtteark!$B$30),AND(E30=Støtteark!$U$6,O30=Støtteark!$B$29)),1,"")</f>
        <v/>
      </c>
      <c r="AG30" s="231" t="str">
        <f>IF(OR(N30 = Støtteark!$L$25,N30 = Støtteark!$L$26,N30 = Støtteark!$L$28,AND(N30 = Støtteark!$L$29,OR(O30=Støtteark!$B$30,O30 = Støtteark!$B$31,O30=Støtteark!$B$32,O30=Støtteark!$B$34)),AND(E30=Støtteark!$U$6,OR(O30=Støtteark!$B$29,O30=Støtteark!$B$31))),1,"")</f>
        <v/>
      </c>
      <c r="AH30" s="231" t="str">
        <f>IF(OR(N30 = Støtteark!$L$25,N30 = Støtteark!$L$26,N30 = Støtteark!$L$28,AND(N30 = Støtteark!$L$29,O30=Støtteark!$B$34),AND(E30=Støtteark!$U$6,OR(O30=Støtteark!$B$29,O30=Støtteark!$B$30))),1,"")</f>
        <v/>
      </c>
      <c r="AI30" s="231" t="str">
        <f>IF(OR(N30 = Støtteark!$L$25,N30 = Støtteark!$L$26,N30 = Støtteark!$L$28,AND(N30 = Støtteark!$L$29,OR(O30=Støtteark!$B$34,O30 = Støtteark!$B$30)),AND(E30=Støtteark!$U$6,OR(O30=Støtteark!$B$29,O30=Støtteark!$B$30))),1,"")</f>
        <v/>
      </c>
      <c r="AJ30" s="231" t="str">
        <f>IF(OR(AND(E30&lt;&gt;Støtteark!$U$6,N30 = Støtteark!$L$25),N30 = Støtteark!$L$26,N30 = Støtteark!$L$28,AND(N30 = Støtteark!$L$29,OR(O30=Støtteark!$B$34,O30=Støtteark!$B$35),O30&lt;&gt;Støtteark!$B$30)),1,"")</f>
        <v/>
      </c>
      <c r="AK30" s="231" t="str">
        <f>IF(OR(AND(E30&lt;&gt;Støtteark!$U$6,N30 = Støtteark!$L$25),N30 = Støtteark!$L$26,N30 = Støtteark!$L$28,AND(N30 = Støtteark!$L$29,E30&lt;&gt;Støtteark!$U$6,OR(O30=Støtteark!$B$34,O30 = Støtteark!$B$30))),1,"")</f>
        <v/>
      </c>
      <c r="AL30" s="231" t="str">
        <f>IF(OR(AND(E30&lt;&gt;Støtteark!$U$6,N30 = Støtteark!$L$25),N30 = Støtteark!$L$26,N30 = Støtteark!$L$28,AND(N30 = Støtteark!$L$29,O30=Støtteark!$B$34)),1,"")</f>
        <v/>
      </c>
      <c r="AM30" s="231" t="str">
        <f>IF(AND(N30 = Støtteark!$L$29,OR(O30=Støtteark!$B$30,O30=Støtteark!$B$32,O30=Støtteark!$B$33,O30=Støtteark!$B$34,O30=Støtteark!$B$35)),Støtteark!$L$32,"")</f>
        <v/>
      </c>
      <c r="AN30" s="235"/>
      <c r="AO30" s="91"/>
      <c r="AP30" s="170">
        <v>0</v>
      </c>
      <c r="AQ30" s="235"/>
      <c r="AR30" s="64">
        <f t="shared" ref="AR30" ca="1" si="29">AR29</f>
        <v>44022</v>
      </c>
    </row>
    <row r="31" spans="1:44" hidden="1" x14ac:dyDescent="0.25">
      <c r="A31" s="224"/>
      <c r="B31" s="78"/>
      <c r="C31" s="78"/>
      <c r="D31" s="79"/>
      <c r="E31" s="79"/>
      <c r="F31" s="79"/>
      <c r="G31" s="78"/>
      <c r="H31" s="78"/>
      <c r="I31" s="237"/>
      <c r="J31" s="78"/>
      <c r="K31" s="78"/>
      <c r="L31" s="191"/>
      <c r="M31" s="160"/>
      <c r="N31" s="150"/>
      <c r="O31" s="80"/>
      <c r="P31" s="182"/>
      <c r="Q31" s="81"/>
      <c r="R31" s="237"/>
      <c r="S31" s="241"/>
      <c r="T31" s="241"/>
      <c r="U31" s="241"/>
      <c r="V31" s="241"/>
      <c r="W31" s="241"/>
      <c r="X31" s="241"/>
      <c r="Y31" s="241"/>
      <c r="Z31" s="237"/>
      <c r="AA31" s="241"/>
      <c r="AB31" s="241"/>
      <c r="AC31" s="241"/>
      <c r="AD31" s="241"/>
      <c r="AE31" s="241"/>
      <c r="AF31" s="241"/>
      <c r="AG31" s="241"/>
      <c r="AH31" s="241"/>
      <c r="AI31" s="241"/>
      <c r="AJ31" s="241"/>
      <c r="AK31" s="241"/>
      <c r="AL31" s="241"/>
      <c r="AM31" s="241"/>
      <c r="AN31" s="237"/>
      <c r="AO31" s="143"/>
      <c r="AP31" s="173"/>
      <c r="AQ31" s="237"/>
      <c r="AR31" s="144"/>
    </row>
    <row r="32" spans="1:44" ht="25.5" hidden="1" x14ac:dyDescent="0.25">
      <c r="A32" s="221" t="str">
        <f>A30</f>
        <v>Kundenr.-Ejendom</v>
      </c>
      <c r="B32" s="61" t="str">
        <f>Ydelser!A32&amp;" - "&amp;Ydelser!C32</f>
        <v>311 - CTS - vagtordning</v>
      </c>
      <c r="C32" s="61" t="str">
        <f>Ydelser!D32</f>
        <v>Overvågning af anlæg uden for normal arbejdstid via fjernstyring af CTS-programmet inkl. fejlretninger, der kan klares på distancen.
24x7 afstilling af alarmer eller videresendelse af disse til håndtering.</v>
      </c>
      <c r="D32" s="61" t="b">
        <f>'FS Aftale'!D32</f>
        <v>1</v>
      </c>
      <c r="E32" s="156" t="str">
        <f>'FS Aftale'!E32</f>
        <v>Indeholdt</v>
      </c>
      <c r="F32" s="61" t="str">
        <f>F30</f>
        <v>Team Ansvarlig</v>
      </c>
      <c r="G32" s="61" t="str">
        <f t="shared" ref="G32:M32" si="30">G30</f>
        <v>Ansvarlig</v>
      </c>
      <c r="H32" s="61" t="str">
        <f t="shared" si="30"/>
        <v>Servicemedarb.</v>
      </c>
      <c r="I32" s="235"/>
      <c r="J32" s="61" t="str">
        <f t="shared" ref="J32:K32" si="31">J30</f>
        <v>Fast</v>
      </c>
      <c r="K32" s="61" t="str">
        <f t="shared" si="31"/>
        <v>FS aftale</v>
      </c>
      <c r="L32" s="188">
        <f t="shared" si="30"/>
        <v>1</v>
      </c>
      <c r="M32" s="157" t="str">
        <f t="shared" si="30"/>
        <v>Mangler planlægning</v>
      </c>
      <c r="N32" s="147" t="str">
        <f>IFERROR(VLOOKUP(O32,Støtteark!$B$21:$F$35,MATCH(E32,Støtteark!$B$21:$F$21,0),0),Støtteark!$L$35)</f>
        <v>Vælg en anden kombination</v>
      </c>
      <c r="O32" s="62">
        <f>'FS Aftale'!F32</f>
        <v>12</v>
      </c>
      <c r="P32" s="179" t="str">
        <f>P30</f>
        <v>7:00</v>
      </c>
      <c r="Q32" s="63">
        <f>'FS Aftale'!G32*Støtteark!$Q$15</f>
        <v>60</v>
      </c>
      <c r="R32" s="235"/>
      <c r="S32" s="231" t="str">
        <f>IF(OR(AND(OR(N32 = Støtteark!$L$25,N32 = Støtteark!$L$26,N32 = Støtteark!$L$28),E32&lt;&gt;Støtteark!$U$6,OR(O32=Støtteark!$B$22,O32=Støtteark!$B$23,O32=Støtteark!$B$24,O32=Støtteark!$B$25,O32=Støtteark!$B$26,O32=Støtteark!$B$27,O32=Støtteark!$B$28)),AND(E32=Støtteark!$U$6,OR(O32=Støtteark!$B$24,O32=Støtteark!$B$27,O32=Støtteark!$B$29))),1,"")</f>
        <v/>
      </c>
      <c r="T32" s="232" t="str">
        <f>IF(OR(AND(N32 = Støtteark!$L$25,E32&lt;&gt;Støtteark!$U$6,O32=Støtteark!$B$22),AND(E32=Støtteark!$U$6,O32=Støtteark!$B$24),O32=Støtteark!$B$22),1,"")</f>
        <v/>
      </c>
      <c r="U32" s="232" t="str">
        <f>IF(OR(AND(N32 = Støtteark!$L$25,E32&lt;&gt;Støtteark!$U$6,OR(O32=Støtteark!$B$22,O32=Støtteark!$B$23,O32=Støtteark!$B$24)),AND(E32=Støtteark!$U$6,OR(O32=Støtteark!$B$22,O32=Støtteark!$B$24))),1,"")</f>
        <v/>
      </c>
      <c r="V32" s="232" t="str">
        <f>IF(OR(AND(N32 = Støtteark!$L$25,E32&lt;&gt;Støtteark!$U$6,O32=Støtteark!$B$22),AND(E32=Støtteark!$U$6,OR(O32=Støtteark!$B$22,O32=Støtteark!$B$24))),1,"")</f>
        <v/>
      </c>
      <c r="W32" s="232" t="str">
        <f>IF(OR(AND(N32 = Støtteark!$L$25,E32&lt;&gt;Støtteark!$U$6,OR(O32=Støtteark!$B$22,O32=Støtteark!$B$23,O32=Støtteark!$B$24,O32=Støtteark!$B$25)),AND(E32=Støtteark!$U$6,OR(O32=Støtteark!$B$22,O32=Støtteark!$B$24))),1,"")</f>
        <v/>
      </c>
      <c r="X32" s="231"/>
      <c r="Y32" s="231"/>
      <c r="Z32" s="235"/>
      <c r="AA32" s="231" t="str">
        <f>IF(OR(AND(E32&lt;&gt;Støtteark!$U$6,N32 = Støtteark!$L$25),N32 = Støtteark!$L$26,N32 = Støtteark!$L$28,AND(N32 = Støtteark!$L$29,E32&lt;&gt;Støtteark!$U$6,OR(O32=Støtteark!$B$30,O32=Støtteark!$B$32,O32=Støtteark!$B$33,AND(E32&lt;&gt;Støtteark!$U$6,O32=Støtteark!$B$34),O32=Støtteark!$B$35))),1,"")</f>
        <v/>
      </c>
      <c r="AB32" s="231" t="str">
        <f>IF(OR(AND(E32&lt;&gt;Støtteark!$U$6,N32 = Støtteark!$L$25),N32 = Støtteark!$L$26,N32 = Støtteark!$L$28,AND(N32 = Støtteark!$L$29,O32=Støtteark!$B$34)),1,"")</f>
        <v/>
      </c>
      <c r="AC32" s="231" t="str">
        <f>IF(OR(AND(E32&lt;&gt;Støtteark!$U$6,N32 = Støtteark!$L$25),N32 = Støtteark!$L$26,N32 = Støtteark!$L$28,AND(N32 = Støtteark!$L$29,E32&lt;&gt;Støtteark!$U$6,OR(O32=Støtteark!$B$30,O32 = Støtteark!$B$34))),1,"")</f>
        <v/>
      </c>
      <c r="AD32" s="232" t="str">
        <f>IF(OR(N32 = Støtteark!$L$25,N32 = Støtteark!$L$26,N32 = Støtteark!$L$28,AND(N32 = Støtteark!$L$29,OR(O32=Støtteark!$B$34,O32=Støtteark!$B$35)),AND(E32=Støtteark!$U$6,OR(O32=Støtteark!$B$29,O32=Støtteark!$B$30,O32=Støtteark!$B$32,O32=Støtteark!$B$33))),1,"")</f>
        <v/>
      </c>
      <c r="AE32" s="231" t="str">
        <f>IF(OR(N32 = Støtteark!$L$25,N32 = Støtteark!$L$26,N32 = Støtteark!$L$28,AND(N32 = Støtteark!$L$29,OR(O32=Støtteark!$B$34,O32 = Støtteark!$B$30)),AND(E32=Støtteark!$U$6,O32=Støtteark!$B$29)),1,"")</f>
        <v/>
      </c>
      <c r="AF32" s="231" t="str">
        <f>IF(OR(N32 = Støtteark!$L$25,N32 = Støtteark!$L$26,N32 = Støtteark!$L$28,AND(N32 = Støtteark!$L$29,O32=Støtteark!$B$34),AND(E32=Støtteark!$U$6,O32=Støtteark!$B$30),AND(E32=Støtteark!$U$6,O32=Støtteark!$B$29)),1,"")</f>
        <v/>
      </c>
      <c r="AG32" s="231" t="str">
        <f>IF(OR(N32 = Støtteark!$L$25,N32 = Støtteark!$L$26,N32 = Støtteark!$L$28,AND(N32 = Støtteark!$L$29,OR(O32=Støtteark!$B$30,O32 = Støtteark!$B$31,O32=Støtteark!$B$32,O32=Støtteark!$B$34)),AND(E32=Støtteark!$U$6,OR(O32=Støtteark!$B$29,O32=Støtteark!$B$31))),1,"")</f>
        <v/>
      </c>
      <c r="AH32" s="231" t="str">
        <f>IF(OR(N32 = Støtteark!$L$25,N32 = Støtteark!$L$26,N32 = Støtteark!$L$28,AND(N32 = Støtteark!$L$29,O32=Støtteark!$B$34),AND(E32=Støtteark!$U$6,OR(O32=Støtteark!$B$29,O32=Støtteark!$B$30))),1,"")</f>
        <v/>
      </c>
      <c r="AI32" s="231" t="str">
        <f>IF(OR(N32 = Støtteark!$L$25,N32 = Støtteark!$L$26,N32 = Støtteark!$L$28,AND(N32 = Støtteark!$L$29,OR(O32=Støtteark!$B$34,O32 = Støtteark!$B$30)),AND(E32=Støtteark!$U$6,OR(O32=Støtteark!$B$29,O32=Støtteark!$B$30))),1,"")</f>
        <v/>
      </c>
      <c r="AJ32" s="231" t="str">
        <f>IF(OR(AND(E32&lt;&gt;Støtteark!$U$6,N32 = Støtteark!$L$25),N32 = Støtteark!$L$26,N32 = Støtteark!$L$28,AND(N32 = Støtteark!$L$29,OR(O32=Støtteark!$B$34,O32=Støtteark!$B$35),O32&lt;&gt;Støtteark!$B$30)),1,"")</f>
        <v/>
      </c>
      <c r="AK32" s="231" t="str">
        <f>IF(OR(AND(E32&lt;&gt;Støtteark!$U$6,N32 = Støtteark!$L$25),N32 = Støtteark!$L$26,N32 = Støtteark!$L$28,AND(N32 = Støtteark!$L$29,E32&lt;&gt;Støtteark!$U$6,OR(O32=Støtteark!$B$34,O32 = Støtteark!$B$30))),1,"")</f>
        <v/>
      </c>
      <c r="AL32" s="231" t="str">
        <f>IF(OR(AND(E32&lt;&gt;Støtteark!$U$6,N32 = Støtteark!$L$25),N32 = Støtteark!$L$26,N32 = Støtteark!$L$28,AND(N32 = Støtteark!$L$29,O32=Støtteark!$B$34)),1,"")</f>
        <v/>
      </c>
      <c r="AM32" s="231" t="str">
        <f>IF(AND(N32 = Støtteark!$L$29,OR(O32=Støtteark!$B$30,O32=Støtteark!$B$32,O32=Støtteark!$B$33,O32=Støtteark!$B$34,O32=Støtteark!$B$35)),Støtteark!$L$32,"")</f>
        <v/>
      </c>
      <c r="AN32" s="235"/>
      <c r="AO32" s="91"/>
      <c r="AP32" s="170">
        <v>0</v>
      </c>
      <c r="AQ32" s="235"/>
      <c r="AR32" s="64">
        <f ca="1">AR30</f>
        <v>44022</v>
      </c>
    </row>
    <row r="33" spans="1:44" ht="38.25" hidden="1" x14ac:dyDescent="0.25">
      <c r="A33" s="221" t="str">
        <f t="shared" ref="A33:A46" si="32">A32</f>
        <v>Kundenr.-Ejendom</v>
      </c>
      <c r="B33" s="61" t="s">
        <v>425</v>
      </c>
      <c r="C33" s="61" t="s">
        <v>426</v>
      </c>
      <c r="D33" s="248" t="b">
        <f>'FS Aftale'!D33</f>
        <v>1</v>
      </c>
      <c r="E33" s="156" t="str">
        <f>'FS Aftale'!E33</f>
        <v>Indeholdt</v>
      </c>
      <c r="F33" s="61" t="str">
        <f t="shared" ref="F33:H46" si="33">F32</f>
        <v>Team Ansvarlig</v>
      </c>
      <c r="G33" s="61" t="str">
        <f t="shared" si="33"/>
        <v>Ansvarlig</v>
      </c>
      <c r="H33" s="61" t="str">
        <f t="shared" si="33"/>
        <v>Servicemedarb.</v>
      </c>
      <c r="I33" s="235"/>
      <c r="J33" s="61" t="str">
        <f t="shared" ref="J33:M46" si="34">J32</f>
        <v>Fast</v>
      </c>
      <c r="K33" s="61" t="str">
        <f t="shared" si="34"/>
        <v>FS aftale</v>
      </c>
      <c r="L33" s="188">
        <f t="shared" si="34"/>
        <v>1</v>
      </c>
      <c r="M33" s="157" t="str">
        <f t="shared" si="34"/>
        <v>Mangler planlægning</v>
      </c>
      <c r="N33" s="147" t="s">
        <v>330</v>
      </c>
      <c r="O33" s="62">
        <v>250</v>
      </c>
      <c r="P33" s="179" t="str">
        <f t="shared" ref="P33:P46" si="35">P32</f>
        <v>7:00</v>
      </c>
      <c r="Q33" s="63">
        <v>75</v>
      </c>
      <c r="R33" s="235"/>
      <c r="S33" s="231" t="str">
        <f>IF(OR(AND(OR(N33 = Støtteark!$L$25,N33 = Støtteark!$L$26,N33 = Støtteark!$L$28),E33&lt;&gt;Støtteark!$U$6,OR(O33=Støtteark!$B$22,O33=Støtteark!$B$23,O33=Støtteark!$B$24,O33=Støtteark!$B$25,O33=Støtteark!$B$26,O33=Støtteark!$B$27,O33=Støtteark!$B$28)),AND(E33=Støtteark!$U$6,OR(O33=Støtteark!$B$24,O33=Støtteark!$B$27,O33=Støtteark!$B$29))),1,"")</f>
        <v/>
      </c>
      <c r="T33" s="232">
        <f>IF(OR(AND(N33 = Støtteark!$L$25,E33&lt;&gt;Støtteark!$U$6,O33=Støtteark!$B$22),AND(E33=Støtteark!$U$6,O33=Støtteark!$B$24),O33=Støtteark!$B$22),1,"")</f>
        <v>1</v>
      </c>
      <c r="U33" s="232" t="str">
        <f>IF(OR(AND(N33 = Støtteark!$L$25,E33&lt;&gt;Støtteark!$U$6,OR(O33=Støtteark!$B$22,O33=Støtteark!$B$23,O33=Støtteark!$B$24)),AND(E33=Støtteark!$U$6,OR(O33=Støtteark!$B$22,O33=Støtteark!$B$24))),1,"")</f>
        <v/>
      </c>
      <c r="V33" s="232" t="str">
        <f>IF(OR(AND(N33 = Støtteark!$L$25,E33&lt;&gt;Støtteark!$U$6,O33=Støtteark!$B$22),AND(E33=Støtteark!$U$6,OR(O33=Støtteark!$B$22,O33=Støtteark!$B$24))),1,"")</f>
        <v/>
      </c>
      <c r="W33" s="232" t="str">
        <f>IF(OR(AND(N33 = Støtteark!$L$25,E33&lt;&gt;Støtteark!$U$6,OR(O33=Støtteark!$B$22,O33=Støtteark!$B$23,O33=Støtteark!$B$24,O33=Støtteark!$B$25)),AND(E33=Støtteark!$U$6,OR(O33=Støtteark!$B$22,O33=Støtteark!$B$24))),1,"")</f>
        <v/>
      </c>
      <c r="X33" s="231"/>
      <c r="Y33" s="231"/>
      <c r="Z33" s="235"/>
      <c r="AA33" s="231" t="str">
        <f>IF(OR(AND(E33&lt;&gt;Støtteark!$U$6,N33 = Støtteark!$L$25),N33 = Støtteark!$L$26,N33 = Støtteark!$L$28,AND(N33 = Støtteark!$L$29,E33&lt;&gt;Støtteark!$U$6,OR(O33=Støtteark!$B$30,O33=Støtteark!$B$32,O33=Støtteark!$B$33,AND(E33&lt;&gt;Støtteark!$U$6,O33=Støtteark!$B$34),O33=Støtteark!$B$35))),1,"")</f>
        <v/>
      </c>
      <c r="AB33" s="231" t="str">
        <f>IF(OR(AND(E33&lt;&gt;Støtteark!$U$6,N33 = Støtteark!$L$25),N33 = Støtteark!$L$26,N33 = Støtteark!$L$28,AND(N33 = Støtteark!$L$29,O33=Støtteark!$B$34)),1,"")</f>
        <v/>
      </c>
      <c r="AC33" s="231" t="str">
        <f>IF(OR(AND(E33&lt;&gt;Støtteark!$U$6,N33 = Støtteark!$L$25),N33 = Støtteark!$L$26,N33 = Støtteark!$L$28,AND(N33 = Støtteark!$L$29,E33&lt;&gt;Støtteark!$U$6,OR(O33=Støtteark!$B$30,O33 = Støtteark!$B$34))),1,"")</f>
        <v/>
      </c>
      <c r="AD33" s="232" t="str">
        <f>IF(OR(N33 = Støtteark!$L$25,N33 = Støtteark!$L$26,N33 = Støtteark!$L$28,AND(N33 = Støtteark!$L$29,OR(O33=Støtteark!$B$34,O33=Støtteark!$B$35)),AND(E33=Støtteark!$U$6,OR(O33=Støtteark!$B$29,O33=Støtteark!$B$30,O33=Støtteark!$B$32,O33=Støtteark!$B$33))),1,"")</f>
        <v/>
      </c>
      <c r="AE33" s="231" t="str">
        <f>IF(OR(N33 = Støtteark!$L$25,N33 = Støtteark!$L$26,N33 = Støtteark!$L$28,AND(N33 = Støtteark!$L$29,OR(O33=Støtteark!$B$34,O33 = Støtteark!$B$30)),AND(E33=Støtteark!$U$6,O33=Støtteark!$B$29)),1,"")</f>
        <v/>
      </c>
      <c r="AF33" s="231" t="str">
        <f>IF(OR(N33 = Støtteark!$L$25,N33 = Støtteark!$L$26,N33 = Støtteark!$L$28,AND(N33 = Støtteark!$L$29,O33=Støtteark!$B$34),AND(E33=Støtteark!$U$6,O33=Støtteark!$B$30),AND(E33=Støtteark!$U$6,O33=Støtteark!$B$29)),1,"")</f>
        <v/>
      </c>
      <c r="AG33" s="231" t="str">
        <f>IF(OR(N33 = Støtteark!$L$25,N33 = Støtteark!$L$26,N33 = Støtteark!$L$28,AND(N33 = Støtteark!$L$29,OR(O33=Støtteark!$B$30,O33 = Støtteark!$B$31,O33=Støtteark!$B$32,O33=Støtteark!$B$34)),AND(E33=Støtteark!$U$6,OR(O33=Støtteark!$B$29,O33=Støtteark!$B$31))),1,"")</f>
        <v/>
      </c>
      <c r="AH33" s="231" t="str">
        <f>IF(OR(N33 = Støtteark!$L$25,N33 = Støtteark!$L$26,N33 = Støtteark!$L$28,AND(N33 = Støtteark!$L$29,O33=Støtteark!$B$34),AND(E33=Støtteark!$U$6,OR(O33=Støtteark!$B$29,O33=Støtteark!$B$30))),1,"")</f>
        <v/>
      </c>
      <c r="AI33" s="231" t="str">
        <f>IF(OR(N33 = Støtteark!$L$25,N33 = Støtteark!$L$26,N33 = Støtteark!$L$28,AND(N33 = Støtteark!$L$29,OR(O33=Støtteark!$B$34,O33 = Støtteark!$B$30)),AND(E33=Støtteark!$U$6,OR(O33=Støtteark!$B$29,O33=Støtteark!$B$30))),1,"")</f>
        <v/>
      </c>
      <c r="AJ33" s="231" t="str">
        <f>IF(OR(AND(E33&lt;&gt;Støtteark!$U$6,N33 = Støtteark!$L$25),N33 = Støtteark!$L$26,N33 = Støtteark!$L$28,AND(N33 = Støtteark!$L$29,OR(O33=Støtteark!$B$34,O33=Støtteark!$B$35),O33&lt;&gt;Støtteark!$B$30)),1,"")</f>
        <v/>
      </c>
      <c r="AK33" s="231" t="str">
        <f>IF(OR(AND(E33&lt;&gt;Støtteark!$U$6,N33 = Støtteark!$L$25),N33 = Støtteark!$L$26,N33 = Støtteark!$L$28,AND(N33 = Støtteark!$L$29,E33&lt;&gt;Støtteark!$U$6,OR(O33=Støtteark!$B$34,O33 = Støtteark!$B$30))),1,"")</f>
        <v/>
      </c>
      <c r="AL33" s="231" t="str">
        <f>IF(OR(AND(E33&lt;&gt;Støtteark!$U$6,N33 = Støtteark!$L$25),N33 = Støtteark!$L$26,N33 = Støtteark!$L$28,AND(N33 = Støtteark!$L$29,O33=Støtteark!$B$34)),1,"")</f>
        <v/>
      </c>
      <c r="AM33" s="231" t="str">
        <f>IF(AND(N33 = Støtteark!$L$29,OR(O33=Støtteark!$B$30,O33=Støtteark!$B$32,O33=Støtteark!$B$33,O33=Støtteark!$B$34,O33=Støtteark!$B$35)),Støtteark!$L$32,"")</f>
        <v/>
      </c>
      <c r="AN33" s="235"/>
      <c r="AO33" s="91"/>
      <c r="AP33" s="170">
        <v>0</v>
      </c>
      <c r="AQ33" s="235"/>
      <c r="AR33" s="64">
        <f t="shared" ref="AR33:AR46" ca="1" si="36">AR32</f>
        <v>44022</v>
      </c>
    </row>
    <row r="34" spans="1:44" ht="25.5" hidden="1" x14ac:dyDescent="0.25">
      <c r="A34" s="221" t="str">
        <f t="shared" si="32"/>
        <v>Kundenr.-Ejendom</v>
      </c>
      <c r="B34" s="61" t="str">
        <f>Ydelser!A34&amp; " - " &amp;Ydelser!C34</f>
        <v>313 - Tilsyn med ventiler, pumper og varmeanlæg</v>
      </c>
      <c r="C34" s="61" t="str">
        <f>Ydelser!D34</f>
        <v>Umiddelbar, visuel kontrol af installationer og anlæg, evt. lækager eller andre synlige defekter.</v>
      </c>
      <c r="D34" s="248" t="b">
        <v>0</v>
      </c>
      <c r="E34" s="156" t="str">
        <f>'FS Aftale'!E34</f>
        <v>Ugentligt</v>
      </c>
      <c r="F34" s="61" t="str">
        <f t="shared" si="33"/>
        <v>Team Ansvarlig</v>
      </c>
      <c r="G34" s="61" t="str">
        <f t="shared" si="33"/>
        <v>Ansvarlig</v>
      </c>
      <c r="H34" s="61" t="str">
        <f t="shared" si="33"/>
        <v>Servicemedarb.</v>
      </c>
      <c r="I34" s="235"/>
      <c r="J34" s="61" t="str">
        <f t="shared" si="34"/>
        <v>Fast</v>
      </c>
      <c r="K34" s="61" t="str">
        <f t="shared" si="34"/>
        <v>FS aftale</v>
      </c>
      <c r="L34" s="188">
        <f t="shared" si="34"/>
        <v>1</v>
      </c>
      <c r="M34" s="157" t="str">
        <f t="shared" si="34"/>
        <v>Mangler planlægning</v>
      </c>
      <c r="N34" s="147" t="str">
        <f>IFERROR(VLOOKUP(O34,Støtteark!$B$21:$F$35,MATCH(E34,Støtteark!$B$21:$F$21,0),0),Støtteark!$L$35)</f>
        <v>Ugentligt</v>
      </c>
      <c r="O34" s="62">
        <f>'FS Aftale'!F34</f>
        <v>52</v>
      </c>
      <c r="P34" s="179" t="str">
        <f t="shared" si="35"/>
        <v>7:00</v>
      </c>
      <c r="Q34" s="63">
        <f>'FS Aftale'!G34*Støtteark!$Q$15</f>
        <v>15</v>
      </c>
      <c r="R34" s="235"/>
      <c r="S34" s="231">
        <f>IF(OR(AND(OR(N34 = Støtteark!$L$25,N34 = Støtteark!$L$26,N34 = Støtteark!$L$28),E34&lt;&gt;Støtteark!$U$6,OR(O34=Støtteark!$B$22,O34=Støtteark!$B$23,O34=Støtteark!$B$24,O34=Støtteark!$B$25,O34=Støtteark!$B$26,O34=Støtteark!$B$27,O34=Støtteark!$B$28)),AND(E34=Støtteark!$U$6,OR(O34=Støtteark!$B$24,O34=Støtteark!$B$27,O34=Støtteark!$B$29))),1,"")</f>
        <v>1</v>
      </c>
      <c r="T34" s="232" t="str">
        <f>IF(OR(AND(N34 = Støtteark!$L$25,E34&lt;&gt;Støtteark!$U$6,O34=Støtteark!$B$22),AND(E34=Støtteark!$U$6,O34=Støtteark!$B$24),O34=Støtteark!$B$22),1,"")</f>
        <v/>
      </c>
      <c r="U34" s="232" t="str">
        <f>IF(OR(AND(N34 = Støtteark!$L$25,E34&lt;&gt;Støtteark!$U$6,OR(O34=Støtteark!$B$22,O34=Støtteark!$B$23,O34=Støtteark!$B$24)),AND(E34=Støtteark!$U$6,OR(O34=Støtteark!$B$22,O34=Støtteark!$B$24))),1,"")</f>
        <v/>
      </c>
      <c r="V34" s="232" t="str">
        <f>IF(OR(AND(N34 = Støtteark!$L$25,E34&lt;&gt;Støtteark!$U$6,O34=Støtteark!$B$22),AND(E34=Støtteark!$U$6,OR(O34=Støtteark!$B$22,O34=Støtteark!$B$24))),1,"")</f>
        <v/>
      </c>
      <c r="W34" s="232" t="str">
        <f>IF(OR(AND(N34 = Støtteark!$L$25,E34&lt;&gt;Støtteark!$U$6,OR(O34=Støtteark!$B$22,O34=Støtteark!$B$23,O34=Støtteark!$B$24,O34=Støtteark!$B$25)),AND(E34=Støtteark!$U$6,OR(O34=Støtteark!$B$22,O34=Støtteark!$B$24))),1,"")</f>
        <v/>
      </c>
      <c r="X34" s="231"/>
      <c r="Y34" s="231"/>
      <c r="Z34" s="235"/>
      <c r="AA34" s="231">
        <f>IF(OR(AND(E34&lt;&gt;Støtteark!$U$6,N34 = Støtteark!$L$25),N34 = Støtteark!$L$26,N34 = Støtteark!$L$28,AND(N34 = Støtteark!$L$29,E34&lt;&gt;Støtteark!$U$6,OR(O34=Støtteark!$B$30,O34=Støtteark!$B$32,O34=Støtteark!$B$33,AND(E34&lt;&gt;Støtteark!$U$6,O34=Støtteark!$B$34),O34=Støtteark!$B$35))),1,"")</f>
        <v>1</v>
      </c>
      <c r="AB34" s="231">
        <f>IF(OR(AND(E34&lt;&gt;Støtteark!$U$6,N34 = Støtteark!$L$25),N34 = Støtteark!$L$26,N34 = Støtteark!$L$28,AND(N34 = Støtteark!$L$29,O34=Støtteark!$B$34)),1,"")</f>
        <v>1</v>
      </c>
      <c r="AC34" s="231">
        <f>IF(OR(AND(E34&lt;&gt;Støtteark!$U$6,N34 = Støtteark!$L$25),N34 = Støtteark!$L$26,N34 = Støtteark!$L$28,AND(N34 = Støtteark!$L$29,E34&lt;&gt;Støtteark!$U$6,OR(O34=Støtteark!$B$30,O34 = Støtteark!$B$34))),1,"")</f>
        <v>1</v>
      </c>
      <c r="AD34" s="232">
        <f>IF(OR(N34 = Støtteark!$L$25,N34 = Støtteark!$L$26,N34 = Støtteark!$L$28,AND(N34 = Støtteark!$L$29,OR(O34=Støtteark!$B$34,O34=Støtteark!$B$35)),AND(E34=Støtteark!$U$6,OR(O34=Støtteark!$B$29,O34=Støtteark!$B$30,O34=Støtteark!$B$32,O34=Støtteark!$B$33))),1,"")</f>
        <v>1</v>
      </c>
      <c r="AE34" s="231">
        <f>IF(OR(N34 = Støtteark!$L$25,N34 = Støtteark!$L$26,N34 = Støtteark!$L$28,AND(N34 = Støtteark!$L$29,OR(O34=Støtteark!$B$34,O34 = Støtteark!$B$30)),AND(E34=Støtteark!$U$6,O34=Støtteark!$B$29)),1,"")</f>
        <v>1</v>
      </c>
      <c r="AF34" s="231">
        <f>IF(OR(N34 = Støtteark!$L$25,N34 = Støtteark!$L$26,N34 = Støtteark!$L$28,AND(N34 = Støtteark!$L$29,O34=Støtteark!$B$34),AND(E34=Støtteark!$U$6,O34=Støtteark!$B$30),AND(E34=Støtteark!$U$6,O34=Støtteark!$B$29)),1,"")</f>
        <v>1</v>
      </c>
      <c r="AG34" s="231">
        <f>IF(OR(N34 = Støtteark!$L$25,N34 = Støtteark!$L$26,N34 = Støtteark!$L$28,AND(N34 = Støtteark!$L$29,OR(O34=Støtteark!$B$30,O34 = Støtteark!$B$31,O34=Støtteark!$B$32,O34=Støtteark!$B$34)),AND(E34=Støtteark!$U$6,OR(O34=Støtteark!$B$29,O34=Støtteark!$B$31))),1,"")</f>
        <v>1</v>
      </c>
      <c r="AH34" s="231">
        <f>IF(OR(N34 = Støtteark!$L$25,N34 = Støtteark!$L$26,N34 = Støtteark!$L$28,AND(N34 = Støtteark!$L$29,O34=Støtteark!$B$34),AND(E34=Støtteark!$U$6,OR(O34=Støtteark!$B$29,O34=Støtteark!$B$30))),1,"")</f>
        <v>1</v>
      </c>
      <c r="AI34" s="231">
        <f>IF(OR(N34 = Støtteark!$L$25,N34 = Støtteark!$L$26,N34 = Støtteark!$L$28,AND(N34 = Støtteark!$L$29,OR(O34=Støtteark!$B$34,O34 = Støtteark!$B$30)),AND(E34=Støtteark!$U$6,OR(O34=Støtteark!$B$29,O34=Støtteark!$B$30))),1,"")</f>
        <v>1</v>
      </c>
      <c r="AJ34" s="231">
        <f>IF(OR(AND(E34&lt;&gt;Støtteark!$U$6,N34 = Støtteark!$L$25),N34 = Støtteark!$L$26,N34 = Støtteark!$L$28,AND(N34 = Støtteark!$L$29,OR(O34=Støtteark!$B$34,O34=Støtteark!$B$35),O34&lt;&gt;Støtteark!$B$30)),1,"")</f>
        <v>1</v>
      </c>
      <c r="AK34" s="231">
        <f>IF(OR(AND(E34&lt;&gt;Støtteark!$U$6,N34 = Støtteark!$L$25),N34 = Støtteark!$L$26,N34 = Støtteark!$L$28,AND(N34 = Støtteark!$L$29,E34&lt;&gt;Støtteark!$U$6,OR(O34=Støtteark!$B$34,O34 = Støtteark!$B$30))),1,"")</f>
        <v>1</v>
      </c>
      <c r="AL34" s="231">
        <f>IF(OR(AND(E34&lt;&gt;Støtteark!$U$6,N34 = Støtteark!$L$25),N34 = Støtteark!$L$26,N34 = Støtteark!$L$28,AND(N34 = Støtteark!$L$29,O34=Støtteark!$B$34)),1,"")</f>
        <v>1</v>
      </c>
      <c r="AM34" s="231" t="str">
        <f>IF(AND(N34 = Støtteark!$L$29,OR(O34=Støtteark!$B$30,O34=Støtteark!$B$32,O34=Støtteark!$B$33,O34=Støtteark!$B$34,O34=Støtteark!$B$35)),Støtteark!$L$32,"")</f>
        <v/>
      </c>
      <c r="AN34" s="235"/>
      <c r="AO34" s="91"/>
      <c r="AP34" s="170">
        <v>0</v>
      </c>
      <c r="AQ34" s="235"/>
      <c r="AR34" s="64">
        <f t="shared" ca="1" si="36"/>
        <v>44022</v>
      </c>
    </row>
    <row r="35" spans="1:44" ht="25.5" hidden="1" x14ac:dyDescent="0.25">
      <c r="A35" s="221" t="str">
        <f t="shared" si="32"/>
        <v>Kundenr.-Ejendom</v>
      </c>
      <c r="B35" s="61" t="str">
        <f>Ydelser!A35&amp; " - " &amp;Ydelser!C35</f>
        <v>314 - Tilsyn med pumpebrønde</v>
      </c>
      <c r="C35" s="61" t="str">
        <f>Ydelser!D35</f>
        <v>Umiddelbar, visuel kontrol af tilgængelige og på forhånd anviste pumpebrønde.</v>
      </c>
      <c r="D35" s="248" t="b">
        <f>'FS Aftale'!D35</f>
        <v>0</v>
      </c>
      <c r="E35" s="156" t="str">
        <f>'FS Aftale'!E35</f>
        <v>Månedligt</v>
      </c>
      <c r="F35" s="61" t="str">
        <f t="shared" si="33"/>
        <v>Team Ansvarlig</v>
      </c>
      <c r="G35" s="61" t="str">
        <f t="shared" si="33"/>
        <v>Ansvarlig</v>
      </c>
      <c r="H35" s="61" t="str">
        <f t="shared" si="33"/>
        <v>Servicemedarb.</v>
      </c>
      <c r="I35" s="235"/>
      <c r="J35" s="61" t="str">
        <f t="shared" si="34"/>
        <v>Fast</v>
      </c>
      <c r="K35" s="61" t="str">
        <f t="shared" si="34"/>
        <v>FS aftale</v>
      </c>
      <c r="L35" s="188">
        <f t="shared" si="34"/>
        <v>1</v>
      </c>
      <c r="M35" s="157" t="str">
        <f t="shared" si="34"/>
        <v>Mangler planlægning</v>
      </c>
      <c r="N35" s="147" t="str">
        <f>IFERROR(VLOOKUP(O35,Støtteark!$B$21:$F$35,MATCH(E35,Støtteark!$B$21:$F$21,0),0),Støtteark!$L$35)</f>
        <v>Månedligt</v>
      </c>
      <c r="O35" s="62">
        <f>'FS Aftale'!F35</f>
        <v>12</v>
      </c>
      <c r="P35" s="179" t="str">
        <f t="shared" si="35"/>
        <v>7:00</v>
      </c>
      <c r="Q35" s="63">
        <f>'FS Aftale'!G35*Støtteark!$Q$15</f>
        <v>30</v>
      </c>
      <c r="R35" s="235"/>
      <c r="S35" s="231" t="str">
        <f>IF(OR(AND(OR(N35 = Støtteark!$L$25,N35 = Støtteark!$L$26,N35 = Støtteark!$L$28),E35&lt;&gt;Støtteark!$U$6,OR(O35=Støtteark!$B$22,O35=Støtteark!$B$23,O35=Støtteark!$B$24,O35=Støtteark!$B$25,O35=Støtteark!$B$26,O35=Støtteark!$B$27,O35=Støtteark!$B$28)),AND(E35=Støtteark!$U$6,OR(O35=Støtteark!$B$24,O35=Støtteark!$B$27,O35=Støtteark!$B$29))),1,"")</f>
        <v/>
      </c>
      <c r="T35" s="232" t="str">
        <f>IF(OR(AND(N35 = Støtteark!$L$25,E35&lt;&gt;Støtteark!$U$6,O35=Støtteark!$B$22),AND(E35=Støtteark!$U$6,O35=Støtteark!$B$24),O35=Støtteark!$B$22),1,"")</f>
        <v/>
      </c>
      <c r="U35" s="232" t="str">
        <f>IF(OR(AND(N35 = Støtteark!$L$25,E35&lt;&gt;Støtteark!$U$6,OR(O35=Støtteark!$B$22,O35=Støtteark!$B$23,O35=Støtteark!$B$24)),AND(E35=Støtteark!$U$6,OR(O35=Støtteark!$B$22,O35=Støtteark!$B$24))),1,"")</f>
        <v/>
      </c>
      <c r="V35" s="232" t="str">
        <f>IF(OR(AND(N35 = Støtteark!$L$25,E35&lt;&gt;Støtteark!$U$6,O35=Støtteark!$B$22),AND(E35=Støtteark!$U$6,OR(O35=Støtteark!$B$22,O35=Støtteark!$B$24))),1,"")</f>
        <v/>
      </c>
      <c r="W35" s="232" t="str">
        <f>IF(OR(AND(N35 = Støtteark!$L$25,E35&lt;&gt;Støtteark!$U$6,OR(O35=Støtteark!$B$22,O35=Støtteark!$B$23,O35=Støtteark!$B$24,O35=Støtteark!$B$25)),AND(E35=Støtteark!$U$6,OR(O35=Støtteark!$B$22,O35=Støtteark!$B$24))),1,"")</f>
        <v/>
      </c>
      <c r="X35" s="231"/>
      <c r="Y35" s="231"/>
      <c r="Z35" s="235"/>
      <c r="AA35" s="231">
        <f>IF(OR(AND(E35&lt;&gt;Støtteark!$U$6,N35 = Støtteark!$L$25),N35 = Støtteark!$L$26,N35 = Støtteark!$L$28,AND(N35 = Støtteark!$L$29,E35&lt;&gt;Støtteark!$U$6,OR(O35=Støtteark!$B$30,O35=Støtteark!$B$32,O35=Støtteark!$B$33,AND(E35&lt;&gt;Støtteark!$U$6,O35=Støtteark!$B$34),O35=Støtteark!$B$35))),1,"")</f>
        <v>1</v>
      </c>
      <c r="AB35" s="231">
        <f>IF(OR(AND(E35&lt;&gt;Støtteark!$U$6,N35 = Støtteark!$L$25),N35 = Støtteark!$L$26,N35 = Støtteark!$L$28,AND(N35 = Støtteark!$L$29,O35=Støtteark!$B$34)),1,"")</f>
        <v>1</v>
      </c>
      <c r="AC35" s="231">
        <f>IF(OR(AND(E35&lt;&gt;Støtteark!$U$6,N35 = Støtteark!$L$25),N35 = Støtteark!$L$26,N35 = Støtteark!$L$28,AND(N35 = Støtteark!$L$29,E35&lt;&gt;Støtteark!$U$6,OR(O35=Støtteark!$B$30,O35 = Støtteark!$B$34))),1,"")</f>
        <v>1</v>
      </c>
      <c r="AD35" s="232">
        <f>IF(OR(N35 = Støtteark!$L$25,N35 = Støtteark!$L$26,N35 = Støtteark!$L$28,AND(N35 = Støtteark!$L$29,OR(O35=Støtteark!$B$34,O35=Støtteark!$B$35)),AND(E35=Støtteark!$U$6,OR(O35=Støtteark!$B$29,O35=Støtteark!$B$30,O35=Støtteark!$B$32,O35=Støtteark!$B$33))),1,"")</f>
        <v>1</v>
      </c>
      <c r="AE35" s="231">
        <f>IF(OR(N35 = Støtteark!$L$25,N35 = Støtteark!$L$26,N35 = Støtteark!$L$28,AND(N35 = Støtteark!$L$29,OR(O35=Støtteark!$B$34,O35 = Støtteark!$B$30)),AND(E35=Støtteark!$U$6,O35=Støtteark!$B$29)),1,"")</f>
        <v>1</v>
      </c>
      <c r="AF35" s="231">
        <f>IF(OR(N35 = Støtteark!$L$25,N35 = Støtteark!$L$26,N35 = Støtteark!$L$28,AND(N35 = Støtteark!$L$29,O35=Støtteark!$B$34),AND(E35=Støtteark!$U$6,O35=Støtteark!$B$30),AND(E35=Støtteark!$U$6,O35=Støtteark!$B$29)),1,"")</f>
        <v>1</v>
      </c>
      <c r="AG35" s="231">
        <f>IF(OR(N35 = Støtteark!$L$25,N35 = Støtteark!$L$26,N35 = Støtteark!$L$28,AND(N35 = Støtteark!$L$29,OR(O35=Støtteark!$B$30,O35 = Støtteark!$B$31,O35=Støtteark!$B$32,O35=Støtteark!$B$34)),AND(E35=Støtteark!$U$6,OR(O35=Støtteark!$B$29,O35=Støtteark!$B$31))),1,"")</f>
        <v>1</v>
      </c>
      <c r="AH35" s="231">
        <f>IF(OR(N35 = Støtteark!$L$25,N35 = Støtteark!$L$26,N35 = Støtteark!$L$28,AND(N35 = Støtteark!$L$29,O35=Støtteark!$B$34),AND(E35=Støtteark!$U$6,OR(O35=Støtteark!$B$29,O35=Støtteark!$B$30))),1,"")</f>
        <v>1</v>
      </c>
      <c r="AI35" s="231">
        <f>IF(OR(N35 = Støtteark!$L$25,N35 = Støtteark!$L$26,N35 = Støtteark!$L$28,AND(N35 = Støtteark!$L$29,OR(O35=Støtteark!$B$34,O35 = Støtteark!$B$30)),AND(E35=Støtteark!$U$6,OR(O35=Støtteark!$B$29,O35=Støtteark!$B$30))),1,"")</f>
        <v>1</v>
      </c>
      <c r="AJ35" s="231">
        <f>IF(OR(AND(E35&lt;&gt;Støtteark!$U$6,N35 = Støtteark!$L$25),N35 = Støtteark!$L$26,N35 = Støtteark!$L$28,AND(N35 = Støtteark!$L$29,OR(O35=Støtteark!$B$34,O35=Støtteark!$B$35),O35&lt;&gt;Støtteark!$B$30)),1,"")</f>
        <v>1</v>
      </c>
      <c r="AK35" s="231">
        <f>IF(OR(AND(E35&lt;&gt;Støtteark!$U$6,N35 = Støtteark!$L$25),N35 = Støtteark!$L$26,N35 = Støtteark!$L$28,AND(N35 = Støtteark!$L$29,E35&lt;&gt;Støtteark!$U$6,OR(O35=Støtteark!$B$34,O35 = Støtteark!$B$30))),1,"")</f>
        <v>1</v>
      </c>
      <c r="AL35" s="231">
        <f>IF(OR(AND(E35&lt;&gt;Støtteark!$U$6,N35 = Støtteark!$L$25),N35 = Støtteark!$L$26,N35 = Støtteark!$L$28,AND(N35 = Støtteark!$L$29,O35=Støtteark!$B$34)),1,"")</f>
        <v>1</v>
      </c>
      <c r="AM35" s="231">
        <f>IF(AND(N35 = Støtteark!$L$29,OR(O35=Støtteark!$B$30,O35=Støtteark!$B$32,O35=Støtteark!$B$33,O35=Støtteark!$B$34,O35=Støtteark!$B$35)),Støtteark!$L$32,"")</f>
        <v>801</v>
      </c>
      <c r="AN35" s="235"/>
      <c r="AO35" s="91"/>
      <c r="AP35" s="170">
        <v>0</v>
      </c>
      <c r="AQ35" s="235"/>
      <c r="AR35" s="64">
        <f t="shared" ca="1" si="36"/>
        <v>44022</v>
      </c>
    </row>
    <row r="36" spans="1:44" ht="25.5" hidden="1" x14ac:dyDescent="0.25">
      <c r="A36" s="221" t="str">
        <f t="shared" si="32"/>
        <v>Kundenr.-Ejendom</v>
      </c>
      <c r="B36" s="61" t="str">
        <f>Ydelser!A36&amp; " - " &amp;Ydelser!C36</f>
        <v>315 - Tilsyn med ventilationsanlæg</v>
      </c>
      <c r="C36" s="61" t="str">
        <f>Ydelser!D36</f>
        <v>Umiddelbar, visuel kontrol af ventilationsanlæg. Evt. bestilling af servicetekniker.</v>
      </c>
      <c r="D36" s="248" t="b">
        <f>'FS Aftale'!D36</f>
        <v>0</v>
      </c>
      <c r="E36" s="156" t="str">
        <f>'FS Aftale'!E36</f>
        <v>Månedligt</v>
      </c>
      <c r="F36" s="61" t="str">
        <f t="shared" si="33"/>
        <v>Team Ansvarlig</v>
      </c>
      <c r="G36" s="61" t="str">
        <f t="shared" si="33"/>
        <v>Ansvarlig</v>
      </c>
      <c r="H36" s="61" t="str">
        <f t="shared" si="33"/>
        <v>Servicemedarb.</v>
      </c>
      <c r="I36" s="235"/>
      <c r="J36" s="61" t="str">
        <f t="shared" si="34"/>
        <v>Fast</v>
      </c>
      <c r="K36" s="61" t="str">
        <f t="shared" si="34"/>
        <v>FS aftale</v>
      </c>
      <c r="L36" s="188">
        <f t="shared" si="34"/>
        <v>1</v>
      </c>
      <c r="M36" s="157" t="str">
        <f t="shared" si="34"/>
        <v>Mangler planlægning</v>
      </c>
      <c r="N36" s="147" t="str">
        <f>IFERROR(VLOOKUP(O36,Støtteark!$B$21:$F$35,MATCH(E36,Støtteark!$B$21:$F$21,0),0),Støtteark!$L$35)</f>
        <v>Månedligt</v>
      </c>
      <c r="O36" s="62">
        <f>'FS Aftale'!F36</f>
        <v>12</v>
      </c>
      <c r="P36" s="179" t="str">
        <f t="shared" si="35"/>
        <v>7:00</v>
      </c>
      <c r="Q36" s="63">
        <f>'FS Aftale'!G36*Støtteark!$Q$15</f>
        <v>30</v>
      </c>
      <c r="R36" s="235"/>
      <c r="S36" s="231" t="str">
        <f>IF(OR(AND(OR(N36 = Støtteark!$L$25,N36 = Støtteark!$L$26,N36 = Støtteark!$L$28),E36&lt;&gt;Støtteark!$U$6,OR(O36=Støtteark!$B$22,O36=Støtteark!$B$23,O36=Støtteark!$B$24,O36=Støtteark!$B$25,O36=Støtteark!$B$26,O36=Støtteark!$B$27,O36=Støtteark!$B$28)),AND(E36=Støtteark!$U$6,OR(O36=Støtteark!$B$24,O36=Støtteark!$B$27,O36=Støtteark!$B$29))),1,"")</f>
        <v/>
      </c>
      <c r="T36" s="232" t="str">
        <f>IF(OR(AND(N36 = Støtteark!$L$25,E36&lt;&gt;Støtteark!$U$6,O36=Støtteark!$B$22),AND(E36=Støtteark!$U$6,O36=Støtteark!$B$24),O36=Støtteark!$B$22),1,"")</f>
        <v/>
      </c>
      <c r="U36" s="232" t="str">
        <f>IF(OR(AND(N36 = Støtteark!$L$25,E36&lt;&gt;Støtteark!$U$6,OR(O36=Støtteark!$B$22,O36=Støtteark!$B$23,O36=Støtteark!$B$24)),AND(E36=Støtteark!$U$6,OR(O36=Støtteark!$B$22,O36=Støtteark!$B$24))),1,"")</f>
        <v/>
      </c>
      <c r="V36" s="232" t="str">
        <f>IF(OR(AND(N36 = Støtteark!$L$25,E36&lt;&gt;Støtteark!$U$6,O36=Støtteark!$B$22),AND(E36=Støtteark!$U$6,OR(O36=Støtteark!$B$22,O36=Støtteark!$B$24))),1,"")</f>
        <v/>
      </c>
      <c r="W36" s="232" t="str">
        <f>IF(OR(AND(N36 = Støtteark!$L$25,E36&lt;&gt;Støtteark!$U$6,OR(O36=Støtteark!$B$22,O36=Støtteark!$B$23,O36=Støtteark!$B$24,O36=Støtteark!$B$25)),AND(E36=Støtteark!$U$6,OR(O36=Støtteark!$B$22,O36=Støtteark!$B$24))),1,"")</f>
        <v/>
      </c>
      <c r="X36" s="231"/>
      <c r="Y36" s="231"/>
      <c r="Z36" s="235"/>
      <c r="AA36" s="231">
        <f>IF(OR(AND(E36&lt;&gt;Støtteark!$U$6,N36 = Støtteark!$L$25),N36 = Støtteark!$L$26,N36 = Støtteark!$L$28,AND(N36 = Støtteark!$L$29,E36&lt;&gt;Støtteark!$U$6,OR(O36=Støtteark!$B$30,O36=Støtteark!$B$32,O36=Støtteark!$B$33,AND(E36&lt;&gt;Støtteark!$U$6,O36=Støtteark!$B$34),O36=Støtteark!$B$35))),1,"")</f>
        <v>1</v>
      </c>
      <c r="AB36" s="231">
        <f>IF(OR(AND(E36&lt;&gt;Støtteark!$U$6,N36 = Støtteark!$L$25),N36 = Støtteark!$L$26,N36 = Støtteark!$L$28,AND(N36 = Støtteark!$L$29,O36=Støtteark!$B$34)),1,"")</f>
        <v>1</v>
      </c>
      <c r="AC36" s="231">
        <f>IF(OR(AND(E36&lt;&gt;Støtteark!$U$6,N36 = Støtteark!$L$25),N36 = Støtteark!$L$26,N36 = Støtteark!$L$28,AND(N36 = Støtteark!$L$29,E36&lt;&gt;Støtteark!$U$6,OR(O36=Støtteark!$B$30,O36 = Støtteark!$B$34))),1,"")</f>
        <v>1</v>
      </c>
      <c r="AD36" s="232">
        <f>IF(OR(N36 = Støtteark!$L$25,N36 = Støtteark!$L$26,N36 = Støtteark!$L$28,AND(N36 = Støtteark!$L$29,OR(O36=Støtteark!$B$34,O36=Støtteark!$B$35)),AND(E36=Støtteark!$U$6,OR(O36=Støtteark!$B$29,O36=Støtteark!$B$30,O36=Støtteark!$B$32,O36=Støtteark!$B$33))),1,"")</f>
        <v>1</v>
      </c>
      <c r="AE36" s="231">
        <f>IF(OR(N36 = Støtteark!$L$25,N36 = Støtteark!$L$26,N36 = Støtteark!$L$28,AND(N36 = Støtteark!$L$29,OR(O36=Støtteark!$B$34,O36 = Støtteark!$B$30)),AND(E36=Støtteark!$U$6,O36=Støtteark!$B$29)),1,"")</f>
        <v>1</v>
      </c>
      <c r="AF36" s="231">
        <f>IF(OR(N36 = Støtteark!$L$25,N36 = Støtteark!$L$26,N36 = Støtteark!$L$28,AND(N36 = Støtteark!$L$29,O36=Støtteark!$B$34),AND(E36=Støtteark!$U$6,O36=Støtteark!$B$30),AND(E36=Støtteark!$U$6,O36=Støtteark!$B$29)),1,"")</f>
        <v>1</v>
      </c>
      <c r="AG36" s="231">
        <f>IF(OR(N36 = Støtteark!$L$25,N36 = Støtteark!$L$26,N36 = Støtteark!$L$28,AND(N36 = Støtteark!$L$29,OR(O36=Støtteark!$B$30,O36 = Støtteark!$B$31,O36=Støtteark!$B$32,O36=Støtteark!$B$34)),AND(E36=Støtteark!$U$6,OR(O36=Støtteark!$B$29,O36=Støtteark!$B$31))),1,"")</f>
        <v>1</v>
      </c>
      <c r="AH36" s="231">
        <f>IF(OR(N36 = Støtteark!$L$25,N36 = Støtteark!$L$26,N36 = Støtteark!$L$28,AND(N36 = Støtteark!$L$29,O36=Støtteark!$B$34),AND(E36=Støtteark!$U$6,OR(O36=Støtteark!$B$29,O36=Støtteark!$B$30))),1,"")</f>
        <v>1</v>
      </c>
      <c r="AI36" s="231">
        <f>IF(OR(N36 = Støtteark!$L$25,N36 = Støtteark!$L$26,N36 = Støtteark!$L$28,AND(N36 = Støtteark!$L$29,OR(O36=Støtteark!$B$34,O36 = Støtteark!$B$30)),AND(E36=Støtteark!$U$6,OR(O36=Støtteark!$B$29,O36=Støtteark!$B$30))),1,"")</f>
        <v>1</v>
      </c>
      <c r="AJ36" s="231">
        <f>IF(OR(AND(E36&lt;&gt;Støtteark!$U$6,N36 = Støtteark!$L$25),N36 = Støtteark!$L$26,N36 = Støtteark!$L$28,AND(N36 = Støtteark!$L$29,OR(O36=Støtteark!$B$34,O36=Støtteark!$B$35),O36&lt;&gt;Støtteark!$B$30)),1,"")</f>
        <v>1</v>
      </c>
      <c r="AK36" s="231">
        <f>IF(OR(AND(E36&lt;&gt;Støtteark!$U$6,N36 = Støtteark!$L$25),N36 = Støtteark!$L$26,N36 = Støtteark!$L$28,AND(N36 = Støtteark!$L$29,E36&lt;&gt;Støtteark!$U$6,OR(O36=Støtteark!$B$34,O36 = Støtteark!$B$30))),1,"")</f>
        <v>1</v>
      </c>
      <c r="AL36" s="231">
        <f>IF(OR(AND(E36&lt;&gt;Støtteark!$U$6,N36 = Støtteark!$L$25),N36 = Støtteark!$L$26,N36 = Støtteark!$L$28,AND(N36 = Støtteark!$L$29,O36=Støtteark!$B$34)),1,"")</f>
        <v>1</v>
      </c>
      <c r="AM36" s="231">
        <f>IF(AND(N36 = Støtteark!$L$29,OR(O36=Støtteark!$B$30,O36=Støtteark!$B$32,O36=Støtteark!$B$33,O36=Støtteark!$B$34,O36=Støtteark!$B$35)),Støtteark!$L$32,"")</f>
        <v>801</v>
      </c>
      <c r="AN36" s="235"/>
      <c r="AO36" s="91"/>
      <c r="AP36" s="170">
        <v>0</v>
      </c>
      <c r="AQ36" s="235"/>
      <c r="AR36" s="64">
        <f t="shared" ca="1" si="36"/>
        <v>44022</v>
      </c>
    </row>
    <row r="37" spans="1:44" ht="25.5" hidden="1" x14ac:dyDescent="0.25">
      <c r="A37" s="221" t="str">
        <f t="shared" si="32"/>
        <v>Kundenr.-Ejendom</v>
      </c>
      <c r="B37" s="61" t="str">
        <f>Ydelser!A37&amp; " - " &amp;Ydelser!C37</f>
        <v>316 - Udslamning af varmtvandsbeholder</v>
      </c>
      <c r="C37" s="61" t="str">
        <f>Ydelser!D37</f>
        <v>Udslamning af varmtvandsbeholder.</v>
      </c>
      <c r="D37" s="248" t="b">
        <f>'FS Aftale'!D37</f>
        <v>0</v>
      </c>
      <c r="E37" s="156" t="str">
        <f>'FS Aftale'!E37</f>
        <v>Månedligt</v>
      </c>
      <c r="F37" s="61" t="str">
        <f t="shared" si="33"/>
        <v>Team Ansvarlig</v>
      </c>
      <c r="G37" s="61" t="str">
        <f t="shared" si="33"/>
        <v>Ansvarlig</v>
      </c>
      <c r="H37" s="61" t="str">
        <f t="shared" si="33"/>
        <v>Servicemedarb.</v>
      </c>
      <c r="I37" s="235"/>
      <c r="J37" s="61" t="str">
        <f t="shared" si="34"/>
        <v>Fast</v>
      </c>
      <c r="K37" s="61" t="str">
        <f t="shared" si="34"/>
        <v>FS aftale</v>
      </c>
      <c r="L37" s="188">
        <f t="shared" si="34"/>
        <v>1</v>
      </c>
      <c r="M37" s="157" t="str">
        <f t="shared" si="34"/>
        <v>Mangler planlægning</v>
      </c>
      <c r="N37" s="147" t="str">
        <f>IFERROR(VLOOKUP(O37,Støtteark!$B$21:$F$35,MATCH(E37,Støtteark!$B$21:$F$21,0),0),Støtteark!$L$35)</f>
        <v>Månedligt</v>
      </c>
      <c r="O37" s="62">
        <f>'FS Aftale'!F37</f>
        <v>12</v>
      </c>
      <c r="P37" s="179" t="str">
        <f t="shared" si="35"/>
        <v>7:00</v>
      </c>
      <c r="Q37" s="63">
        <f>'FS Aftale'!G37*Støtteark!$Q$15</f>
        <v>15</v>
      </c>
      <c r="R37" s="235"/>
      <c r="S37" s="231" t="str">
        <f>IF(OR(AND(OR(N37 = Støtteark!$L$25,N37 = Støtteark!$L$26,N37 = Støtteark!$L$28),E37&lt;&gt;Støtteark!$U$6,OR(O37=Støtteark!$B$22,O37=Støtteark!$B$23,O37=Støtteark!$B$24,O37=Støtteark!$B$25,O37=Støtteark!$B$26,O37=Støtteark!$B$27,O37=Støtteark!$B$28)),AND(E37=Støtteark!$U$6,OR(O37=Støtteark!$B$24,O37=Støtteark!$B$27,O37=Støtteark!$B$29))),1,"")</f>
        <v/>
      </c>
      <c r="T37" s="232" t="str">
        <f>IF(OR(AND(N37 = Støtteark!$L$25,E37&lt;&gt;Støtteark!$U$6,O37=Støtteark!$B$22),AND(E37=Støtteark!$U$6,O37=Støtteark!$B$24),O37=Støtteark!$B$22),1,"")</f>
        <v/>
      </c>
      <c r="U37" s="232" t="str">
        <f>IF(OR(AND(N37 = Støtteark!$L$25,E37&lt;&gt;Støtteark!$U$6,OR(O37=Støtteark!$B$22,O37=Støtteark!$B$23,O37=Støtteark!$B$24)),AND(E37=Støtteark!$U$6,OR(O37=Støtteark!$B$22,O37=Støtteark!$B$24))),1,"")</f>
        <v/>
      </c>
      <c r="V37" s="232" t="str">
        <f>IF(OR(AND(N37 = Støtteark!$L$25,E37&lt;&gt;Støtteark!$U$6,O37=Støtteark!$B$22),AND(E37=Støtteark!$U$6,OR(O37=Støtteark!$B$22,O37=Støtteark!$B$24))),1,"")</f>
        <v/>
      </c>
      <c r="W37" s="232" t="str">
        <f>IF(OR(AND(N37 = Støtteark!$L$25,E37&lt;&gt;Støtteark!$U$6,OR(O37=Støtteark!$B$22,O37=Støtteark!$B$23,O37=Støtteark!$B$24,O37=Støtteark!$B$25)),AND(E37=Støtteark!$U$6,OR(O37=Støtteark!$B$22,O37=Støtteark!$B$24))),1,"")</f>
        <v/>
      </c>
      <c r="X37" s="231"/>
      <c r="Y37" s="231"/>
      <c r="Z37" s="235"/>
      <c r="AA37" s="231">
        <f>IF(OR(AND(E37&lt;&gt;Støtteark!$U$6,N37 = Støtteark!$L$25),N37 = Støtteark!$L$26,N37 = Støtteark!$L$28,AND(N37 = Støtteark!$L$29,E37&lt;&gt;Støtteark!$U$6,OR(O37=Støtteark!$B$30,O37=Støtteark!$B$32,O37=Støtteark!$B$33,AND(E37&lt;&gt;Støtteark!$U$6,O37=Støtteark!$B$34),O37=Støtteark!$B$35))),1,"")</f>
        <v>1</v>
      </c>
      <c r="AB37" s="231">
        <f>IF(OR(AND(E37&lt;&gt;Støtteark!$U$6,N37 = Støtteark!$L$25),N37 = Støtteark!$L$26,N37 = Støtteark!$L$28,AND(N37 = Støtteark!$L$29,O37=Støtteark!$B$34)),1,"")</f>
        <v>1</v>
      </c>
      <c r="AC37" s="231">
        <f>IF(OR(AND(E37&lt;&gt;Støtteark!$U$6,N37 = Støtteark!$L$25),N37 = Støtteark!$L$26,N37 = Støtteark!$L$28,AND(N37 = Støtteark!$L$29,E37&lt;&gt;Støtteark!$U$6,OR(O37=Støtteark!$B$30,O37 = Støtteark!$B$34))),1,"")</f>
        <v>1</v>
      </c>
      <c r="AD37" s="232">
        <f>IF(OR(N37 = Støtteark!$L$25,N37 = Støtteark!$L$26,N37 = Støtteark!$L$28,AND(N37 = Støtteark!$L$29,OR(O37=Støtteark!$B$34,O37=Støtteark!$B$35)),AND(E37=Støtteark!$U$6,OR(O37=Støtteark!$B$29,O37=Støtteark!$B$30,O37=Støtteark!$B$32,O37=Støtteark!$B$33))),1,"")</f>
        <v>1</v>
      </c>
      <c r="AE37" s="231">
        <f>IF(OR(N37 = Støtteark!$L$25,N37 = Støtteark!$L$26,N37 = Støtteark!$L$28,AND(N37 = Støtteark!$L$29,OR(O37=Støtteark!$B$34,O37 = Støtteark!$B$30)),AND(E37=Støtteark!$U$6,O37=Støtteark!$B$29)),1,"")</f>
        <v>1</v>
      </c>
      <c r="AF37" s="231">
        <f>IF(OR(N37 = Støtteark!$L$25,N37 = Støtteark!$L$26,N37 = Støtteark!$L$28,AND(N37 = Støtteark!$L$29,O37=Støtteark!$B$34),AND(E37=Støtteark!$U$6,O37=Støtteark!$B$30),AND(E37=Støtteark!$U$6,O37=Støtteark!$B$29)),1,"")</f>
        <v>1</v>
      </c>
      <c r="AG37" s="231">
        <f>IF(OR(N37 = Støtteark!$L$25,N37 = Støtteark!$L$26,N37 = Støtteark!$L$28,AND(N37 = Støtteark!$L$29,OR(O37=Støtteark!$B$30,O37 = Støtteark!$B$31,O37=Støtteark!$B$32,O37=Støtteark!$B$34)),AND(E37=Støtteark!$U$6,OR(O37=Støtteark!$B$29,O37=Støtteark!$B$31))),1,"")</f>
        <v>1</v>
      </c>
      <c r="AH37" s="231">
        <f>IF(OR(N37 = Støtteark!$L$25,N37 = Støtteark!$L$26,N37 = Støtteark!$L$28,AND(N37 = Støtteark!$L$29,O37=Støtteark!$B$34),AND(E37=Støtteark!$U$6,OR(O37=Støtteark!$B$29,O37=Støtteark!$B$30))),1,"")</f>
        <v>1</v>
      </c>
      <c r="AI37" s="231">
        <f>IF(OR(N37 = Støtteark!$L$25,N37 = Støtteark!$L$26,N37 = Støtteark!$L$28,AND(N37 = Støtteark!$L$29,OR(O37=Støtteark!$B$34,O37 = Støtteark!$B$30)),AND(E37=Støtteark!$U$6,OR(O37=Støtteark!$B$29,O37=Støtteark!$B$30))),1,"")</f>
        <v>1</v>
      </c>
      <c r="AJ37" s="231">
        <f>IF(OR(AND(E37&lt;&gt;Støtteark!$U$6,N37 = Støtteark!$L$25),N37 = Støtteark!$L$26,N37 = Støtteark!$L$28,AND(N37 = Støtteark!$L$29,OR(O37=Støtteark!$B$34,O37=Støtteark!$B$35),O37&lt;&gt;Støtteark!$B$30)),1,"")</f>
        <v>1</v>
      </c>
      <c r="AK37" s="231">
        <f>IF(OR(AND(E37&lt;&gt;Støtteark!$U$6,N37 = Støtteark!$L$25),N37 = Støtteark!$L$26,N37 = Støtteark!$L$28,AND(N37 = Støtteark!$L$29,E37&lt;&gt;Støtteark!$U$6,OR(O37=Støtteark!$B$34,O37 = Støtteark!$B$30))),1,"")</f>
        <v>1</v>
      </c>
      <c r="AL37" s="231">
        <f>IF(OR(AND(E37&lt;&gt;Støtteark!$U$6,N37 = Støtteark!$L$25),N37 = Støtteark!$L$26,N37 = Støtteark!$L$28,AND(N37 = Støtteark!$L$29,O37=Støtteark!$B$34)),1,"")</f>
        <v>1</v>
      </c>
      <c r="AM37" s="231">
        <f>IF(AND(N37 = Støtteark!$L$29,OR(O37=Støtteark!$B$30,O37=Støtteark!$B$32,O37=Støtteark!$B$33,O37=Støtteark!$B$34,O37=Støtteark!$B$35)),Støtteark!$L$32,"")</f>
        <v>801</v>
      </c>
      <c r="AN37" s="235"/>
      <c r="AO37" s="91"/>
      <c r="AP37" s="170">
        <v>0</v>
      </c>
      <c r="AQ37" s="235"/>
      <c r="AR37" s="64">
        <f t="shared" ca="1" si="36"/>
        <v>44022</v>
      </c>
    </row>
    <row r="38" spans="1:44" ht="25.5" hidden="1" x14ac:dyDescent="0.25">
      <c r="A38" s="221" t="str">
        <f t="shared" si="32"/>
        <v>Kundenr.-Ejendom</v>
      </c>
      <c r="B38" s="61" t="str">
        <f>Ydelser!A38&amp;" - "&amp;Ydelser!C38</f>
        <v>317 - Omdelinger</v>
      </c>
      <c r="C38" s="61" t="str">
        <f>Ydelser!D38</f>
        <v>Breve, varslinger, informationsskrivelser etc.</v>
      </c>
      <c r="D38" s="61" t="b">
        <f>'FS Aftale'!D38</f>
        <v>0</v>
      </c>
      <c r="E38" s="156" t="str">
        <f>'FS Aftale'!E38</f>
        <v>Indeholdt</v>
      </c>
      <c r="F38" s="61" t="str">
        <f t="shared" si="33"/>
        <v>Team Ansvarlig</v>
      </c>
      <c r="G38" s="61" t="str">
        <f t="shared" si="33"/>
        <v>Ansvarlig</v>
      </c>
      <c r="H38" s="61" t="str">
        <f t="shared" si="33"/>
        <v>Servicemedarb.</v>
      </c>
      <c r="I38" s="235"/>
      <c r="J38" s="61" t="str">
        <f t="shared" si="34"/>
        <v>Fast</v>
      </c>
      <c r="K38" s="61" t="str">
        <f t="shared" si="34"/>
        <v>FS aftale</v>
      </c>
      <c r="L38" s="188">
        <f t="shared" si="34"/>
        <v>1</v>
      </c>
      <c r="M38" s="157" t="str">
        <f t="shared" si="34"/>
        <v>Mangler planlægning</v>
      </c>
      <c r="N38" s="147" t="str">
        <f>IFERROR(VLOOKUP(O38,Støtteark!$B$21:$F$35,MATCH(E38,Støtteark!$B$21:$F$21,0),0),Støtteark!$L$35)</f>
        <v>Vælg en anden kombination</v>
      </c>
      <c r="O38" s="62">
        <f>'FS Aftale'!F38</f>
        <v>4</v>
      </c>
      <c r="P38" s="179" t="str">
        <f t="shared" si="35"/>
        <v>7:00</v>
      </c>
      <c r="Q38" s="63">
        <f>'FS Aftale'!G38*Støtteark!$Q$15</f>
        <v>15</v>
      </c>
      <c r="R38" s="235"/>
      <c r="S38" s="231" t="str">
        <f>IF(OR(AND(OR(N38 = Støtteark!$L$25,N38 = Støtteark!$L$26,N38 = Støtteark!$L$28),E38&lt;&gt;Støtteark!$U$6,OR(O38=Støtteark!$B$22,O38=Støtteark!$B$23,O38=Støtteark!$B$24,O38=Støtteark!$B$25,O38=Støtteark!$B$26,O38=Støtteark!$B$27,O38=Støtteark!$B$28)),AND(E38=Støtteark!$U$6,OR(O38=Støtteark!$B$24,O38=Støtteark!$B$27,O38=Støtteark!$B$29))),1,"")</f>
        <v/>
      </c>
      <c r="T38" s="232" t="str">
        <f>IF(OR(AND(N38 = Støtteark!$L$25,E38&lt;&gt;Støtteark!$U$6,O38=Støtteark!$B$22),AND(E38=Støtteark!$U$6,O38=Støtteark!$B$24),O38=Støtteark!$B$22),1,"")</f>
        <v/>
      </c>
      <c r="U38" s="232" t="str">
        <f>IF(OR(AND(N38 = Støtteark!$L$25,E38&lt;&gt;Støtteark!$U$6,OR(O38=Støtteark!$B$22,O38=Støtteark!$B$23,O38=Støtteark!$B$24)),AND(E38=Støtteark!$U$6,OR(O38=Støtteark!$B$22,O38=Støtteark!$B$24))),1,"")</f>
        <v/>
      </c>
      <c r="V38" s="232" t="str">
        <f>IF(OR(AND(N38 = Støtteark!$L$25,E38&lt;&gt;Støtteark!$U$6,O38=Støtteark!$B$22),AND(E38=Støtteark!$U$6,OR(O38=Støtteark!$B$22,O38=Støtteark!$B$24))),1,"")</f>
        <v/>
      </c>
      <c r="W38" s="232" t="str">
        <f>IF(OR(AND(N38 = Støtteark!$L$25,E38&lt;&gt;Støtteark!$U$6,OR(O38=Støtteark!$B$22,O38=Støtteark!$B$23,O38=Støtteark!$B$24,O38=Støtteark!$B$25)),AND(E38=Støtteark!$U$6,OR(O38=Støtteark!$B$22,O38=Støtteark!$B$24))),1,"")</f>
        <v/>
      </c>
      <c r="X38" s="231"/>
      <c r="Y38" s="231"/>
      <c r="Z38" s="235"/>
      <c r="AA38" s="231" t="str">
        <f>IF(OR(AND(E38&lt;&gt;Støtteark!$U$6,N38 = Støtteark!$L$25),N38 = Støtteark!$L$26,N38 = Støtteark!$L$28,AND(N38 = Støtteark!$L$29,E38&lt;&gt;Støtteark!$U$6,OR(O38=Støtteark!$B$30,O38=Støtteark!$B$32,O38=Støtteark!$B$33,AND(E38&lt;&gt;Støtteark!$U$6,O38=Støtteark!$B$34),O38=Støtteark!$B$35))),1,"")</f>
        <v/>
      </c>
      <c r="AB38" s="231" t="str">
        <f>IF(OR(AND(E38&lt;&gt;Støtteark!$U$6,N38 = Støtteark!$L$25),N38 = Støtteark!$L$26,N38 = Støtteark!$L$28,AND(N38 = Støtteark!$L$29,O38=Støtteark!$B$34)),1,"")</f>
        <v/>
      </c>
      <c r="AC38" s="231" t="str">
        <f>IF(OR(AND(E38&lt;&gt;Støtteark!$U$6,N38 = Støtteark!$L$25),N38 = Støtteark!$L$26,N38 = Støtteark!$L$28,AND(N38 = Støtteark!$L$29,E38&lt;&gt;Støtteark!$U$6,OR(O38=Støtteark!$B$30,O38 = Støtteark!$B$34))),1,"")</f>
        <v/>
      </c>
      <c r="AD38" s="232" t="str">
        <f>IF(OR(N38 = Støtteark!$L$25,N38 = Støtteark!$L$26,N38 = Støtteark!$L$28,AND(N38 = Støtteark!$L$29,OR(O38=Støtteark!$B$34,O38=Støtteark!$B$35)),AND(E38=Støtteark!$U$6,OR(O38=Støtteark!$B$29,O38=Støtteark!$B$30,O38=Støtteark!$B$32,O38=Støtteark!$B$33))),1,"")</f>
        <v/>
      </c>
      <c r="AE38" s="231" t="str">
        <f>IF(OR(N38 = Støtteark!$L$25,N38 = Støtteark!$L$26,N38 = Støtteark!$L$28,AND(N38 = Støtteark!$L$29,OR(O38=Støtteark!$B$34,O38 = Støtteark!$B$30)),AND(E38=Støtteark!$U$6,O38=Støtteark!$B$29)),1,"")</f>
        <v/>
      </c>
      <c r="AF38" s="231" t="str">
        <f>IF(OR(N38 = Støtteark!$L$25,N38 = Støtteark!$L$26,N38 = Støtteark!$L$28,AND(N38 = Støtteark!$L$29,O38=Støtteark!$B$34),AND(E38=Støtteark!$U$6,O38=Støtteark!$B$30),AND(E38=Støtteark!$U$6,O38=Støtteark!$B$29)),1,"")</f>
        <v/>
      </c>
      <c r="AG38" s="231" t="str">
        <f>IF(OR(N38 = Støtteark!$L$25,N38 = Støtteark!$L$26,N38 = Støtteark!$L$28,AND(N38 = Støtteark!$L$29,OR(O38=Støtteark!$B$30,O38 = Støtteark!$B$31,O38=Støtteark!$B$32,O38=Støtteark!$B$34)),AND(E38=Støtteark!$U$6,OR(O38=Støtteark!$B$29,O38=Støtteark!$B$31))),1,"")</f>
        <v/>
      </c>
      <c r="AH38" s="231" t="str">
        <f>IF(OR(N38 = Støtteark!$L$25,N38 = Støtteark!$L$26,N38 = Støtteark!$L$28,AND(N38 = Støtteark!$L$29,O38=Støtteark!$B$34),AND(E38=Støtteark!$U$6,OR(O38=Støtteark!$B$29,O38=Støtteark!$B$30))),1,"")</f>
        <v/>
      </c>
      <c r="AI38" s="231" t="str">
        <f>IF(OR(N38 = Støtteark!$L$25,N38 = Støtteark!$L$26,N38 = Støtteark!$L$28,AND(N38 = Støtteark!$L$29,OR(O38=Støtteark!$B$34,O38 = Støtteark!$B$30)),AND(E38=Støtteark!$U$6,OR(O38=Støtteark!$B$29,O38=Støtteark!$B$30))),1,"")</f>
        <v/>
      </c>
      <c r="AJ38" s="231" t="str">
        <f>IF(OR(AND(E38&lt;&gt;Støtteark!$U$6,N38 = Støtteark!$L$25),N38 = Støtteark!$L$26,N38 = Støtteark!$L$28,AND(N38 = Støtteark!$L$29,OR(O38=Støtteark!$B$34,O38=Støtteark!$B$35),O38&lt;&gt;Støtteark!$B$30)),1,"")</f>
        <v/>
      </c>
      <c r="AK38" s="231" t="str">
        <f>IF(OR(AND(E38&lt;&gt;Støtteark!$U$6,N38 = Støtteark!$L$25),N38 = Støtteark!$L$26,N38 = Støtteark!$L$28,AND(N38 = Støtteark!$L$29,E38&lt;&gt;Støtteark!$U$6,OR(O38=Støtteark!$B$34,O38 = Støtteark!$B$30))),1,"")</f>
        <v/>
      </c>
      <c r="AL38" s="231" t="str">
        <f>IF(OR(AND(E38&lt;&gt;Støtteark!$U$6,N38 = Støtteark!$L$25),N38 = Støtteark!$L$26,N38 = Støtteark!$L$28,AND(N38 = Støtteark!$L$29,O38=Støtteark!$B$34)),1,"")</f>
        <v/>
      </c>
      <c r="AM38" s="231" t="str">
        <f>IF(AND(N38 = Støtteark!$L$29,OR(O38=Støtteark!$B$30,O38=Støtteark!$B$32,O38=Støtteark!$B$33,O38=Støtteark!$B$34,O38=Støtteark!$B$35)),Støtteark!$L$32,"")</f>
        <v/>
      </c>
      <c r="AN38" s="235"/>
      <c r="AO38" s="91"/>
      <c r="AP38" s="170">
        <v>0</v>
      </c>
      <c r="AQ38" s="235"/>
      <c r="AR38" s="64">
        <f t="shared" ca="1" si="36"/>
        <v>44022</v>
      </c>
    </row>
    <row r="39" spans="1:44" ht="25.5" hidden="1" x14ac:dyDescent="0.25">
      <c r="A39" s="221" t="str">
        <f t="shared" si="32"/>
        <v>Kundenr.-Ejendom</v>
      </c>
      <c r="B39" s="61" t="str">
        <f>Ydelser!A39&amp;" - "&amp;Ydelser!C39</f>
        <v>318 - Erhverv - Periodisk tilsyn med tomgangslejemål</v>
      </c>
      <c r="C39" s="61" t="str">
        <f>Ydelser!D39</f>
        <v>Umiddelbar, visuel kontrol af afløb, døre og vinduer, vand, varme, ventilation. Til sikring af funktion og undgåelse af lugtgener.</v>
      </c>
      <c r="D39" s="61" t="b">
        <f>'FS Aftale'!D39</f>
        <v>0</v>
      </c>
      <c r="E39" s="156" t="str">
        <f>'FS Aftale'!E39</f>
        <v>Månedligt</v>
      </c>
      <c r="F39" s="61" t="str">
        <f t="shared" si="33"/>
        <v>Team Ansvarlig</v>
      </c>
      <c r="G39" s="61" t="str">
        <f t="shared" si="33"/>
        <v>Ansvarlig</v>
      </c>
      <c r="H39" s="61" t="str">
        <f t="shared" si="33"/>
        <v>Servicemedarb.</v>
      </c>
      <c r="I39" s="235"/>
      <c r="J39" s="61" t="str">
        <f t="shared" si="34"/>
        <v>Fast</v>
      </c>
      <c r="K39" s="61" t="str">
        <f t="shared" si="34"/>
        <v>FS aftale</v>
      </c>
      <c r="L39" s="188">
        <f t="shared" si="34"/>
        <v>1</v>
      </c>
      <c r="M39" s="157" t="str">
        <f t="shared" si="34"/>
        <v>Mangler planlægning</v>
      </c>
      <c r="N39" s="147" t="str">
        <f>IFERROR(VLOOKUP(O39,Støtteark!$B$21:$F$35,MATCH(E39,Støtteark!$B$21:$F$21,0),0),Støtteark!$L$35)</f>
        <v>Månedligt</v>
      </c>
      <c r="O39" s="62">
        <f>'FS Aftale'!F39</f>
        <v>12</v>
      </c>
      <c r="P39" s="179" t="str">
        <f t="shared" si="35"/>
        <v>7:00</v>
      </c>
      <c r="Q39" s="63">
        <f>'FS Aftale'!G39*Støtteark!$Q$15</f>
        <v>30</v>
      </c>
      <c r="R39" s="235"/>
      <c r="S39" s="231" t="str">
        <f>IF(OR(AND(OR(N39 = Støtteark!$L$25,N39 = Støtteark!$L$26,N39 = Støtteark!$L$28),E39&lt;&gt;Støtteark!$U$6,OR(O39=Støtteark!$B$22,O39=Støtteark!$B$23,O39=Støtteark!$B$24,O39=Støtteark!$B$25,O39=Støtteark!$B$26,O39=Støtteark!$B$27,O39=Støtteark!$B$28)),AND(E39=Støtteark!$U$6,OR(O39=Støtteark!$B$24,O39=Støtteark!$B$27,O39=Støtteark!$B$29))),1,"")</f>
        <v/>
      </c>
      <c r="T39" s="232" t="str">
        <f>IF(OR(AND(N39 = Støtteark!$L$25,E39&lt;&gt;Støtteark!$U$6,O39=Støtteark!$B$22),AND(E39=Støtteark!$U$6,O39=Støtteark!$B$24),O39=Støtteark!$B$22),1,"")</f>
        <v/>
      </c>
      <c r="U39" s="232" t="str">
        <f>IF(OR(AND(N39 = Støtteark!$L$25,E39&lt;&gt;Støtteark!$U$6,OR(O39=Støtteark!$B$22,O39=Støtteark!$B$23,O39=Støtteark!$B$24)),AND(E39=Støtteark!$U$6,OR(O39=Støtteark!$B$22,O39=Støtteark!$B$24))),1,"")</f>
        <v/>
      </c>
      <c r="V39" s="232" t="str">
        <f>IF(OR(AND(N39 = Støtteark!$L$25,E39&lt;&gt;Støtteark!$U$6,O39=Støtteark!$B$22),AND(E39=Støtteark!$U$6,OR(O39=Støtteark!$B$22,O39=Støtteark!$B$24))),1,"")</f>
        <v/>
      </c>
      <c r="W39" s="232" t="str">
        <f>IF(OR(AND(N39 = Støtteark!$L$25,E39&lt;&gt;Støtteark!$U$6,OR(O39=Støtteark!$B$22,O39=Støtteark!$B$23,O39=Støtteark!$B$24,O39=Støtteark!$B$25)),AND(E39=Støtteark!$U$6,OR(O39=Støtteark!$B$22,O39=Støtteark!$B$24))),1,"")</f>
        <v/>
      </c>
      <c r="X39" s="231"/>
      <c r="Y39" s="231"/>
      <c r="Z39" s="235"/>
      <c r="AA39" s="231">
        <f>IF(OR(AND(E39&lt;&gt;Støtteark!$U$6,N39 = Støtteark!$L$25),N39 = Støtteark!$L$26,N39 = Støtteark!$L$28,AND(N39 = Støtteark!$L$29,E39&lt;&gt;Støtteark!$U$6,OR(O39=Støtteark!$B$30,O39=Støtteark!$B$32,O39=Støtteark!$B$33,AND(E39&lt;&gt;Støtteark!$U$6,O39=Støtteark!$B$34),O39=Støtteark!$B$35))),1,"")</f>
        <v>1</v>
      </c>
      <c r="AB39" s="231">
        <f>IF(OR(AND(E39&lt;&gt;Støtteark!$U$6,N39 = Støtteark!$L$25),N39 = Støtteark!$L$26,N39 = Støtteark!$L$28,AND(N39 = Støtteark!$L$29,O39=Støtteark!$B$34)),1,"")</f>
        <v>1</v>
      </c>
      <c r="AC39" s="231">
        <f>IF(OR(AND(E39&lt;&gt;Støtteark!$U$6,N39 = Støtteark!$L$25),N39 = Støtteark!$L$26,N39 = Støtteark!$L$28,AND(N39 = Støtteark!$L$29,E39&lt;&gt;Støtteark!$U$6,OR(O39=Støtteark!$B$30,O39 = Støtteark!$B$34))),1,"")</f>
        <v>1</v>
      </c>
      <c r="AD39" s="232">
        <f>IF(OR(N39 = Støtteark!$L$25,N39 = Støtteark!$L$26,N39 = Støtteark!$L$28,AND(N39 = Støtteark!$L$29,OR(O39=Støtteark!$B$34,O39=Støtteark!$B$35)),AND(E39=Støtteark!$U$6,OR(O39=Støtteark!$B$29,O39=Støtteark!$B$30,O39=Støtteark!$B$32,O39=Støtteark!$B$33))),1,"")</f>
        <v>1</v>
      </c>
      <c r="AE39" s="231">
        <f>IF(OR(N39 = Støtteark!$L$25,N39 = Støtteark!$L$26,N39 = Støtteark!$L$28,AND(N39 = Støtteark!$L$29,OR(O39=Støtteark!$B$34,O39 = Støtteark!$B$30)),AND(E39=Støtteark!$U$6,O39=Støtteark!$B$29)),1,"")</f>
        <v>1</v>
      </c>
      <c r="AF39" s="231">
        <f>IF(OR(N39 = Støtteark!$L$25,N39 = Støtteark!$L$26,N39 = Støtteark!$L$28,AND(N39 = Støtteark!$L$29,O39=Støtteark!$B$34),AND(E39=Støtteark!$U$6,O39=Støtteark!$B$30),AND(E39=Støtteark!$U$6,O39=Støtteark!$B$29)),1,"")</f>
        <v>1</v>
      </c>
      <c r="AG39" s="231">
        <f>IF(OR(N39 = Støtteark!$L$25,N39 = Støtteark!$L$26,N39 = Støtteark!$L$28,AND(N39 = Støtteark!$L$29,OR(O39=Støtteark!$B$30,O39 = Støtteark!$B$31,O39=Støtteark!$B$32,O39=Støtteark!$B$34)),AND(E39=Støtteark!$U$6,OR(O39=Støtteark!$B$29,O39=Støtteark!$B$31))),1,"")</f>
        <v>1</v>
      </c>
      <c r="AH39" s="231">
        <f>IF(OR(N39 = Støtteark!$L$25,N39 = Støtteark!$L$26,N39 = Støtteark!$L$28,AND(N39 = Støtteark!$L$29,O39=Støtteark!$B$34),AND(E39=Støtteark!$U$6,OR(O39=Støtteark!$B$29,O39=Støtteark!$B$30))),1,"")</f>
        <v>1</v>
      </c>
      <c r="AI39" s="231">
        <f>IF(OR(N39 = Støtteark!$L$25,N39 = Støtteark!$L$26,N39 = Støtteark!$L$28,AND(N39 = Støtteark!$L$29,OR(O39=Støtteark!$B$34,O39 = Støtteark!$B$30)),AND(E39=Støtteark!$U$6,OR(O39=Støtteark!$B$29,O39=Støtteark!$B$30))),1,"")</f>
        <v>1</v>
      </c>
      <c r="AJ39" s="231">
        <f>IF(OR(AND(E39&lt;&gt;Støtteark!$U$6,N39 = Støtteark!$L$25),N39 = Støtteark!$L$26,N39 = Støtteark!$L$28,AND(N39 = Støtteark!$L$29,OR(O39=Støtteark!$B$34,O39=Støtteark!$B$35),O39&lt;&gt;Støtteark!$B$30)),1,"")</f>
        <v>1</v>
      </c>
      <c r="AK39" s="231">
        <f>IF(OR(AND(E39&lt;&gt;Støtteark!$U$6,N39 = Støtteark!$L$25),N39 = Støtteark!$L$26,N39 = Støtteark!$L$28,AND(N39 = Støtteark!$L$29,E39&lt;&gt;Støtteark!$U$6,OR(O39=Støtteark!$B$34,O39 = Støtteark!$B$30))),1,"")</f>
        <v>1</v>
      </c>
      <c r="AL39" s="231">
        <f>IF(OR(AND(E39&lt;&gt;Støtteark!$U$6,N39 = Støtteark!$L$25),N39 = Støtteark!$L$26,N39 = Støtteark!$L$28,AND(N39 = Støtteark!$L$29,O39=Støtteark!$B$34)),1,"")</f>
        <v>1</v>
      </c>
      <c r="AM39" s="231">
        <f>IF(AND(N39 = Støtteark!$L$29,OR(O39=Støtteark!$B$30,O39=Støtteark!$B$32,O39=Støtteark!$B$33,O39=Støtteark!$B$34,O39=Støtteark!$B$35)),Støtteark!$L$32,"")</f>
        <v>801</v>
      </c>
      <c r="AN39" s="235"/>
      <c r="AO39" s="91"/>
      <c r="AP39" s="170">
        <v>0</v>
      </c>
      <c r="AQ39" s="235"/>
      <c r="AR39" s="64">
        <f t="shared" ca="1" si="36"/>
        <v>44022</v>
      </c>
    </row>
    <row r="40" spans="1:44" ht="25.5" hidden="1" x14ac:dyDescent="0.25">
      <c r="A40" s="221" t="str">
        <f t="shared" si="32"/>
        <v>Kundenr.-Ejendom</v>
      </c>
      <c r="B40" s="61" t="str">
        <f>Ydelser!A40&amp; " - " &amp;Ydelser!C40</f>
        <v>319 - Betalingsautomater i vaskerier</v>
      </c>
      <c r="C40" s="61" t="str">
        <f>Ydelser!D40</f>
        <v>Tømning og administration af betalingsautomater. Arbejdet omfatter tømning, veksling og indsættelse på konto i pengeinstitut.</v>
      </c>
      <c r="D40" s="248" t="b">
        <f>'FS Aftale'!D40</f>
        <v>0</v>
      </c>
      <c r="E40" s="156" t="str">
        <f>'FS Aftale'!E40</f>
        <v>Månedligt</v>
      </c>
      <c r="F40" s="61" t="str">
        <f t="shared" si="33"/>
        <v>Team Ansvarlig</v>
      </c>
      <c r="G40" s="61" t="str">
        <f t="shared" si="33"/>
        <v>Ansvarlig</v>
      </c>
      <c r="H40" s="61" t="str">
        <f t="shared" si="33"/>
        <v>Servicemedarb.</v>
      </c>
      <c r="I40" s="235"/>
      <c r="J40" s="61" t="str">
        <f t="shared" si="34"/>
        <v>Fast</v>
      </c>
      <c r="K40" s="61" t="str">
        <f t="shared" si="34"/>
        <v>FS aftale</v>
      </c>
      <c r="L40" s="188">
        <f t="shared" si="34"/>
        <v>1</v>
      </c>
      <c r="M40" s="157" t="str">
        <f t="shared" si="34"/>
        <v>Mangler planlægning</v>
      </c>
      <c r="N40" s="147" t="str">
        <f>IFERROR(VLOOKUP(O40,Støtteark!$B$21:$F$35,MATCH(E40,Støtteark!$B$21:$F$21,0),0),Støtteark!$L$35)</f>
        <v>Månedligt</v>
      </c>
      <c r="O40" s="62">
        <f>'FS Aftale'!F40</f>
        <v>12</v>
      </c>
      <c r="P40" s="179" t="str">
        <f t="shared" si="35"/>
        <v>7:00</v>
      </c>
      <c r="Q40" s="63">
        <f>'FS Aftale'!G40*Støtteark!$Q$15</f>
        <v>30</v>
      </c>
      <c r="R40" s="235"/>
      <c r="S40" s="231" t="str">
        <f>IF(OR(AND(OR(N40 = Støtteark!$L$25,N40 = Støtteark!$L$26,N40 = Støtteark!$L$28),E40&lt;&gt;Støtteark!$U$6,OR(O40=Støtteark!$B$22,O40=Støtteark!$B$23,O40=Støtteark!$B$24,O40=Støtteark!$B$25,O40=Støtteark!$B$26,O40=Støtteark!$B$27,O40=Støtteark!$B$28)),AND(E40=Støtteark!$U$6,OR(O40=Støtteark!$B$24,O40=Støtteark!$B$27,O40=Støtteark!$B$29))),1,"")</f>
        <v/>
      </c>
      <c r="T40" s="232" t="str">
        <f>IF(OR(AND(N40 = Støtteark!$L$25,E40&lt;&gt;Støtteark!$U$6,O40=Støtteark!$B$22),AND(E40=Støtteark!$U$6,O40=Støtteark!$B$24),O40=Støtteark!$B$22),1,"")</f>
        <v/>
      </c>
      <c r="U40" s="232" t="str">
        <f>IF(OR(AND(N40 = Støtteark!$L$25,E40&lt;&gt;Støtteark!$U$6,OR(O40=Støtteark!$B$22,O40=Støtteark!$B$23,O40=Støtteark!$B$24)),AND(E40=Støtteark!$U$6,OR(O40=Støtteark!$B$22,O40=Støtteark!$B$24))),1,"")</f>
        <v/>
      </c>
      <c r="V40" s="232" t="str">
        <f>IF(OR(AND(N40 = Støtteark!$L$25,E40&lt;&gt;Støtteark!$U$6,O40=Støtteark!$B$22),AND(E40=Støtteark!$U$6,OR(O40=Støtteark!$B$22,O40=Støtteark!$B$24))),1,"")</f>
        <v/>
      </c>
      <c r="W40" s="232" t="str">
        <f>IF(OR(AND(N40 = Støtteark!$L$25,E40&lt;&gt;Støtteark!$U$6,OR(O40=Støtteark!$B$22,O40=Støtteark!$B$23,O40=Støtteark!$B$24,O40=Støtteark!$B$25)),AND(E40=Støtteark!$U$6,OR(O40=Støtteark!$B$22,O40=Støtteark!$B$24))),1,"")</f>
        <v/>
      </c>
      <c r="X40" s="231"/>
      <c r="Y40" s="231"/>
      <c r="Z40" s="235"/>
      <c r="AA40" s="231">
        <f>IF(OR(AND(E40&lt;&gt;Støtteark!$U$6,N40 = Støtteark!$L$25),N40 = Støtteark!$L$26,N40 = Støtteark!$L$28,AND(N40 = Støtteark!$L$29,E40&lt;&gt;Støtteark!$U$6,OR(O40=Støtteark!$B$30,O40=Støtteark!$B$32,O40=Støtteark!$B$33,AND(E40&lt;&gt;Støtteark!$U$6,O40=Støtteark!$B$34),O40=Støtteark!$B$35))),1,"")</f>
        <v>1</v>
      </c>
      <c r="AB40" s="231">
        <f>IF(OR(AND(E40&lt;&gt;Støtteark!$U$6,N40 = Støtteark!$L$25),N40 = Støtteark!$L$26,N40 = Støtteark!$L$28,AND(N40 = Støtteark!$L$29,O40=Støtteark!$B$34)),1,"")</f>
        <v>1</v>
      </c>
      <c r="AC40" s="231">
        <f>IF(OR(AND(E40&lt;&gt;Støtteark!$U$6,N40 = Støtteark!$L$25),N40 = Støtteark!$L$26,N40 = Støtteark!$L$28,AND(N40 = Støtteark!$L$29,E40&lt;&gt;Støtteark!$U$6,OR(O40=Støtteark!$B$30,O40 = Støtteark!$B$34))),1,"")</f>
        <v>1</v>
      </c>
      <c r="AD40" s="232">
        <f>IF(OR(N40 = Støtteark!$L$25,N40 = Støtteark!$L$26,N40 = Støtteark!$L$28,AND(N40 = Støtteark!$L$29,OR(O40=Støtteark!$B$34,O40=Støtteark!$B$35)),AND(E40=Støtteark!$U$6,OR(O40=Støtteark!$B$29,O40=Støtteark!$B$30,O40=Støtteark!$B$32,O40=Støtteark!$B$33))),1,"")</f>
        <v>1</v>
      </c>
      <c r="AE40" s="231">
        <f>IF(OR(N40 = Støtteark!$L$25,N40 = Støtteark!$L$26,N40 = Støtteark!$L$28,AND(N40 = Støtteark!$L$29,OR(O40=Støtteark!$B$34,O40 = Støtteark!$B$30)),AND(E40=Støtteark!$U$6,O40=Støtteark!$B$29)),1,"")</f>
        <v>1</v>
      </c>
      <c r="AF40" s="231">
        <f>IF(OR(N40 = Støtteark!$L$25,N40 = Støtteark!$L$26,N40 = Støtteark!$L$28,AND(N40 = Støtteark!$L$29,O40=Støtteark!$B$34),AND(E40=Støtteark!$U$6,O40=Støtteark!$B$30),AND(E40=Støtteark!$U$6,O40=Støtteark!$B$29)),1,"")</f>
        <v>1</v>
      </c>
      <c r="AG40" s="231">
        <f>IF(OR(N40 = Støtteark!$L$25,N40 = Støtteark!$L$26,N40 = Støtteark!$L$28,AND(N40 = Støtteark!$L$29,OR(O40=Støtteark!$B$30,O40 = Støtteark!$B$31,O40=Støtteark!$B$32,O40=Støtteark!$B$34)),AND(E40=Støtteark!$U$6,OR(O40=Støtteark!$B$29,O40=Støtteark!$B$31))),1,"")</f>
        <v>1</v>
      </c>
      <c r="AH40" s="231">
        <f>IF(OR(N40 = Støtteark!$L$25,N40 = Støtteark!$L$26,N40 = Støtteark!$L$28,AND(N40 = Støtteark!$L$29,O40=Støtteark!$B$34),AND(E40=Støtteark!$U$6,OR(O40=Støtteark!$B$29,O40=Støtteark!$B$30))),1,"")</f>
        <v>1</v>
      </c>
      <c r="AI40" s="231">
        <f>IF(OR(N40 = Støtteark!$L$25,N40 = Støtteark!$L$26,N40 = Støtteark!$L$28,AND(N40 = Støtteark!$L$29,OR(O40=Støtteark!$B$34,O40 = Støtteark!$B$30)),AND(E40=Støtteark!$U$6,OR(O40=Støtteark!$B$29,O40=Støtteark!$B$30))),1,"")</f>
        <v>1</v>
      </c>
      <c r="AJ40" s="231">
        <f>IF(OR(AND(E40&lt;&gt;Støtteark!$U$6,N40 = Støtteark!$L$25),N40 = Støtteark!$L$26,N40 = Støtteark!$L$28,AND(N40 = Støtteark!$L$29,OR(O40=Støtteark!$B$34,O40=Støtteark!$B$35),O40&lt;&gt;Støtteark!$B$30)),1,"")</f>
        <v>1</v>
      </c>
      <c r="AK40" s="231">
        <f>IF(OR(AND(E40&lt;&gt;Støtteark!$U$6,N40 = Støtteark!$L$25),N40 = Støtteark!$L$26,N40 = Støtteark!$L$28,AND(N40 = Støtteark!$L$29,E40&lt;&gt;Støtteark!$U$6,OR(O40=Støtteark!$B$34,O40 = Støtteark!$B$30))),1,"")</f>
        <v>1</v>
      </c>
      <c r="AL40" s="231">
        <f>IF(OR(AND(E40&lt;&gt;Støtteark!$U$6,N40 = Støtteark!$L$25),N40 = Støtteark!$L$26,N40 = Støtteark!$L$28,AND(N40 = Støtteark!$L$29,O40=Støtteark!$B$34)),1,"")</f>
        <v>1</v>
      </c>
      <c r="AM40" s="231">
        <f>IF(AND(N40 = Støtteark!$L$29,OR(O40=Støtteark!$B$30,O40=Støtteark!$B$32,O40=Støtteark!$B$33,O40=Støtteark!$B$34,O40=Støtteark!$B$35)),Støtteark!$L$32,"")</f>
        <v>801</v>
      </c>
      <c r="AN40" s="235"/>
      <c r="AO40" s="91"/>
      <c r="AP40" s="170">
        <v>0</v>
      </c>
      <c r="AQ40" s="235"/>
      <c r="AR40" s="64">
        <f t="shared" ca="1" si="36"/>
        <v>44022</v>
      </c>
    </row>
    <row r="41" spans="1:44" ht="25.5" hidden="1" x14ac:dyDescent="0.25">
      <c r="A41" s="221" t="str">
        <f t="shared" si="32"/>
        <v>Kundenr.-Ejendom</v>
      </c>
      <c r="B41" s="61" t="str">
        <f>Ydelser!A41&amp; " - " &amp;Ydelser!C41</f>
        <v>320 - Opfyldning af vaskerimaskiner</v>
      </c>
      <c r="C41" s="61" t="str">
        <f>Ydelser!D41</f>
        <v>Opfyldning af sæbe, skyllemiddel mv. af vaskerimaskiner.</v>
      </c>
      <c r="D41" s="248" t="b">
        <f>'FS Aftale'!D41</f>
        <v>0</v>
      </c>
      <c r="E41" s="156" t="str">
        <f>'FS Aftale'!E41</f>
        <v>Ugentligt</v>
      </c>
      <c r="F41" s="61" t="str">
        <f t="shared" si="33"/>
        <v>Team Ansvarlig</v>
      </c>
      <c r="G41" s="61" t="str">
        <f t="shared" si="33"/>
        <v>Ansvarlig</v>
      </c>
      <c r="H41" s="61" t="str">
        <f t="shared" si="33"/>
        <v>Servicemedarb.</v>
      </c>
      <c r="I41" s="235"/>
      <c r="J41" s="61" t="str">
        <f t="shared" si="34"/>
        <v>Fast</v>
      </c>
      <c r="K41" s="61" t="str">
        <f t="shared" si="34"/>
        <v>FS aftale</v>
      </c>
      <c r="L41" s="188">
        <f t="shared" si="34"/>
        <v>1</v>
      </c>
      <c r="M41" s="157" t="str">
        <f t="shared" si="34"/>
        <v>Mangler planlægning</v>
      </c>
      <c r="N41" s="147" t="str">
        <f>IFERROR(VLOOKUP(O41,Støtteark!$B$21:$F$35,MATCH(E41,Støtteark!$B$21:$F$21,0),0),Støtteark!$L$35)</f>
        <v>Ugentligt</v>
      </c>
      <c r="O41" s="62">
        <f>'FS Aftale'!F41</f>
        <v>52</v>
      </c>
      <c r="P41" s="179" t="str">
        <f t="shared" si="35"/>
        <v>7:00</v>
      </c>
      <c r="Q41" s="63">
        <f>'FS Aftale'!G41*Støtteark!$Q$15</f>
        <v>30</v>
      </c>
      <c r="R41" s="235"/>
      <c r="S41" s="231">
        <f>IF(OR(AND(OR(N41 = Støtteark!$L$25,N41 = Støtteark!$L$26,N41 = Støtteark!$L$28),E41&lt;&gt;Støtteark!$U$6,OR(O41=Støtteark!$B$22,O41=Støtteark!$B$23,O41=Støtteark!$B$24,O41=Støtteark!$B$25,O41=Støtteark!$B$26,O41=Støtteark!$B$27,O41=Støtteark!$B$28)),AND(E41=Støtteark!$U$6,OR(O41=Støtteark!$B$24,O41=Støtteark!$B$27,O41=Støtteark!$B$29))),1,"")</f>
        <v>1</v>
      </c>
      <c r="T41" s="232" t="str">
        <f>IF(OR(AND(N41 = Støtteark!$L$25,E41&lt;&gt;Støtteark!$U$6,O41=Støtteark!$B$22),AND(E41=Støtteark!$U$6,O41=Støtteark!$B$24),O41=Støtteark!$B$22),1,"")</f>
        <v/>
      </c>
      <c r="U41" s="232" t="str">
        <f>IF(OR(AND(N41 = Støtteark!$L$25,E41&lt;&gt;Støtteark!$U$6,OR(O41=Støtteark!$B$22,O41=Støtteark!$B$23,O41=Støtteark!$B$24)),AND(E41=Støtteark!$U$6,OR(O41=Støtteark!$B$22,O41=Støtteark!$B$24))),1,"")</f>
        <v/>
      </c>
      <c r="V41" s="232" t="str">
        <f>IF(OR(AND(N41 = Støtteark!$L$25,E41&lt;&gt;Støtteark!$U$6,O41=Støtteark!$B$22),AND(E41=Støtteark!$U$6,OR(O41=Støtteark!$B$22,O41=Støtteark!$B$24))),1,"")</f>
        <v/>
      </c>
      <c r="W41" s="232" t="str">
        <f>IF(OR(AND(N41 = Støtteark!$L$25,E41&lt;&gt;Støtteark!$U$6,OR(O41=Støtteark!$B$22,O41=Støtteark!$B$23,O41=Støtteark!$B$24,O41=Støtteark!$B$25)),AND(E41=Støtteark!$U$6,OR(O41=Støtteark!$B$22,O41=Støtteark!$B$24))),1,"")</f>
        <v/>
      </c>
      <c r="X41" s="231"/>
      <c r="Y41" s="231"/>
      <c r="Z41" s="235"/>
      <c r="AA41" s="231">
        <f>IF(OR(AND(E41&lt;&gt;Støtteark!$U$6,N41 = Støtteark!$L$25),N41 = Støtteark!$L$26,N41 = Støtteark!$L$28,AND(N41 = Støtteark!$L$29,E41&lt;&gt;Støtteark!$U$6,OR(O41=Støtteark!$B$30,O41=Støtteark!$B$32,O41=Støtteark!$B$33,AND(E41&lt;&gt;Støtteark!$U$6,O41=Støtteark!$B$34),O41=Støtteark!$B$35))),1,"")</f>
        <v>1</v>
      </c>
      <c r="AB41" s="231">
        <f>IF(OR(AND(E41&lt;&gt;Støtteark!$U$6,N41 = Støtteark!$L$25),N41 = Støtteark!$L$26,N41 = Støtteark!$L$28,AND(N41 = Støtteark!$L$29,O41=Støtteark!$B$34)),1,"")</f>
        <v>1</v>
      </c>
      <c r="AC41" s="231">
        <f>IF(OR(AND(E41&lt;&gt;Støtteark!$U$6,N41 = Støtteark!$L$25),N41 = Støtteark!$L$26,N41 = Støtteark!$L$28,AND(N41 = Støtteark!$L$29,E41&lt;&gt;Støtteark!$U$6,OR(O41=Støtteark!$B$30,O41 = Støtteark!$B$34))),1,"")</f>
        <v>1</v>
      </c>
      <c r="AD41" s="232">
        <f>IF(OR(N41 = Støtteark!$L$25,N41 = Støtteark!$L$26,N41 = Støtteark!$L$28,AND(N41 = Støtteark!$L$29,OR(O41=Støtteark!$B$34,O41=Støtteark!$B$35)),AND(E41=Støtteark!$U$6,OR(O41=Støtteark!$B$29,O41=Støtteark!$B$30,O41=Støtteark!$B$32,O41=Støtteark!$B$33))),1,"")</f>
        <v>1</v>
      </c>
      <c r="AE41" s="231">
        <f>IF(OR(N41 = Støtteark!$L$25,N41 = Støtteark!$L$26,N41 = Støtteark!$L$28,AND(N41 = Støtteark!$L$29,OR(O41=Støtteark!$B$34,O41 = Støtteark!$B$30)),AND(E41=Støtteark!$U$6,O41=Støtteark!$B$29)),1,"")</f>
        <v>1</v>
      </c>
      <c r="AF41" s="231">
        <f>IF(OR(N41 = Støtteark!$L$25,N41 = Støtteark!$L$26,N41 = Støtteark!$L$28,AND(N41 = Støtteark!$L$29,O41=Støtteark!$B$34),AND(E41=Støtteark!$U$6,O41=Støtteark!$B$30),AND(E41=Støtteark!$U$6,O41=Støtteark!$B$29)),1,"")</f>
        <v>1</v>
      </c>
      <c r="AG41" s="231">
        <f>IF(OR(N41 = Støtteark!$L$25,N41 = Støtteark!$L$26,N41 = Støtteark!$L$28,AND(N41 = Støtteark!$L$29,OR(O41=Støtteark!$B$30,O41 = Støtteark!$B$31,O41=Støtteark!$B$32,O41=Støtteark!$B$34)),AND(E41=Støtteark!$U$6,OR(O41=Støtteark!$B$29,O41=Støtteark!$B$31))),1,"")</f>
        <v>1</v>
      </c>
      <c r="AH41" s="231">
        <f>IF(OR(N41 = Støtteark!$L$25,N41 = Støtteark!$L$26,N41 = Støtteark!$L$28,AND(N41 = Støtteark!$L$29,O41=Støtteark!$B$34),AND(E41=Støtteark!$U$6,OR(O41=Støtteark!$B$29,O41=Støtteark!$B$30))),1,"")</f>
        <v>1</v>
      </c>
      <c r="AI41" s="231">
        <f>IF(OR(N41 = Støtteark!$L$25,N41 = Støtteark!$L$26,N41 = Støtteark!$L$28,AND(N41 = Støtteark!$L$29,OR(O41=Støtteark!$B$34,O41 = Støtteark!$B$30)),AND(E41=Støtteark!$U$6,OR(O41=Støtteark!$B$29,O41=Støtteark!$B$30))),1,"")</f>
        <v>1</v>
      </c>
      <c r="AJ41" s="231">
        <f>IF(OR(AND(E41&lt;&gt;Støtteark!$U$6,N41 = Støtteark!$L$25),N41 = Støtteark!$L$26,N41 = Støtteark!$L$28,AND(N41 = Støtteark!$L$29,OR(O41=Støtteark!$B$34,O41=Støtteark!$B$35),O41&lt;&gt;Støtteark!$B$30)),1,"")</f>
        <v>1</v>
      </c>
      <c r="AK41" s="231">
        <f>IF(OR(AND(E41&lt;&gt;Støtteark!$U$6,N41 = Støtteark!$L$25),N41 = Støtteark!$L$26,N41 = Støtteark!$L$28,AND(N41 = Støtteark!$L$29,E41&lt;&gt;Støtteark!$U$6,OR(O41=Støtteark!$B$34,O41 = Støtteark!$B$30))),1,"")</f>
        <v>1</v>
      </c>
      <c r="AL41" s="231">
        <f>IF(OR(AND(E41&lt;&gt;Støtteark!$U$6,N41 = Støtteark!$L$25),N41 = Støtteark!$L$26,N41 = Støtteark!$L$28,AND(N41 = Støtteark!$L$29,O41=Støtteark!$B$34)),1,"")</f>
        <v>1</v>
      </c>
      <c r="AM41" s="231" t="str">
        <f>IF(AND(N41 = Støtteark!$L$29,OR(O41=Støtteark!$B$30,O41=Støtteark!$B$32,O41=Støtteark!$B$33,O41=Støtteark!$B$34,O41=Støtteark!$B$35)),Støtteark!$L$32,"")</f>
        <v/>
      </c>
      <c r="AN41" s="235"/>
      <c r="AO41" s="91"/>
      <c r="AP41" s="170">
        <v>0</v>
      </c>
      <c r="AQ41" s="235"/>
      <c r="AR41" s="64">
        <f t="shared" ca="1" si="36"/>
        <v>44022</v>
      </c>
    </row>
    <row r="42" spans="1:44" ht="25.5" hidden="1" x14ac:dyDescent="0.25">
      <c r="A42" s="221" t="str">
        <f t="shared" si="32"/>
        <v>Kundenr.-Ejendom</v>
      </c>
      <c r="B42" s="61" t="str">
        <f>Ydelser!A42&amp; " - " &amp;Ydelser!C42</f>
        <v>321 - Kontrol af ABA kontrol</v>
      </c>
      <c r="C42" s="61" t="str">
        <f>Ydelser!D42</f>
        <v>Kontrol af ABA (Automatisk Brandalarm Anlæg).</v>
      </c>
      <c r="D42" s="248" t="b">
        <f>'FS Aftale'!D42</f>
        <v>0</v>
      </c>
      <c r="E42" s="156" t="str">
        <f>'FS Aftale'!E42</f>
        <v>Månedligt</v>
      </c>
      <c r="F42" s="61" t="str">
        <f t="shared" si="33"/>
        <v>Team Ansvarlig</v>
      </c>
      <c r="G42" s="61" t="str">
        <f t="shared" si="33"/>
        <v>Ansvarlig</v>
      </c>
      <c r="H42" s="61" t="str">
        <f t="shared" si="33"/>
        <v>Servicemedarb.</v>
      </c>
      <c r="I42" s="235"/>
      <c r="J42" s="61" t="str">
        <f t="shared" si="34"/>
        <v>Fast</v>
      </c>
      <c r="K42" s="61" t="str">
        <f t="shared" si="34"/>
        <v>FS aftale</v>
      </c>
      <c r="L42" s="188">
        <f t="shared" si="34"/>
        <v>1</v>
      </c>
      <c r="M42" s="157" t="str">
        <f t="shared" si="34"/>
        <v>Mangler planlægning</v>
      </c>
      <c r="N42" s="147" t="str">
        <f>IFERROR(VLOOKUP(O42,Støtteark!$B$21:$F$35,MATCH(E42,Støtteark!$B$21:$F$21,0),0),Støtteark!$L$35)</f>
        <v>Månedligt</v>
      </c>
      <c r="O42" s="62">
        <f>'FS Aftale'!F42</f>
        <v>12</v>
      </c>
      <c r="P42" s="179" t="str">
        <f t="shared" si="35"/>
        <v>7:00</v>
      </c>
      <c r="Q42" s="63">
        <f>'FS Aftale'!G42*Støtteark!$Q$15</f>
        <v>30</v>
      </c>
      <c r="R42" s="235"/>
      <c r="S42" s="231" t="str">
        <f>IF(OR(AND(OR(N42 = Støtteark!$L$25,N42 = Støtteark!$L$26,N42 = Støtteark!$L$28),E42&lt;&gt;Støtteark!$U$6,OR(O42=Støtteark!$B$22,O42=Støtteark!$B$23,O42=Støtteark!$B$24,O42=Støtteark!$B$25,O42=Støtteark!$B$26,O42=Støtteark!$B$27,O42=Støtteark!$B$28)),AND(E42=Støtteark!$U$6,OR(O42=Støtteark!$B$24,O42=Støtteark!$B$27,O42=Støtteark!$B$29))),1,"")</f>
        <v/>
      </c>
      <c r="T42" s="232" t="str">
        <f>IF(OR(AND(N42 = Støtteark!$L$25,E42&lt;&gt;Støtteark!$U$6,O42=Støtteark!$B$22),AND(E42=Støtteark!$U$6,O42=Støtteark!$B$24),O42=Støtteark!$B$22),1,"")</f>
        <v/>
      </c>
      <c r="U42" s="232" t="str">
        <f>IF(OR(AND(N42 = Støtteark!$L$25,E42&lt;&gt;Støtteark!$U$6,OR(O42=Støtteark!$B$22,O42=Støtteark!$B$23,O42=Støtteark!$B$24)),AND(E42=Støtteark!$U$6,OR(O42=Støtteark!$B$22,O42=Støtteark!$B$24))),1,"")</f>
        <v/>
      </c>
      <c r="V42" s="232" t="str">
        <f>IF(OR(AND(N42 = Støtteark!$L$25,E42&lt;&gt;Støtteark!$U$6,O42=Støtteark!$B$22),AND(E42=Støtteark!$U$6,OR(O42=Støtteark!$B$22,O42=Støtteark!$B$24))),1,"")</f>
        <v/>
      </c>
      <c r="W42" s="232" t="str">
        <f>IF(OR(AND(N42 = Støtteark!$L$25,E42&lt;&gt;Støtteark!$U$6,OR(O42=Støtteark!$B$22,O42=Støtteark!$B$23,O42=Støtteark!$B$24,O42=Støtteark!$B$25)),AND(E42=Støtteark!$U$6,OR(O42=Støtteark!$B$22,O42=Støtteark!$B$24))),1,"")</f>
        <v/>
      </c>
      <c r="X42" s="231"/>
      <c r="Y42" s="231"/>
      <c r="Z42" s="235"/>
      <c r="AA42" s="231">
        <f>IF(OR(AND(E42&lt;&gt;Støtteark!$U$6,N42 = Støtteark!$L$25),N42 = Støtteark!$L$26,N42 = Støtteark!$L$28,AND(N42 = Støtteark!$L$29,E42&lt;&gt;Støtteark!$U$6,OR(O42=Støtteark!$B$30,O42=Støtteark!$B$32,O42=Støtteark!$B$33,AND(E42&lt;&gt;Støtteark!$U$6,O42=Støtteark!$B$34),O42=Støtteark!$B$35))),1,"")</f>
        <v>1</v>
      </c>
      <c r="AB42" s="231">
        <f>IF(OR(AND(E42&lt;&gt;Støtteark!$U$6,N42 = Støtteark!$L$25),N42 = Støtteark!$L$26,N42 = Støtteark!$L$28,AND(N42 = Støtteark!$L$29,O42=Støtteark!$B$34)),1,"")</f>
        <v>1</v>
      </c>
      <c r="AC42" s="231">
        <f>IF(OR(AND(E42&lt;&gt;Støtteark!$U$6,N42 = Støtteark!$L$25),N42 = Støtteark!$L$26,N42 = Støtteark!$L$28,AND(N42 = Støtteark!$L$29,E42&lt;&gt;Støtteark!$U$6,OR(O42=Støtteark!$B$30,O42 = Støtteark!$B$34))),1,"")</f>
        <v>1</v>
      </c>
      <c r="AD42" s="232">
        <f>IF(OR(N42 = Støtteark!$L$25,N42 = Støtteark!$L$26,N42 = Støtteark!$L$28,AND(N42 = Støtteark!$L$29,OR(O42=Støtteark!$B$34,O42=Støtteark!$B$35)),AND(E42=Støtteark!$U$6,OR(O42=Støtteark!$B$29,O42=Støtteark!$B$30,O42=Støtteark!$B$32,O42=Støtteark!$B$33))),1,"")</f>
        <v>1</v>
      </c>
      <c r="AE42" s="231">
        <f>IF(OR(N42 = Støtteark!$L$25,N42 = Støtteark!$L$26,N42 = Støtteark!$L$28,AND(N42 = Støtteark!$L$29,OR(O42=Støtteark!$B$34,O42 = Støtteark!$B$30)),AND(E42=Støtteark!$U$6,O42=Støtteark!$B$29)),1,"")</f>
        <v>1</v>
      </c>
      <c r="AF42" s="231">
        <f>IF(OR(N42 = Støtteark!$L$25,N42 = Støtteark!$L$26,N42 = Støtteark!$L$28,AND(N42 = Støtteark!$L$29,O42=Støtteark!$B$34),AND(E42=Støtteark!$U$6,O42=Støtteark!$B$30),AND(E42=Støtteark!$U$6,O42=Støtteark!$B$29)),1,"")</f>
        <v>1</v>
      </c>
      <c r="AG42" s="231">
        <f>IF(OR(N42 = Støtteark!$L$25,N42 = Støtteark!$L$26,N42 = Støtteark!$L$28,AND(N42 = Støtteark!$L$29,OR(O42=Støtteark!$B$30,O42 = Støtteark!$B$31,O42=Støtteark!$B$32,O42=Støtteark!$B$34)),AND(E42=Støtteark!$U$6,OR(O42=Støtteark!$B$29,O42=Støtteark!$B$31))),1,"")</f>
        <v>1</v>
      </c>
      <c r="AH42" s="231">
        <f>IF(OR(N42 = Støtteark!$L$25,N42 = Støtteark!$L$26,N42 = Støtteark!$L$28,AND(N42 = Støtteark!$L$29,O42=Støtteark!$B$34),AND(E42=Støtteark!$U$6,OR(O42=Støtteark!$B$29,O42=Støtteark!$B$30))),1,"")</f>
        <v>1</v>
      </c>
      <c r="AI42" s="231">
        <f>IF(OR(N42 = Støtteark!$L$25,N42 = Støtteark!$L$26,N42 = Støtteark!$L$28,AND(N42 = Støtteark!$L$29,OR(O42=Støtteark!$B$34,O42 = Støtteark!$B$30)),AND(E42=Støtteark!$U$6,OR(O42=Støtteark!$B$29,O42=Støtteark!$B$30))),1,"")</f>
        <v>1</v>
      </c>
      <c r="AJ42" s="231">
        <f>IF(OR(AND(E42&lt;&gt;Støtteark!$U$6,N42 = Støtteark!$L$25),N42 = Støtteark!$L$26,N42 = Støtteark!$L$28,AND(N42 = Støtteark!$L$29,OR(O42=Støtteark!$B$34,O42=Støtteark!$B$35),O42&lt;&gt;Støtteark!$B$30)),1,"")</f>
        <v>1</v>
      </c>
      <c r="AK42" s="231">
        <f>IF(OR(AND(E42&lt;&gt;Støtteark!$U$6,N42 = Støtteark!$L$25),N42 = Støtteark!$L$26,N42 = Støtteark!$L$28,AND(N42 = Støtteark!$L$29,E42&lt;&gt;Støtteark!$U$6,OR(O42=Støtteark!$B$34,O42 = Støtteark!$B$30))),1,"")</f>
        <v>1</v>
      </c>
      <c r="AL42" s="231">
        <f>IF(OR(AND(E42&lt;&gt;Støtteark!$U$6,N42 = Støtteark!$L$25),N42 = Støtteark!$L$26,N42 = Støtteark!$L$28,AND(N42 = Støtteark!$L$29,O42=Støtteark!$B$34)),1,"")</f>
        <v>1</v>
      </c>
      <c r="AM42" s="231">
        <f>IF(AND(N42 = Støtteark!$L$29,OR(O42=Støtteark!$B$30,O42=Støtteark!$B$32,O42=Støtteark!$B$33,O42=Støtteark!$B$34,O42=Støtteark!$B$35)),Støtteark!$L$32,"")</f>
        <v>801</v>
      </c>
      <c r="AN42" s="235"/>
      <c r="AO42" s="91"/>
      <c r="AP42" s="170">
        <v>0</v>
      </c>
      <c r="AQ42" s="235"/>
      <c r="AR42" s="64">
        <f t="shared" ca="1" si="36"/>
        <v>44022</v>
      </c>
    </row>
    <row r="43" spans="1:44" ht="25.5" hidden="1" x14ac:dyDescent="0.25">
      <c r="A43" s="221" t="str">
        <f t="shared" si="32"/>
        <v>Kundenr.-Ejendom</v>
      </c>
      <c r="B43" s="61" t="str">
        <f>Ydelser!A43&amp; " - " &amp;Ydelser!C43</f>
        <v>322 - Kontrol af AVS</v>
      </c>
      <c r="C43" s="61" t="str">
        <f>Ydelser!D43</f>
        <v>Kontrol af AVS (Automatisk Sprinkleranlæg).Afprøvning af AVS (Automatisk Sprinkleranlæg) jf. DBI’s vejledning og kontrolskema anført i ”DBI retningslinie 005”. 
Fremgangsmåde (”normal” anlæg):
Afmelding af alarm – brandstation
Slavisk gennemgang af kontrolskema:
- Tjek ventiler (over- &amp; underbar)
- Tjek tryk i tank (bar)
- Tjek opstart af pumpe El/diesel (ved korrekt tryk – bar)
- Tjek alarmklokke
- Tjek alarm til brandvæsen
- Tjek vandstand (tryktank/reservoir) 
Efter endt afprøvning tilkobles alarmen igen via brandstation.</v>
      </c>
      <c r="D43" s="248" t="b">
        <f>'FS Aftale'!D43</f>
        <v>0</v>
      </c>
      <c r="E43" s="156" t="str">
        <f>'FS Aftale'!E43</f>
        <v>Månedligt</v>
      </c>
      <c r="F43" s="61" t="str">
        <f t="shared" si="33"/>
        <v>Team Ansvarlig</v>
      </c>
      <c r="G43" s="61" t="str">
        <f t="shared" si="33"/>
        <v>Ansvarlig</v>
      </c>
      <c r="H43" s="61" t="str">
        <f t="shared" si="33"/>
        <v>Servicemedarb.</v>
      </c>
      <c r="I43" s="235"/>
      <c r="J43" s="61" t="str">
        <f t="shared" si="34"/>
        <v>Fast</v>
      </c>
      <c r="K43" s="61" t="str">
        <f t="shared" si="34"/>
        <v>FS aftale</v>
      </c>
      <c r="L43" s="188">
        <f t="shared" si="34"/>
        <v>1</v>
      </c>
      <c r="M43" s="157" t="str">
        <f t="shared" si="34"/>
        <v>Mangler planlægning</v>
      </c>
      <c r="N43" s="147" t="str">
        <f>IFERROR(VLOOKUP(O43,Støtteark!$B$21:$F$35,MATCH(E43,Støtteark!$B$21:$F$21,0),0),Støtteark!$L$35)</f>
        <v>Månedligt</v>
      </c>
      <c r="O43" s="62">
        <f>'FS Aftale'!F43</f>
        <v>12</v>
      </c>
      <c r="P43" s="179" t="str">
        <f t="shared" si="35"/>
        <v>7:00</v>
      </c>
      <c r="Q43" s="63">
        <f>'FS Aftale'!G43*Støtteark!$Q$15</f>
        <v>30</v>
      </c>
      <c r="R43" s="235"/>
      <c r="S43" s="231" t="str">
        <f>IF(OR(AND(OR(N43 = Støtteark!$L$25,N43 = Støtteark!$L$26,N43 = Støtteark!$L$28),E43&lt;&gt;Støtteark!$U$6,OR(O43=Støtteark!$B$22,O43=Støtteark!$B$23,O43=Støtteark!$B$24,O43=Støtteark!$B$25,O43=Støtteark!$B$26,O43=Støtteark!$B$27,O43=Støtteark!$B$28)),AND(E43=Støtteark!$U$6,OR(O43=Støtteark!$B$24,O43=Støtteark!$B$27,O43=Støtteark!$B$29))),1,"")</f>
        <v/>
      </c>
      <c r="T43" s="232" t="str">
        <f>IF(OR(AND(N43 = Støtteark!$L$25,E43&lt;&gt;Støtteark!$U$6,O43=Støtteark!$B$22),AND(E43=Støtteark!$U$6,O43=Støtteark!$B$24),O43=Støtteark!$B$22),1,"")</f>
        <v/>
      </c>
      <c r="U43" s="232" t="str">
        <f>IF(OR(AND(N43 = Støtteark!$L$25,E43&lt;&gt;Støtteark!$U$6,OR(O43=Støtteark!$B$22,O43=Støtteark!$B$23,O43=Støtteark!$B$24)),AND(E43=Støtteark!$U$6,OR(O43=Støtteark!$B$22,O43=Støtteark!$B$24))),1,"")</f>
        <v/>
      </c>
      <c r="V43" s="232" t="str">
        <f>IF(OR(AND(N43 = Støtteark!$L$25,E43&lt;&gt;Støtteark!$U$6,O43=Støtteark!$B$22),AND(E43=Støtteark!$U$6,OR(O43=Støtteark!$B$22,O43=Støtteark!$B$24))),1,"")</f>
        <v/>
      </c>
      <c r="W43" s="232" t="str">
        <f>IF(OR(AND(N43 = Støtteark!$L$25,E43&lt;&gt;Støtteark!$U$6,OR(O43=Støtteark!$B$22,O43=Støtteark!$B$23,O43=Støtteark!$B$24,O43=Støtteark!$B$25)),AND(E43=Støtteark!$U$6,OR(O43=Støtteark!$B$22,O43=Støtteark!$B$24))),1,"")</f>
        <v/>
      </c>
      <c r="X43" s="231"/>
      <c r="Y43" s="231"/>
      <c r="Z43" s="235"/>
      <c r="AA43" s="231">
        <f>IF(OR(AND(E43&lt;&gt;Støtteark!$U$6,N43 = Støtteark!$L$25),N43 = Støtteark!$L$26,N43 = Støtteark!$L$28,AND(N43 = Støtteark!$L$29,E43&lt;&gt;Støtteark!$U$6,OR(O43=Støtteark!$B$30,O43=Støtteark!$B$32,O43=Støtteark!$B$33,AND(E43&lt;&gt;Støtteark!$U$6,O43=Støtteark!$B$34),O43=Støtteark!$B$35))),1,"")</f>
        <v>1</v>
      </c>
      <c r="AB43" s="231">
        <f>IF(OR(AND(E43&lt;&gt;Støtteark!$U$6,N43 = Støtteark!$L$25),N43 = Støtteark!$L$26,N43 = Støtteark!$L$28,AND(N43 = Støtteark!$L$29,O43=Støtteark!$B$34)),1,"")</f>
        <v>1</v>
      </c>
      <c r="AC43" s="231">
        <f>IF(OR(AND(E43&lt;&gt;Støtteark!$U$6,N43 = Støtteark!$L$25),N43 = Støtteark!$L$26,N43 = Støtteark!$L$28,AND(N43 = Støtteark!$L$29,E43&lt;&gt;Støtteark!$U$6,OR(O43=Støtteark!$B$30,O43 = Støtteark!$B$34))),1,"")</f>
        <v>1</v>
      </c>
      <c r="AD43" s="232">
        <f>IF(OR(N43 = Støtteark!$L$25,N43 = Støtteark!$L$26,N43 = Støtteark!$L$28,AND(N43 = Støtteark!$L$29,OR(O43=Støtteark!$B$34,O43=Støtteark!$B$35)),AND(E43=Støtteark!$U$6,OR(O43=Støtteark!$B$29,O43=Støtteark!$B$30,O43=Støtteark!$B$32,O43=Støtteark!$B$33))),1,"")</f>
        <v>1</v>
      </c>
      <c r="AE43" s="231">
        <f>IF(OR(N43 = Støtteark!$L$25,N43 = Støtteark!$L$26,N43 = Støtteark!$L$28,AND(N43 = Støtteark!$L$29,OR(O43=Støtteark!$B$34,O43 = Støtteark!$B$30)),AND(E43=Støtteark!$U$6,O43=Støtteark!$B$29)),1,"")</f>
        <v>1</v>
      </c>
      <c r="AF43" s="231">
        <f>IF(OR(N43 = Støtteark!$L$25,N43 = Støtteark!$L$26,N43 = Støtteark!$L$28,AND(N43 = Støtteark!$L$29,O43=Støtteark!$B$34),AND(E43=Støtteark!$U$6,O43=Støtteark!$B$30),AND(E43=Støtteark!$U$6,O43=Støtteark!$B$29)),1,"")</f>
        <v>1</v>
      </c>
      <c r="AG43" s="231">
        <f>IF(OR(N43 = Støtteark!$L$25,N43 = Støtteark!$L$26,N43 = Støtteark!$L$28,AND(N43 = Støtteark!$L$29,OR(O43=Støtteark!$B$30,O43 = Støtteark!$B$31,O43=Støtteark!$B$32,O43=Støtteark!$B$34)),AND(E43=Støtteark!$U$6,OR(O43=Støtteark!$B$29,O43=Støtteark!$B$31))),1,"")</f>
        <v>1</v>
      </c>
      <c r="AH43" s="231">
        <f>IF(OR(N43 = Støtteark!$L$25,N43 = Støtteark!$L$26,N43 = Støtteark!$L$28,AND(N43 = Støtteark!$L$29,O43=Støtteark!$B$34),AND(E43=Støtteark!$U$6,OR(O43=Støtteark!$B$29,O43=Støtteark!$B$30))),1,"")</f>
        <v>1</v>
      </c>
      <c r="AI43" s="231">
        <f>IF(OR(N43 = Støtteark!$L$25,N43 = Støtteark!$L$26,N43 = Støtteark!$L$28,AND(N43 = Støtteark!$L$29,OR(O43=Støtteark!$B$34,O43 = Støtteark!$B$30)),AND(E43=Støtteark!$U$6,OR(O43=Støtteark!$B$29,O43=Støtteark!$B$30))),1,"")</f>
        <v>1</v>
      </c>
      <c r="AJ43" s="231">
        <f>IF(OR(AND(E43&lt;&gt;Støtteark!$U$6,N43 = Støtteark!$L$25),N43 = Støtteark!$L$26,N43 = Støtteark!$L$28,AND(N43 = Støtteark!$L$29,OR(O43=Støtteark!$B$34,O43=Støtteark!$B$35),O43&lt;&gt;Støtteark!$B$30)),1,"")</f>
        <v>1</v>
      </c>
      <c r="AK43" s="231">
        <f>IF(OR(AND(E43&lt;&gt;Støtteark!$U$6,N43 = Støtteark!$L$25),N43 = Støtteark!$L$26,N43 = Støtteark!$L$28,AND(N43 = Støtteark!$L$29,E43&lt;&gt;Støtteark!$U$6,OR(O43=Støtteark!$B$34,O43 = Støtteark!$B$30))),1,"")</f>
        <v>1</v>
      </c>
      <c r="AL43" s="231">
        <f>IF(OR(AND(E43&lt;&gt;Støtteark!$U$6,N43 = Støtteark!$L$25),N43 = Støtteark!$L$26,N43 = Støtteark!$L$28,AND(N43 = Støtteark!$L$29,O43=Støtteark!$B$34)),1,"")</f>
        <v>1</v>
      </c>
      <c r="AM43" s="231">
        <f>IF(AND(N43 = Støtteark!$L$29,OR(O43=Støtteark!$B$30,O43=Støtteark!$B$32,O43=Støtteark!$B$33,O43=Støtteark!$B$34,O43=Støtteark!$B$35)),Støtteark!$L$32,"")</f>
        <v>801</v>
      </c>
      <c r="AN43" s="235"/>
      <c r="AO43" s="91"/>
      <c r="AP43" s="170">
        <v>0</v>
      </c>
      <c r="AQ43" s="235"/>
      <c r="AR43" s="64">
        <f t="shared" ca="1" si="36"/>
        <v>44022</v>
      </c>
    </row>
    <row r="44" spans="1:44" ht="25.5" hidden="1" x14ac:dyDescent="0.25">
      <c r="A44" s="221" t="str">
        <f t="shared" si="32"/>
        <v>Kundenr.-Ejendom</v>
      </c>
      <c r="B44" s="61" t="str">
        <f>Ydelser!A44&amp; " - " &amp;Ydelser!C44</f>
        <v>323 - Kontrol af ABV</v>
      </c>
      <c r="C44" s="61" t="str">
        <f>Ydelser!D44</f>
        <v>Kontrol af ABV (Automatisk Brandventilation).</v>
      </c>
      <c r="D44" s="248" t="b">
        <f>'FS Aftale'!D44</f>
        <v>0</v>
      </c>
      <c r="E44" s="156" t="str">
        <f>'FS Aftale'!E44</f>
        <v>Månedligt</v>
      </c>
      <c r="F44" s="61" t="str">
        <f t="shared" si="33"/>
        <v>Team Ansvarlig</v>
      </c>
      <c r="G44" s="61" t="str">
        <f t="shared" si="33"/>
        <v>Ansvarlig</v>
      </c>
      <c r="H44" s="61" t="str">
        <f t="shared" si="33"/>
        <v>Servicemedarb.</v>
      </c>
      <c r="I44" s="235"/>
      <c r="J44" s="61" t="str">
        <f t="shared" si="34"/>
        <v>Fast</v>
      </c>
      <c r="K44" s="61" t="str">
        <f t="shared" si="34"/>
        <v>FS aftale</v>
      </c>
      <c r="L44" s="188">
        <f t="shared" si="34"/>
        <v>1</v>
      </c>
      <c r="M44" s="157" t="str">
        <f t="shared" si="34"/>
        <v>Mangler planlægning</v>
      </c>
      <c r="N44" s="147" t="str">
        <f>IFERROR(VLOOKUP(O44,Støtteark!$B$21:$F$35,MATCH(E44,Støtteark!$B$21:$F$21,0),0),Støtteark!$L$35)</f>
        <v>Månedligt</v>
      </c>
      <c r="O44" s="62">
        <f>'FS Aftale'!F44</f>
        <v>12</v>
      </c>
      <c r="P44" s="179" t="str">
        <f t="shared" si="35"/>
        <v>7:00</v>
      </c>
      <c r="Q44" s="63">
        <f>'FS Aftale'!G44*Støtteark!$Q$15</f>
        <v>30</v>
      </c>
      <c r="R44" s="235"/>
      <c r="S44" s="231" t="str">
        <f>IF(OR(AND(OR(N44 = Støtteark!$L$25,N44 = Støtteark!$L$26,N44 = Støtteark!$L$28),E44&lt;&gt;Støtteark!$U$6,OR(O44=Støtteark!$B$22,O44=Støtteark!$B$23,O44=Støtteark!$B$24,O44=Støtteark!$B$25,O44=Støtteark!$B$26,O44=Støtteark!$B$27,O44=Støtteark!$B$28)),AND(E44=Støtteark!$U$6,OR(O44=Støtteark!$B$24,O44=Støtteark!$B$27,O44=Støtteark!$B$29))),1,"")</f>
        <v/>
      </c>
      <c r="T44" s="232" t="str">
        <f>IF(OR(AND(N44 = Støtteark!$L$25,E44&lt;&gt;Støtteark!$U$6,O44=Støtteark!$B$22),AND(E44=Støtteark!$U$6,O44=Støtteark!$B$24),O44=Støtteark!$B$22),1,"")</f>
        <v/>
      </c>
      <c r="U44" s="232" t="str">
        <f>IF(OR(AND(N44 = Støtteark!$L$25,E44&lt;&gt;Støtteark!$U$6,OR(O44=Støtteark!$B$22,O44=Støtteark!$B$23,O44=Støtteark!$B$24)),AND(E44=Støtteark!$U$6,OR(O44=Støtteark!$B$22,O44=Støtteark!$B$24))),1,"")</f>
        <v/>
      </c>
      <c r="V44" s="232" t="str">
        <f>IF(OR(AND(N44 = Støtteark!$L$25,E44&lt;&gt;Støtteark!$U$6,O44=Støtteark!$B$22),AND(E44=Støtteark!$U$6,OR(O44=Støtteark!$B$22,O44=Støtteark!$B$24))),1,"")</f>
        <v/>
      </c>
      <c r="W44" s="232" t="str">
        <f>IF(OR(AND(N44 = Støtteark!$L$25,E44&lt;&gt;Støtteark!$U$6,OR(O44=Støtteark!$B$22,O44=Støtteark!$B$23,O44=Støtteark!$B$24,O44=Støtteark!$B$25)),AND(E44=Støtteark!$U$6,OR(O44=Støtteark!$B$22,O44=Støtteark!$B$24))),1,"")</f>
        <v/>
      </c>
      <c r="X44" s="231"/>
      <c r="Y44" s="231"/>
      <c r="Z44" s="235"/>
      <c r="AA44" s="231">
        <f>IF(OR(AND(E44&lt;&gt;Støtteark!$U$6,N44 = Støtteark!$L$25),N44 = Støtteark!$L$26,N44 = Støtteark!$L$28,AND(N44 = Støtteark!$L$29,E44&lt;&gt;Støtteark!$U$6,OR(O44=Støtteark!$B$30,O44=Støtteark!$B$32,O44=Støtteark!$B$33,AND(E44&lt;&gt;Støtteark!$U$6,O44=Støtteark!$B$34),O44=Støtteark!$B$35))),1,"")</f>
        <v>1</v>
      </c>
      <c r="AB44" s="231">
        <f>IF(OR(AND(E44&lt;&gt;Støtteark!$U$6,N44 = Støtteark!$L$25),N44 = Støtteark!$L$26,N44 = Støtteark!$L$28,AND(N44 = Støtteark!$L$29,O44=Støtteark!$B$34)),1,"")</f>
        <v>1</v>
      </c>
      <c r="AC44" s="231">
        <f>IF(OR(AND(E44&lt;&gt;Støtteark!$U$6,N44 = Støtteark!$L$25),N44 = Støtteark!$L$26,N44 = Støtteark!$L$28,AND(N44 = Støtteark!$L$29,E44&lt;&gt;Støtteark!$U$6,OR(O44=Støtteark!$B$30,O44 = Støtteark!$B$34))),1,"")</f>
        <v>1</v>
      </c>
      <c r="AD44" s="232">
        <f>IF(OR(N44 = Støtteark!$L$25,N44 = Støtteark!$L$26,N44 = Støtteark!$L$28,AND(N44 = Støtteark!$L$29,OR(O44=Støtteark!$B$34,O44=Støtteark!$B$35)),AND(E44=Støtteark!$U$6,OR(O44=Støtteark!$B$29,O44=Støtteark!$B$30,O44=Støtteark!$B$32,O44=Støtteark!$B$33))),1,"")</f>
        <v>1</v>
      </c>
      <c r="AE44" s="231">
        <f>IF(OR(N44 = Støtteark!$L$25,N44 = Støtteark!$L$26,N44 = Støtteark!$L$28,AND(N44 = Støtteark!$L$29,OR(O44=Støtteark!$B$34,O44 = Støtteark!$B$30)),AND(E44=Støtteark!$U$6,O44=Støtteark!$B$29)),1,"")</f>
        <v>1</v>
      </c>
      <c r="AF44" s="231">
        <f>IF(OR(N44 = Støtteark!$L$25,N44 = Støtteark!$L$26,N44 = Støtteark!$L$28,AND(N44 = Støtteark!$L$29,O44=Støtteark!$B$34),AND(E44=Støtteark!$U$6,O44=Støtteark!$B$30),AND(E44=Støtteark!$U$6,O44=Støtteark!$B$29)),1,"")</f>
        <v>1</v>
      </c>
      <c r="AG44" s="231">
        <f>IF(OR(N44 = Støtteark!$L$25,N44 = Støtteark!$L$26,N44 = Støtteark!$L$28,AND(N44 = Støtteark!$L$29,OR(O44=Støtteark!$B$30,O44 = Støtteark!$B$31,O44=Støtteark!$B$32,O44=Støtteark!$B$34)),AND(E44=Støtteark!$U$6,OR(O44=Støtteark!$B$29,O44=Støtteark!$B$31))),1,"")</f>
        <v>1</v>
      </c>
      <c r="AH44" s="231">
        <f>IF(OR(N44 = Støtteark!$L$25,N44 = Støtteark!$L$26,N44 = Støtteark!$L$28,AND(N44 = Støtteark!$L$29,O44=Støtteark!$B$34),AND(E44=Støtteark!$U$6,OR(O44=Støtteark!$B$29,O44=Støtteark!$B$30))),1,"")</f>
        <v>1</v>
      </c>
      <c r="AI44" s="231">
        <f>IF(OR(N44 = Støtteark!$L$25,N44 = Støtteark!$L$26,N44 = Støtteark!$L$28,AND(N44 = Støtteark!$L$29,OR(O44=Støtteark!$B$34,O44 = Støtteark!$B$30)),AND(E44=Støtteark!$U$6,OR(O44=Støtteark!$B$29,O44=Støtteark!$B$30))),1,"")</f>
        <v>1</v>
      </c>
      <c r="AJ44" s="231">
        <f>IF(OR(AND(E44&lt;&gt;Støtteark!$U$6,N44 = Støtteark!$L$25),N44 = Støtteark!$L$26,N44 = Støtteark!$L$28,AND(N44 = Støtteark!$L$29,OR(O44=Støtteark!$B$34,O44=Støtteark!$B$35),O44&lt;&gt;Støtteark!$B$30)),1,"")</f>
        <v>1</v>
      </c>
      <c r="AK44" s="231">
        <f>IF(OR(AND(E44&lt;&gt;Støtteark!$U$6,N44 = Støtteark!$L$25),N44 = Støtteark!$L$26,N44 = Støtteark!$L$28,AND(N44 = Støtteark!$L$29,E44&lt;&gt;Støtteark!$U$6,OR(O44=Støtteark!$B$34,O44 = Støtteark!$B$30))),1,"")</f>
        <v>1</v>
      </c>
      <c r="AL44" s="231">
        <f>IF(OR(AND(E44&lt;&gt;Støtteark!$U$6,N44 = Støtteark!$L$25),N44 = Støtteark!$L$26,N44 = Støtteark!$L$28,AND(N44 = Støtteark!$L$29,O44=Støtteark!$B$34)),1,"")</f>
        <v>1</v>
      </c>
      <c r="AM44" s="231">
        <f>IF(AND(N44 = Støtteark!$L$29,OR(O44=Støtteark!$B$30,O44=Støtteark!$B$32,O44=Støtteark!$B$33,O44=Støtteark!$B$34,O44=Støtteark!$B$35)),Støtteark!$L$32,"")</f>
        <v>801</v>
      </c>
      <c r="AN44" s="235"/>
      <c r="AO44" s="91"/>
      <c r="AP44" s="170">
        <v>0</v>
      </c>
      <c r="AQ44" s="235"/>
      <c r="AR44" s="64">
        <f t="shared" ca="1" si="36"/>
        <v>44022</v>
      </c>
    </row>
    <row r="45" spans="1:44" ht="25.5" hidden="1" x14ac:dyDescent="0.25">
      <c r="A45" s="221" t="str">
        <f t="shared" si="32"/>
        <v>Kundenr.-Ejendom</v>
      </c>
      <c r="B45" s="61" t="str">
        <f>Ydelser!A45&amp; " - " &amp;Ydelser!C45</f>
        <v>324 - Kontrol af ABDL</v>
      </c>
      <c r="C45" s="61" t="str">
        <f>Ydelser!D45</f>
        <v>Kontrol af ABDL (Automatisk Branddørslukning).</v>
      </c>
      <c r="D45" s="248" t="b">
        <f>'FS Aftale'!D45</f>
        <v>0</v>
      </c>
      <c r="E45" s="156" t="str">
        <f>'FS Aftale'!E45</f>
        <v>Månedligt</v>
      </c>
      <c r="F45" s="61" t="str">
        <f t="shared" si="33"/>
        <v>Team Ansvarlig</v>
      </c>
      <c r="G45" s="61" t="str">
        <f t="shared" si="33"/>
        <v>Ansvarlig</v>
      </c>
      <c r="H45" s="61" t="str">
        <f t="shared" si="33"/>
        <v>Servicemedarb.</v>
      </c>
      <c r="I45" s="235"/>
      <c r="J45" s="61" t="str">
        <f t="shared" si="34"/>
        <v>Fast</v>
      </c>
      <c r="K45" s="61" t="str">
        <f t="shared" si="34"/>
        <v>FS aftale</v>
      </c>
      <c r="L45" s="188">
        <f t="shared" si="34"/>
        <v>1</v>
      </c>
      <c r="M45" s="157" t="str">
        <f t="shared" si="34"/>
        <v>Mangler planlægning</v>
      </c>
      <c r="N45" s="147" t="str">
        <f>IFERROR(VLOOKUP(O45,Støtteark!$B$21:$F$35,MATCH(E45,Støtteark!$B$21:$F$21,0),0),Støtteark!$L$35)</f>
        <v>Månedligt</v>
      </c>
      <c r="O45" s="62">
        <f>'FS Aftale'!F45</f>
        <v>12</v>
      </c>
      <c r="P45" s="179" t="str">
        <f t="shared" si="35"/>
        <v>7:00</v>
      </c>
      <c r="Q45" s="63">
        <f>'FS Aftale'!G45*Støtteark!$Q$15</f>
        <v>30</v>
      </c>
      <c r="R45" s="235"/>
      <c r="S45" s="231" t="str">
        <f>IF(OR(AND(OR(N45 = Støtteark!$L$25,N45 = Støtteark!$L$26,N45 = Støtteark!$L$28),E45&lt;&gt;Støtteark!$U$6,OR(O45=Støtteark!$B$22,O45=Støtteark!$B$23,O45=Støtteark!$B$24,O45=Støtteark!$B$25,O45=Støtteark!$B$26,O45=Støtteark!$B$27,O45=Støtteark!$B$28)),AND(E45=Støtteark!$U$6,OR(O45=Støtteark!$B$24,O45=Støtteark!$B$27,O45=Støtteark!$B$29))),1,"")</f>
        <v/>
      </c>
      <c r="T45" s="232" t="str">
        <f>IF(OR(AND(N45 = Støtteark!$L$25,E45&lt;&gt;Støtteark!$U$6,O45=Støtteark!$B$22),AND(E45=Støtteark!$U$6,O45=Støtteark!$B$24),O45=Støtteark!$B$22),1,"")</f>
        <v/>
      </c>
      <c r="U45" s="232" t="str">
        <f>IF(OR(AND(N45 = Støtteark!$L$25,E45&lt;&gt;Støtteark!$U$6,OR(O45=Støtteark!$B$22,O45=Støtteark!$B$23,O45=Støtteark!$B$24)),AND(E45=Støtteark!$U$6,OR(O45=Støtteark!$B$22,O45=Støtteark!$B$24))),1,"")</f>
        <v/>
      </c>
      <c r="V45" s="232" t="str">
        <f>IF(OR(AND(N45 = Støtteark!$L$25,E45&lt;&gt;Støtteark!$U$6,O45=Støtteark!$B$22),AND(E45=Støtteark!$U$6,OR(O45=Støtteark!$B$22,O45=Støtteark!$B$24))),1,"")</f>
        <v/>
      </c>
      <c r="W45" s="232" t="str">
        <f>IF(OR(AND(N45 = Støtteark!$L$25,E45&lt;&gt;Støtteark!$U$6,OR(O45=Støtteark!$B$22,O45=Støtteark!$B$23,O45=Støtteark!$B$24,O45=Støtteark!$B$25)),AND(E45=Støtteark!$U$6,OR(O45=Støtteark!$B$22,O45=Støtteark!$B$24))),1,"")</f>
        <v/>
      </c>
      <c r="X45" s="231"/>
      <c r="Y45" s="231"/>
      <c r="Z45" s="235"/>
      <c r="AA45" s="231">
        <f>IF(OR(AND(E45&lt;&gt;Støtteark!$U$6,N45 = Støtteark!$L$25),N45 = Støtteark!$L$26,N45 = Støtteark!$L$28,AND(N45 = Støtteark!$L$29,E45&lt;&gt;Støtteark!$U$6,OR(O45=Støtteark!$B$30,O45=Støtteark!$B$32,O45=Støtteark!$B$33,AND(E45&lt;&gt;Støtteark!$U$6,O45=Støtteark!$B$34),O45=Støtteark!$B$35))),1,"")</f>
        <v>1</v>
      </c>
      <c r="AB45" s="231">
        <f>IF(OR(AND(E45&lt;&gt;Støtteark!$U$6,N45 = Støtteark!$L$25),N45 = Støtteark!$L$26,N45 = Støtteark!$L$28,AND(N45 = Støtteark!$L$29,O45=Støtteark!$B$34)),1,"")</f>
        <v>1</v>
      </c>
      <c r="AC45" s="231">
        <f>IF(OR(AND(E45&lt;&gt;Støtteark!$U$6,N45 = Støtteark!$L$25),N45 = Støtteark!$L$26,N45 = Støtteark!$L$28,AND(N45 = Støtteark!$L$29,E45&lt;&gt;Støtteark!$U$6,OR(O45=Støtteark!$B$30,O45 = Støtteark!$B$34))),1,"")</f>
        <v>1</v>
      </c>
      <c r="AD45" s="232">
        <f>IF(OR(N45 = Støtteark!$L$25,N45 = Støtteark!$L$26,N45 = Støtteark!$L$28,AND(N45 = Støtteark!$L$29,OR(O45=Støtteark!$B$34,O45=Støtteark!$B$35)),AND(E45=Støtteark!$U$6,OR(O45=Støtteark!$B$29,O45=Støtteark!$B$30,O45=Støtteark!$B$32,O45=Støtteark!$B$33))),1,"")</f>
        <v>1</v>
      </c>
      <c r="AE45" s="231">
        <f>IF(OR(N45 = Støtteark!$L$25,N45 = Støtteark!$L$26,N45 = Støtteark!$L$28,AND(N45 = Støtteark!$L$29,OR(O45=Støtteark!$B$34,O45 = Støtteark!$B$30)),AND(E45=Støtteark!$U$6,O45=Støtteark!$B$29)),1,"")</f>
        <v>1</v>
      </c>
      <c r="AF45" s="231">
        <f>IF(OR(N45 = Støtteark!$L$25,N45 = Støtteark!$L$26,N45 = Støtteark!$L$28,AND(N45 = Støtteark!$L$29,O45=Støtteark!$B$34),AND(E45=Støtteark!$U$6,O45=Støtteark!$B$30),AND(E45=Støtteark!$U$6,O45=Støtteark!$B$29)),1,"")</f>
        <v>1</v>
      </c>
      <c r="AG45" s="231">
        <f>IF(OR(N45 = Støtteark!$L$25,N45 = Støtteark!$L$26,N45 = Støtteark!$L$28,AND(N45 = Støtteark!$L$29,OR(O45=Støtteark!$B$30,O45 = Støtteark!$B$31,O45=Støtteark!$B$32,O45=Støtteark!$B$34)),AND(E45=Støtteark!$U$6,OR(O45=Støtteark!$B$29,O45=Støtteark!$B$31))),1,"")</f>
        <v>1</v>
      </c>
      <c r="AH45" s="231">
        <f>IF(OR(N45 = Støtteark!$L$25,N45 = Støtteark!$L$26,N45 = Støtteark!$L$28,AND(N45 = Støtteark!$L$29,O45=Støtteark!$B$34),AND(E45=Støtteark!$U$6,OR(O45=Støtteark!$B$29,O45=Støtteark!$B$30))),1,"")</f>
        <v>1</v>
      </c>
      <c r="AI45" s="231">
        <f>IF(OR(N45 = Støtteark!$L$25,N45 = Støtteark!$L$26,N45 = Støtteark!$L$28,AND(N45 = Støtteark!$L$29,OR(O45=Støtteark!$B$34,O45 = Støtteark!$B$30)),AND(E45=Støtteark!$U$6,OR(O45=Støtteark!$B$29,O45=Støtteark!$B$30))),1,"")</f>
        <v>1</v>
      </c>
      <c r="AJ45" s="231">
        <f>IF(OR(AND(E45&lt;&gt;Støtteark!$U$6,N45 = Støtteark!$L$25),N45 = Støtteark!$L$26,N45 = Støtteark!$L$28,AND(N45 = Støtteark!$L$29,OR(O45=Støtteark!$B$34,O45=Støtteark!$B$35),O45&lt;&gt;Støtteark!$B$30)),1,"")</f>
        <v>1</v>
      </c>
      <c r="AK45" s="231">
        <f>IF(OR(AND(E45&lt;&gt;Støtteark!$U$6,N45 = Støtteark!$L$25),N45 = Støtteark!$L$26,N45 = Støtteark!$L$28,AND(N45 = Støtteark!$L$29,E45&lt;&gt;Støtteark!$U$6,OR(O45=Støtteark!$B$34,O45 = Støtteark!$B$30))),1,"")</f>
        <v>1</v>
      </c>
      <c r="AL45" s="231">
        <f>IF(OR(AND(E45&lt;&gt;Støtteark!$U$6,N45 = Støtteark!$L$25),N45 = Støtteark!$L$26,N45 = Støtteark!$L$28,AND(N45 = Støtteark!$L$29,O45=Støtteark!$B$34)),1,"")</f>
        <v>1</v>
      </c>
      <c r="AM45" s="231">
        <f>IF(AND(N45 = Støtteark!$L$29,OR(O45=Støtteark!$B$30,O45=Støtteark!$B$32,O45=Støtteark!$B$33,O45=Støtteark!$B$34,O45=Støtteark!$B$35)),Støtteark!$L$32,"")</f>
        <v>801</v>
      </c>
      <c r="AN45" s="235"/>
      <c r="AO45" s="91"/>
      <c r="AP45" s="170">
        <v>0</v>
      </c>
      <c r="AQ45" s="235"/>
      <c r="AR45" s="64">
        <f t="shared" ca="1" si="36"/>
        <v>44022</v>
      </c>
    </row>
    <row r="46" spans="1:44" ht="25.5" hidden="1" x14ac:dyDescent="0.25">
      <c r="A46" s="221" t="str">
        <f t="shared" si="32"/>
        <v>Kundenr.-Ejendom</v>
      </c>
      <c r="B46" s="61" t="str">
        <f>Ydelser!A46&amp; " - " &amp;Ydelser!C46</f>
        <v>325 - Kontrol af AIA</v>
      </c>
      <c r="C46" s="61" t="str">
        <f>Ydelser!D46</f>
        <v>Kontrol af AIA (Automatisk Indbruds Alarm).</v>
      </c>
      <c r="D46" s="248" t="b">
        <f>'FS Aftale'!D46</f>
        <v>0</v>
      </c>
      <c r="E46" s="156" t="str">
        <f>'FS Aftale'!E46</f>
        <v>Ugentligt</v>
      </c>
      <c r="F46" s="61" t="str">
        <f t="shared" si="33"/>
        <v>Team Ansvarlig</v>
      </c>
      <c r="G46" s="61" t="str">
        <f t="shared" si="33"/>
        <v>Ansvarlig</v>
      </c>
      <c r="H46" s="61" t="str">
        <f t="shared" si="33"/>
        <v>Servicemedarb.</v>
      </c>
      <c r="I46" s="235"/>
      <c r="J46" s="61" t="str">
        <f t="shared" si="34"/>
        <v>Fast</v>
      </c>
      <c r="K46" s="61" t="str">
        <f t="shared" si="34"/>
        <v>FS aftale</v>
      </c>
      <c r="L46" s="188">
        <f t="shared" si="34"/>
        <v>1</v>
      </c>
      <c r="M46" s="157" t="str">
        <f t="shared" si="34"/>
        <v>Mangler planlægning</v>
      </c>
      <c r="N46" s="147" t="str">
        <f>IFERROR(VLOOKUP(O46,Støtteark!$B$21:$F$35,MATCH(E46,Støtteark!$B$21:$F$21,0),0),Støtteark!$L$35)</f>
        <v>Ugentligt</v>
      </c>
      <c r="O46" s="62">
        <f>'FS Aftale'!F46</f>
        <v>52</v>
      </c>
      <c r="P46" s="179" t="str">
        <f t="shared" si="35"/>
        <v>7:00</v>
      </c>
      <c r="Q46" s="63">
        <f>'FS Aftale'!G46*Støtteark!$Q$15</f>
        <v>240</v>
      </c>
      <c r="R46" s="235"/>
      <c r="S46" s="231">
        <f>IF(OR(AND(OR(N46 = Støtteark!$L$25,N46 = Støtteark!$L$26,N46 = Støtteark!$L$28),E46&lt;&gt;Støtteark!$U$6,OR(O46=Støtteark!$B$22,O46=Støtteark!$B$23,O46=Støtteark!$B$24,O46=Støtteark!$B$25,O46=Støtteark!$B$26,O46=Støtteark!$B$27,O46=Støtteark!$B$28)),AND(E46=Støtteark!$U$6,OR(O46=Støtteark!$B$24,O46=Støtteark!$B$27,O46=Støtteark!$B$29))),1,"")</f>
        <v>1</v>
      </c>
      <c r="T46" s="232" t="str">
        <f>IF(OR(AND(N46 = Støtteark!$L$25,E46&lt;&gt;Støtteark!$U$6,O46=Støtteark!$B$22),AND(E46=Støtteark!$U$6,O46=Støtteark!$B$24),O46=Støtteark!$B$22),1,"")</f>
        <v/>
      </c>
      <c r="U46" s="232" t="str">
        <f>IF(OR(AND(N46 = Støtteark!$L$25,E46&lt;&gt;Støtteark!$U$6,OR(O46=Støtteark!$B$22,O46=Støtteark!$B$23,O46=Støtteark!$B$24)),AND(E46=Støtteark!$U$6,OR(O46=Støtteark!$B$22,O46=Støtteark!$B$24))),1,"")</f>
        <v/>
      </c>
      <c r="V46" s="232" t="str">
        <f>IF(OR(AND(N46 = Støtteark!$L$25,E46&lt;&gt;Støtteark!$U$6,O46=Støtteark!$B$22),AND(E46=Støtteark!$U$6,OR(O46=Støtteark!$B$22,O46=Støtteark!$B$24))),1,"")</f>
        <v/>
      </c>
      <c r="W46" s="232" t="str">
        <f>IF(OR(AND(N46 = Støtteark!$L$25,E46&lt;&gt;Støtteark!$U$6,OR(O46=Støtteark!$B$22,O46=Støtteark!$B$23,O46=Støtteark!$B$24,O46=Støtteark!$B$25)),AND(E46=Støtteark!$U$6,OR(O46=Støtteark!$B$22,O46=Støtteark!$B$24))),1,"")</f>
        <v/>
      </c>
      <c r="X46" s="231"/>
      <c r="Y46" s="231"/>
      <c r="Z46" s="235"/>
      <c r="AA46" s="231">
        <f>IF(OR(AND(E46&lt;&gt;Støtteark!$U$6,N46 = Støtteark!$L$25),N46 = Støtteark!$L$26,N46 = Støtteark!$L$28,AND(N46 = Støtteark!$L$29,E46&lt;&gt;Støtteark!$U$6,OR(O46=Støtteark!$B$30,O46=Støtteark!$B$32,O46=Støtteark!$B$33,AND(E46&lt;&gt;Støtteark!$U$6,O46=Støtteark!$B$34),O46=Støtteark!$B$35))),1,"")</f>
        <v>1</v>
      </c>
      <c r="AB46" s="231">
        <f>IF(OR(AND(E46&lt;&gt;Støtteark!$U$6,N46 = Støtteark!$L$25),N46 = Støtteark!$L$26,N46 = Støtteark!$L$28,AND(N46 = Støtteark!$L$29,O46=Støtteark!$B$34)),1,"")</f>
        <v>1</v>
      </c>
      <c r="AC46" s="231">
        <f>IF(OR(AND(E46&lt;&gt;Støtteark!$U$6,N46 = Støtteark!$L$25),N46 = Støtteark!$L$26,N46 = Støtteark!$L$28,AND(N46 = Støtteark!$L$29,E46&lt;&gt;Støtteark!$U$6,OR(O46=Støtteark!$B$30,O46 = Støtteark!$B$34))),1,"")</f>
        <v>1</v>
      </c>
      <c r="AD46" s="232">
        <f>IF(OR(N46 = Støtteark!$L$25,N46 = Støtteark!$L$26,N46 = Støtteark!$L$28,AND(N46 = Støtteark!$L$29,OR(O46=Støtteark!$B$34,O46=Støtteark!$B$35)),AND(E46=Støtteark!$U$6,OR(O46=Støtteark!$B$29,O46=Støtteark!$B$30,O46=Støtteark!$B$32,O46=Støtteark!$B$33))),1,"")</f>
        <v>1</v>
      </c>
      <c r="AE46" s="231">
        <f>IF(OR(N46 = Støtteark!$L$25,N46 = Støtteark!$L$26,N46 = Støtteark!$L$28,AND(N46 = Støtteark!$L$29,OR(O46=Støtteark!$B$34,O46 = Støtteark!$B$30)),AND(E46=Støtteark!$U$6,O46=Støtteark!$B$29)),1,"")</f>
        <v>1</v>
      </c>
      <c r="AF46" s="231">
        <f>IF(OR(N46 = Støtteark!$L$25,N46 = Støtteark!$L$26,N46 = Støtteark!$L$28,AND(N46 = Støtteark!$L$29,O46=Støtteark!$B$34),AND(E46=Støtteark!$U$6,O46=Støtteark!$B$30),AND(E46=Støtteark!$U$6,O46=Støtteark!$B$29)),1,"")</f>
        <v>1</v>
      </c>
      <c r="AG46" s="231">
        <f>IF(OR(N46 = Støtteark!$L$25,N46 = Støtteark!$L$26,N46 = Støtteark!$L$28,AND(N46 = Støtteark!$L$29,OR(O46=Støtteark!$B$30,O46 = Støtteark!$B$31,O46=Støtteark!$B$32,O46=Støtteark!$B$34)),AND(E46=Støtteark!$U$6,OR(O46=Støtteark!$B$29,O46=Støtteark!$B$31))),1,"")</f>
        <v>1</v>
      </c>
      <c r="AH46" s="231">
        <f>IF(OR(N46 = Støtteark!$L$25,N46 = Støtteark!$L$26,N46 = Støtteark!$L$28,AND(N46 = Støtteark!$L$29,O46=Støtteark!$B$34),AND(E46=Støtteark!$U$6,OR(O46=Støtteark!$B$29,O46=Støtteark!$B$30))),1,"")</f>
        <v>1</v>
      </c>
      <c r="AI46" s="231">
        <f>IF(OR(N46 = Støtteark!$L$25,N46 = Støtteark!$L$26,N46 = Støtteark!$L$28,AND(N46 = Støtteark!$L$29,OR(O46=Støtteark!$B$34,O46 = Støtteark!$B$30)),AND(E46=Støtteark!$U$6,OR(O46=Støtteark!$B$29,O46=Støtteark!$B$30))),1,"")</f>
        <v>1</v>
      </c>
      <c r="AJ46" s="231">
        <f>IF(OR(AND(E46&lt;&gt;Støtteark!$U$6,N46 = Støtteark!$L$25),N46 = Støtteark!$L$26,N46 = Støtteark!$L$28,AND(N46 = Støtteark!$L$29,OR(O46=Støtteark!$B$34,O46=Støtteark!$B$35),O46&lt;&gt;Støtteark!$B$30)),1,"")</f>
        <v>1</v>
      </c>
      <c r="AK46" s="231">
        <f>IF(OR(AND(E46&lt;&gt;Støtteark!$U$6,N46 = Støtteark!$L$25),N46 = Støtteark!$L$26,N46 = Støtteark!$L$28,AND(N46 = Støtteark!$L$29,E46&lt;&gt;Støtteark!$U$6,OR(O46=Støtteark!$B$34,O46 = Støtteark!$B$30))),1,"")</f>
        <v>1</v>
      </c>
      <c r="AL46" s="231">
        <f>IF(OR(AND(E46&lt;&gt;Støtteark!$U$6,N46 = Støtteark!$L$25),N46 = Støtteark!$L$26,N46 = Støtteark!$L$28,AND(N46 = Støtteark!$L$29,O46=Støtteark!$B$34)),1,"")</f>
        <v>1</v>
      </c>
      <c r="AM46" s="231" t="str">
        <f>IF(AND(N46 = Støtteark!$L$29,OR(O46=Støtteark!$B$30,O46=Støtteark!$B$32,O46=Støtteark!$B$33,O46=Støtteark!$B$34,O46=Støtteark!$B$35)),Støtteark!$L$32,"")</f>
        <v/>
      </c>
      <c r="AN46" s="235"/>
      <c r="AO46" s="91"/>
      <c r="AP46" s="170">
        <v>0</v>
      </c>
      <c r="AQ46" s="235"/>
      <c r="AR46" s="64">
        <f t="shared" ca="1" si="36"/>
        <v>44022</v>
      </c>
    </row>
    <row r="47" spans="1:44" hidden="1" x14ac:dyDescent="0.25">
      <c r="A47" s="222"/>
      <c r="B47" s="65"/>
      <c r="C47" s="65"/>
      <c r="D47" s="65"/>
      <c r="E47" s="65"/>
      <c r="F47" s="65"/>
      <c r="G47" s="65"/>
      <c r="H47" s="65"/>
      <c r="I47" s="237"/>
      <c r="J47" s="65"/>
      <c r="K47" s="65"/>
      <c r="L47" s="189"/>
      <c r="M47" s="158"/>
      <c r="N47" s="148"/>
      <c r="O47" s="67"/>
      <c r="P47" s="180"/>
      <c r="Q47" s="67"/>
      <c r="R47" s="237"/>
      <c r="S47" s="236"/>
      <c r="T47" s="236"/>
      <c r="U47" s="236"/>
      <c r="V47" s="236"/>
      <c r="W47" s="236"/>
      <c r="X47" s="236"/>
      <c r="Y47" s="236"/>
      <c r="Z47" s="237"/>
      <c r="AA47" s="236"/>
      <c r="AB47" s="236"/>
      <c r="AC47" s="236"/>
      <c r="AD47" s="236"/>
      <c r="AE47" s="236"/>
      <c r="AF47" s="236"/>
      <c r="AG47" s="236"/>
      <c r="AH47" s="236"/>
      <c r="AI47" s="236"/>
      <c r="AJ47" s="236"/>
      <c r="AK47" s="236"/>
      <c r="AL47" s="236"/>
      <c r="AM47" s="236"/>
      <c r="AN47" s="237"/>
      <c r="AO47" s="138"/>
      <c r="AP47" s="171"/>
      <c r="AQ47" s="237"/>
      <c r="AR47" s="139"/>
    </row>
    <row r="48" spans="1:44" hidden="1" x14ac:dyDescent="0.25">
      <c r="A48" s="223"/>
      <c r="B48" s="70"/>
      <c r="C48" s="70"/>
      <c r="D48" s="70"/>
      <c r="E48" s="70"/>
      <c r="F48" s="70"/>
      <c r="G48" s="70"/>
      <c r="H48" s="70"/>
      <c r="I48" s="237"/>
      <c r="J48" s="70"/>
      <c r="K48" s="70"/>
      <c r="L48" s="190"/>
      <c r="M48" s="159"/>
      <c r="N48" s="149"/>
      <c r="O48" s="72"/>
      <c r="P48" s="181"/>
      <c r="Q48" s="72"/>
      <c r="R48" s="237"/>
      <c r="S48" s="239"/>
      <c r="T48" s="239"/>
      <c r="U48" s="239"/>
      <c r="V48" s="239"/>
      <c r="W48" s="239"/>
      <c r="X48" s="239"/>
      <c r="Y48" s="239"/>
      <c r="Z48" s="237"/>
      <c r="AA48" s="239"/>
      <c r="AB48" s="239"/>
      <c r="AC48" s="239"/>
      <c r="AD48" s="239"/>
      <c r="AE48" s="239"/>
      <c r="AF48" s="239"/>
      <c r="AG48" s="239"/>
      <c r="AH48" s="239"/>
      <c r="AI48" s="239"/>
      <c r="AJ48" s="239"/>
      <c r="AK48" s="239"/>
      <c r="AL48" s="239"/>
      <c r="AM48" s="239"/>
      <c r="AN48" s="237"/>
      <c r="AO48" s="141"/>
      <c r="AP48" s="172"/>
      <c r="AQ48" s="237"/>
      <c r="AR48" s="142"/>
    </row>
    <row r="49" spans="1:44" ht="38.25" x14ac:dyDescent="0.25">
      <c r="A49" s="221" t="str">
        <f>A46</f>
        <v>Kundenr.-Ejendom</v>
      </c>
      <c r="B49" s="61" t="s">
        <v>427</v>
      </c>
      <c r="C49" s="61" t="s">
        <v>428</v>
      </c>
      <c r="D49" s="248" t="b">
        <f>'FS Aftale'!D49</f>
        <v>1</v>
      </c>
      <c r="E49" s="156" t="str">
        <f>'FS Aftale'!E49</f>
        <v>Ugentligt</v>
      </c>
      <c r="F49" s="61" t="str">
        <f>F46</f>
        <v>Team Ansvarlig</v>
      </c>
      <c r="G49" s="61" t="str">
        <f t="shared" ref="G49:H49" si="37">G46</f>
        <v>Ansvarlig</v>
      </c>
      <c r="H49" s="61" t="str">
        <f t="shared" si="37"/>
        <v>Servicemedarb.</v>
      </c>
      <c r="I49" s="235"/>
      <c r="J49" s="61" t="str">
        <f t="shared" ref="J49:K49" si="38">J46</f>
        <v>Fast</v>
      </c>
      <c r="K49" s="61" t="str">
        <f t="shared" si="38"/>
        <v>FS aftale</v>
      </c>
      <c r="L49" s="188">
        <f>L46</f>
        <v>1</v>
      </c>
      <c r="M49" s="157" t="str">
        <f t="shared" ref="M49" si="39">M46</f>
        <v>Mangler planlægning</v>
      </c>
      <c r="N49" s="147" t="s">
        <v>301</v>
      </c>
      <c r="O49" s="62">
        <v>52</v>
      </c>
      <c r="P49" s="179" t="str">
        <f>P46</f>
        <v>7:00</v>
      </c>
      <c r="Q49" s="63">
        <v>75</v>
      </c>
      <c r="R49" s="235"/>
      <c r="S49" s="231">
        <f>IF(OR(AND(OR(N49 = Støtteark!$L$25,N49 = Støtteark!$L$26,N49 = Støtteark!$L$28),E49&lt;&gt;Støtteark!$U$6,OR(O49=Støtteark!$B$22,O49=Støtteark!$B$23,O49=Støtteark!$B$24,O49=Støtteark!$B$25,O49=Støtteark!$B$26,O49=Støtteark!$B$27,O49=Støtteark!$B$28)),AND(E49=Støtteark!$U$6,OR(O49=Støtteark!$B$24,O49=Støtteark!$B$27,O49=Støtteark!$B$29))),1,"")</f>
        <v>1</v>
      </c>
      <c r="T49" s="232" t="str">
        <f>IF(OR(AND(N49 = Støtteark!$L$25,E49&lt;&gt;Støtteark!$U$6,O49=Støtteark!$B$22),AND(E49=Støtteark!$U$6,O49=Støtteark!$B$24),O49=Støtteark!$B$22),1,"")</f>
        <v/>
      </c>
      <c r="U49" s="232" t="str">
        <f>IF(OR(AND(N49 = Støtteark!$L$25,E49&lt;&gt;Støtteark!$U$6,OR(O49=Støtteark!$B$22,O49=Støtteark!$B$23,O49=Støtteark!$B$24)),AND(E49=Støtteark!$U$6,OR(O49=Støtteark!$B$22,O49=Støtteark!$B$24))),1,"")</f>
        <v/>
      </c>
      <c r="V49" s="232" t="str">
        <f>IF(OR(AND(N49 = Støtteark!$L$25,E49&lt;&gt;Støtteark!$U$6,O49=Støtteark!$B$22),AND(E49=Støtteark!$U$6,OR(O49=Støtteark!$B$22,O49=Støtteark!$B$24))),1,"")</f>
        <v/>
      </c>
      <c r="W49" s="232" t="str">
        <f>IF(OR(AND(N49 = Støtteark!$L$25,E49&lt;&gt;Støtteark!$U$6,OR(O49=Støtteark!$B$22,O49=Støtteark!$B$23,O49=Støtteark!$B$24,O49=Støtteark!$B$25)),AND(E49=Støtteark!$U$6,OR(O49=Støtteark!$B$22,O49=Støtteark!$B$24))),1,"")</f>
        <v/>
      </c>
      <c r="X49" s="231"/>
      <c r="Y49" s="231"/>
      <c r="Z49" s="235"/>
      <c r="AA49" s="231">
        <f>IF(OR(AND(E49&lt;&gt;Støtteark!$U$6,N49 = Støtteark!$L$25),N49 = Støtteark!$L$26,N49 = Støtteark!$L$28,AND(N49 = Støtteark!$L$29,E49&lt;&gt;Støtteark!$U$6,OR(O49=Støtteark!$B$30,O49=Støtteark!$B$32,O49=Støtteark!$B$33,AND(E49&lt;&gt;Støtteark!$U$6,O49=Støtteark!$B$34),O49=Støtteark!$B$35))),1,"")</f>
        <v>1</v>
      </c>
      <c r="AB49" s="231">
        <f>IF(OR(AND(E49&lt;&gt;Støtteark!$U$6,N49 = Støtteark!$L$25),N49 = Støtteark!$L$26,N49 = Støtteark!$L$28,AND(N49 = Støtteark!$L$29,O49=Støtteark!$B$34)),1,"")</f>
        <v>1</v>
      </c>
      <c r="AC49" s="231">
        <f>IF(OR(AND(E49&lt;&gt;Støtteark!$U$6,N49 = Støtteark!$L$25),N49 = Støtteark!$L$26,N49 = Støtteark!$L$28,AND(N49 = Støtteark!$L$29,E49&lt;&gt;Støtteark!$U$6,OR(O49=Støtteark!$B$30,O49 = Støtteark!$B$34))),1,"")</f>
        <v>1</v>
      </c>
      <c r="AD49" s="232">
        <f>IF(OR(N49 = Støtteark!$L$25,N49 = Støtteark!$L$26,N49 = Støtteark!$L$28,AND(N49 = Støtteark!$L$29,OR(O49=Støtteark!$B$34,O49=Støtteark!$B$35)),AND(E49=Støtteark!$U$6,OR(O49=Støtteark!$B$29,O49=Støtteark!$B$30,O49=Støtteark!$B$32,O49=Støtteark!$B$33))),1,"")</f>
        <v>1</v>
      </c>
      <c r="AE49" s="231">
        <f>IF(OR(N49 = Støtteark!$L$25,N49 = Støtteark!$L$26,N49 = Støtteark!$L$28,AND(N49 = Støtteark!$L$29,OR(O49=Støtteark!$B$34,O49 = Støtteark!$B$30)),AND(E49=Støtteark!$U$6,O49=Støtteark!$B$29)),1,"")</f>
        <v>1</v>
      </c>
      <c r="AF49" s="231">
        <f>IF(OR(N49 = Støtteark!$L$25,N49 = Støtteark!$L$26,N49 = Støtteark!$L$28,AND(N49 = Støtteark!$L$29,O49=Støtteark!$B$34),AND(E49=Støtteark!$U$6,O49=Støtteark!$B$30),AND(E49=Støtteark!$U$6,O49=Støtteark!$B$29)),1,"")</f>
        <v>1</v>
      </c>
      <c r="AG49" s="231">
        <f>IF(OR(N49 = Støtteark!$L$25,N49 = Støtteark!$L$26,N49 = Støtteark!$L$28,AND(N49 = Støtteark!$L$29,OR(O49=Støtteark!$B$30,O49 = Støtteark!$B$31,O49=Støtteark!$B$32,O49=Støtteark!$B$34)),AND(E49=Støtteark!$U$6,OR(O49=Støtteark!$B$29,O49=Støtteark!$B$31))),1,"")</f>
        <v>1</v>
      </c>
      <c r="AH49" s="231">
        <f>IF(OR(N49 = Støtteark!$L$25,N49 = Støtteark!$L$26,N49 = Støtteark!$L$28,AND(N49 = Støtteark!$L$29,O49=Støtteark!$B$34),AND(E49=Støtteark!$U$6,OR(O49=Støtteark!$B$29,O49=Støtteark!$B$30))),1,"")</f>
        <v>1</v>
      </c>
      <c r="AI49" s="231">
        <f>IF(OR(N49 = Støtteark!$L$25,N49 = Støtteark!$L$26,N49 = Støtteark!$L$28,AND(N49 = Støtteark!$L$29,OR(O49=Støtteark!$B$34,O49 = Støtteark!$B$30)),AND(E49=Støtteark!$U$6,OR(O49=Støtteark!$B$29,O49=Støtteark!$B$30))),1,"")</f>
        <v>1</v>
      </c>
      <c r="AJ49" s="231">
        <f>IF(OR(AND(E49&lt;&gt;Støtteark!$U$6,N49 = Støtteark!$L$25),N49 = Støtteark!$L$26,N49 = Støtteark!$L$28,AND(N49 = Støtteark!$L$29,OR(O49=Støtteark!$B$34,O49=Støtteark!$B$35),O49&lt;&gt;Støtteark!$B$30)),1,"")</f>
        <v>1</v>
      </c>
      <c r="AK49" s="231">
        <f>IF(OR(AND(E49&lt;&gt;Støtteark!$U$6,N49 = Støtteark!$L$25),N49 = Støtteark!$L$26,N49 = Støtteark!$L$28,AND(N49 = Støtteark!$L$29,E49&lt;&gt;Støtteark!$U$6,OR(O49=Støtteark!$B$34,O49 = Støtteark!$B$30))),1,"")</f>
        <v>1</v>
      </c>
      <c r="AL49" s="231">
        <f>IF(OR(AND(E49&lt;&gt;Støtteark!$U$6,N49 = Støtteark!$L$25),N49 = Støtteark!$L$26,N49 = Støtteark!$L$28,AND(N49 = Støtteark!$L$29,O49=Støtteark!$B$34)),1,"")</f>
        <v>1</v>
      </c>
      <c r="AM49" s="231" t="str">
        <f>IF(AND(N49 = Støtteark!$L$29,OR(O49=Støtteark!$B$30,O49=Støtteark!$B$32,O49=Støtteark!$B$33,O49=Støtteark!$B$34,O49=Støtteark!$B$35)),Støtteark!$L$32,"")</f>
        <v/>
      </c>
      <c r="AN49" s="235"/>
      <c r="AO49" s="91"/>
      <c r="AP49" s="170">
        <v>0</v>
      </c>
      <c r="AQ49" s="235"/>
      <c r="AR49" s="64">
        <f ca="1">AR46</f>
        <v>44022</v>
      </c>
    </row>
    <row r="50" spans="1:44" ht="25.5" hidden="1" x14ac:dyDescent="0.25">
      <c r="A50" s="221" t="str">
        <f t="shared" ref="A50:A68" si="40">A49</f>
        <v>Kundenr.-Ejendom</v>
      </c>
      <c r="B50" s="61" t="str">
        <f>Ydelser!A50&amp; " - " &amp;Ydelser!C50</f>
        <v>402 - Aftørring af lamper i forbindelse med lyskildeskift</v>
      </c>
      <c r="C50" s="61" t="str">
        <f>Ydelser!D50</f>
        <v>Aftørring med tør klud.</v>
      </c>
      <c r="D50" s="248" t="b">
        <v>0</v>
      </c>
      <c r="E50" s="156" t="str">
        <f>'FS Aftale'!E50</f>
        <v>Ugentligt</v>
      </c>
      <c r="F50" s="61" t="str">
        <f t="shared" ref="F50:H65" si="41">F49</f>
        <v>Team Ansvarlig</v>
      </c>
      <c r="G50" s="61" t="str">
        <f t="shared" si="41"/>
        <v>Ansvarlig</v>
      </c>
      <c r="H50" s="61" t="str">
        <f t="shared" si="41"/>
        <v>Servicemedarb.</v>
      </c>
      <c r="I50" s="235"/>
      <c r="J50" s="61" t="str">
        <f t="shared" ref="J50:M65" si="42">J49</f>
        <v>Fast</v>
      </c>
      <c r="K50" s="61" t="str">
        <f t="shared" si="42"/>
        <v>FS aftale</v>
      </c>
      <c r="L50" s="188">
        <f t="shared" si="42"/>
        <v>1</v>
      </c>
      <c r="M50" s="157" t="str">
        <f t="shared" si="42"/>
        <v>Mangler planlægning</v>
      </c>
      <c r="N50" s="147" t="str">
        <f>IFERROR(VLOOKUP(O50,Støtteark!$B$21:$F$35,MATCH(E50,Støtteark!$B$21:$F$21,0),0),Støtteark!$L$35)</f>
        <v>Ugentligt</v>
      </c>
      <c r="O50" s="62">
        <f>'FS Aftale'!F50</f>
        <v>52</v>
      </c>
      <c r="P50" s="179" t="str">
        <f t="shared" ref="P50:P68" si="43">P49</f>
        <v>7:00</v>
      </c>
      <c r="Q50" s="63">
        <f>'FS Aftale'!G50*Støtteark!$Q$15</f>
        <v>60</v>
      </c>
      <c r="R50" s="235"/>
      <c r="S50" s="231">
        <f>IF(OR(AND(OR(N50 = Støtteark!$L$25,N50 = Støtteark!$L$26,N50 = Støtteark!$L$28),E50&lt;&gt;Støtteark!$U$6,OR(O50=Støtteark!$B$22,O50=Støtteark!$B$23,O50=Støtteark!$B$24,O50=Støtteark!$B$25,O50=Støtteark!$B$26,O50=Støtteark!$B$27,O50=Støtteark!$B$28)),AND(E50=Støtteark!$U$6,OR(O50=Støtteark!$B$24,O50=Støtteark!$B$27,O50=Støtteark!$B$29))),1,"")</f>
        <v>1</v>
      </c>
      <c r="T50" s="232" t="str">
        <f>IF(OR(AND(N50 = Støtteark!$L$25,E50&lt;&gt;Støtteark!$U$6,O50=Støtteark!$B$22),AND(E50=Støtteark!$U$6,O50=Støtteark!$B$24),O50=Støtteark!$B$22),1,"")</f>
        <v/>
      </c>
      <c r="U50" s="232" t="str">
        <f>IF(OR(AND(N50 = Støtteark!$L$25,E50&lt;&gt;Støtteark!$U$6,OR(O50=Støtteark!$B$22,O50=Støtteark!$B$23,O50=Støtteark!$B$24)),AND(E50=Støtteark!$U$6,OR(O50=Støtteark!$B$22,O50=Støtteark!$B$24))),1,"")</f>
        <v/>
      </c>
      <c r="V50" s="232" t="str">
        <f>IF(OR(AND(N50 = Støtteark!$L$25,E50&lt;&gt;Støtteark!$U$6,O50=Støtteark!$B$22),AND(E50=Støtteark!$U$6,OR(O50=Støtteark!$B$22,O50=Støtteark!$B$24))),1,"")</f>
        <v/>
      </c>
      <c r="W50" s="232" t="str">
        <f>IF(OR(AND(N50 = Støtteark!$L$25,E50&lt;&gt;Støtteark!$U$6,OR(O50=Støtteark!$B$22,O50=Støtteark!$B$23,O50=Støtteark!$B$24,O50=Støtteark!$B$25)),AND(E50=Støtteark!$U$6,OR(O50=Støtteark!$B$22,O50=Støtteark!$B$24))),1,"")</f>
        <v/>
      </c>
      <c r="X50" s="231"/>
      <c r="Y50" s="231"/>
      <c r="Z50" s="235"/>
      <c r="AA50" s="231">
        <f>IF(OR(AND(E50&lt;&gt;Støtteark!$U$6,N50 = Støtteark!$L$25),N50 = Støtteark!$L$26,N50 = Støtteark!$L$28,AND(N50 = Støtteark!$L$29,E50&lt;&gt;Støtteark!$U$6,OR(O50=Støtteark!$B$30,O50=Støtteark!$B$32,O50=Støtteark!$B$33,AND(E50&lt;&gt;Støtteark!$U$6,O50=Støtteark!$B$34),O50=Støtteark!$B$35))),1,"")</f>
        <v>1</v>
      </c>
      <c r="AB50" s="231">
        <f>IF(OR(AND(E50&lt;&gt;Støtteark!$U$6,N50 = Støtteark!$L$25),N50 = Støtteark!$L$26,N50 = Støtteark!$L$28,AND(N50 = Støtteark!$L$29,O50=Støtteark!$B$34)),1,"")</f>
        <v>1</v>
      </c>
      <c r="AC50" s="231">
        <f>IF(OR(AND(E50&lt;&gt;Støtteark!$U$6,N50 = Støtteark!$L$25),N50 = Støtteark!$L$26,N50 = Støtteark!$L$28,AND(N50 = Støtteark!$L$29,E50&lt;&gt;Støtteark!$U$6,OR(O50=Støtteark!$B$30,O50 = Støtteark!$B$34))),1,"")</f>
        <v>1</v>
      </c>
      <c r="AD50" s="232">
        <f>IF(OR(N50 = Støtteark!$L$25,N50 = Støtteark!$L$26,N50 = Støtteark!$L$28,AND(N50 = Støtteark!$L$29,OR(O50=Støtteark!$B$34,O50=Støtteark!$B$35)),AND(E50=Støtteark!$U$6,OR(O50=Støtteark!$B$29,O50=Støtteark!$B$30,O50=Støtteark!$B$32,O50=Støtteark!$B$33))),1,"")</f>
        <v>1</v>
      </c>
      <c r="AE50" s="231">
        <f>IF(OR(N50 = Støtteark!$L$25,N50 = Støtteark!$L$26,N50 = Støtteark!$L$28,AND(N50 = Støtteark!$L$29,OR(O50=Støtteark!$B$34,O50 = Støtteark!$B$30)),AND(E50=Støtteark!$U$6,O50=Støtteark!$B$29)),1,"")</f>
        <v>1</v>
      </c>
      <c r="AF50" s="231">
        <f>IF(OR(N50 = Støtteark!$L$25,N50 = Støtteark!$L$26,N50 = Støtteark!$L$28,AND(N50 = Støtteark!$L$29,O50=Støtteark!$B$34),AND(E50=Støtteark!$U$6,O50=Støtteark!$B$30),AND(E50=Støtteark!$U$6,O50=Støtteark!$B$29)),1,"")</f>
        <v>1</v>
      </c>
      <c r="AG50" s="231">
        <f>IF(OR(N50 = Støtteark!$L$25,N50 = Støtteark!$L$26,N50 = Støtteark!$L$28,AND(N50 = Støtteark!$L$29,OR(O50=Støtteark!$B$30,O50 = Støtteark!$B$31,O50=Støtteark!$B$32,O50=Støtteark!$B$34)),AND(E50=Støtteark!$U$6,OR(O50=Støtteark!$B$29,O50=Støtteark!$B$31))),1,"")</f>
        <v>1</v>
      </c>
      <c r="AH50" s="231">
        <f>IF(OR(N50 = Støtteark!$L$25,N50 = Støtteark!$L$26,N50 = Støtteark!$L$28,AND(N50 = Støtteark!$L$29,O50=Støtteark!$B$34),AND(E50=Støtteark!$U$6,OR(O50=Støtteark!$B$29,O50=Støtteark!$B$30))),1,"")</f>
        <v>1</v>
      </c>
      <c r="AI50" s="231">
        <f>IF(OR(N50 = Støtteark!$L$25,N50 = Støtteark!$L$26,N50 = Støtteark!$L$28,AND(N50 = Støtteark!$L$29,OR(O50=Støtteark!$B$34,O50 = Støtteark!$B$30)),AND(E50=Støtteark!$U$6,OR(O50=Støtteark!$B$29,O50=Støtteark!$B$30))),1,"")</f>
        <v>1</v>
      </c>
      <c r="AJ50" s="231">
        <f>IF(OR(AND(E50&lt;&gt;Støtteark!$U$6,N50 = Støtteark!$L$25),N50 = Støtteark!$L$26,N50 = Støtteark!$L$28,AND(N50 = Støtteark!$L$29,OR(O50=Støtteark!$B$34,O50=Støtteark!$B$35),O50&lt;&gt;Støtteark!$B$30)),1,"")</f>
        <v>1</v>
      </c>
      <c r="AK50" s="231">
        <f>IF(OR(AND(E50&lt;&gt;Støtteark!$U$6,N50 = Støtteark!$L$25),N50 = Støtteark!$L$26,N50 = Støtteark!$L$28,AND(N50 = Støtteark!$L$29,E50&lt;&gt;Støtteark!$U$6,OR(O50=Støtteark!$B$34,O50 = Støtteark!$B$30))),1,"")</f>
        <v>1</v>
      </c>
      <c r="AL50" s="231">
        <f>IF(OR(AND(E50&lt;&gt;Støtteark!$U$6,N50 = Støtteark!$L$25),N50 = Støtteark!$L$26,N50 = Støtteark!$L$28,AND(N50 = Støtteark!$L$29,O50=Støtteark!$B$34)),1,"")</f>
        <v>1</v>
      </c>
      <c r="AM50" s="231" t="str">
        <f>IF(AND(N50 = Støtteark!$L$29,OR(O50=Støtteark!$B$30,O50=Støtteark!$B$32,O50=Støtteark!$B$33,O50=Støtteark!$B$34,O50=Støtteark!$B$35)),Støtteark!$L$32,"")</f>
        <v/>
      </c>
      <c r="AN50" s="235"/>
      <c r="AO50" s="91"/>
      <c r="AP50" s="170">
        <v>0</v>
      </c>
      <c r="AQ50" s="235"/>
      <c r="AR50" s="64">
        <f t="shared" ref="AR50:AR68" ca="1" si="44">AR49</f>
        <v>44022</v>
      </c>
    </row>
    <row r="51" spans="1:44" ht="25.5" x14ac:dyDescent="0.25">
      <c r="A51" s="221" t="str">
        <f t="shared" si="40"/>
        <v>Kundenr.-Ejendom</v>
      </c>
      <c r="B51" s="61" t="str">
        <f>Ydelser!A51&amp;" - "&amp;Ydelser!C51</f>
        <v>403 - Løbende tilsyn af legeplads om behov for istandsættelser</v>
      </c>
      <c r="C51" s="61" t="str">
        <f>Ydelser!D51</f>
        <v>Vurdering af stand for umiddelbare justeringer, samt affald, efterladenskaber, sandkasse, faldunderlag etc.</v>
      </c>
      <c r="D51" s="61" t="b">
        <f>'FS Aftale'!D51</f>
        <v>1</v>
      </c>
      <c r="E51" s="156" t="str">
        <f>'FS Aftale'!E51</f>
        <v>Ugentligt</v>
      </c>
      <c r="F51" s="61" t="str">
        <f t="shared" si="41"/>
        <v>Team Ansvarlig</v>
      </c>
      <c r="G51" s="61" t="str">
        <f t="shared" si="41"/>
        <v>Ansvarlig</v>
      </c>
      <c r="H51" s="61" t="str">
        <f t="shared" si="41"/>
        <v>Servicemedarb.</v>
      </c>
      <c r="I51" s="235"/>
      <c r="J51" s="61" t="str">
        <f t="shared" si="42"/>
        <v>Fast</v>
      </c>
      <c r="K51" s="61" t="str">
        <f t="shared" si="42"/>
        <v>FS aftale</v>
      </c>
      <c r="L51" s="188">
        <f t="shared" si="42"/>
        <v>1</v>
      </c>
      <c r="M51" s="157" t="str">
        <f t="shared" si="42"/>
        <v>Mangler planlægning</v>
      </c>
      <c r="N51" s="147" t="str">
        <f>IFERROR(VLOOKUP(O51,Støtteark!$B$21:$F$35,MATCH(E51,Støtteark!$B$21:$F$21,0),0),Støtteark!$L$35)</f>
        <v>Ugentligt</v>
      </c>
      <c r="O51" s="62">
        <f>'FS Aftale'!F51</f>
        <v>52</v>
      </c>
      <c r="P51" s="179" t="str">
        <f t="shared" si="43"/>
        <v>7:00</v>
      </c>
      <c r="Q51" s="63">
        <f>'FS Aftale'!G51*Støtteark!$Q$15</f>
        <v>30</v>
      </c>
      <c r="R51" s="235"/>
      <c r="S51" s="231">
        <f>IF(OR(AND(OR(N51 = Støtteark!$L$25,N51 = Støtteark!$L$26,N51 = Støtteark!$L$28),E51&lt;&gt;Støtteark!$U$6,OR(O51=Støtteark!$B$22,O51=Støtteark!$B$23,O51=Støtteark!$B$24,O51=Støtteark!$B$25,O51=Støtteark!$B$26,O51=Støtteark!$B$27,O51=Støtteark!$B$28)),AND(E51=Støtteark!$U$6,OR(O51=Støtteark!$B$24,O51=Støtteark!$B$27,O51=Støtteark!$B$29))),1,"")</f>
        <v>1</v>
      </c>
      <c r="T51" s="232" t="str">
        <f>IF(OR(AND(N51 = Støtteark!$L$25,E51&lt;&gt;Støtteark!$U$6,O51=Støtteark!$B$22),AND(E51=Støtteark!$U$6,O51=Støtteark!$B$24),O51=Støtteark!$B$22),1,"")</f>
        <v/>
      </c>
      <c r="U51" s="232" t="str">
        <f>IF(OR(AND(N51 = Støtteark!$L$25,E51&lt;&gt;Støtteark!$U$6,OR(O51=Støtteark!$B$22,O51=Støtteark!$B$23,O51=Støtteark!$B$24)),AND(E51=Støtteark!$U$6,OR(O51=Støtteark!$B$22,O51=Støtteark!$B$24))),1,"")</f>
        <v/>
      </c>
      <c r="V51" s="232" t="str">
        <f>IF(OR(AND(N51 = Støtteark!$L$25,E51&lt;&gt;Støtteark!$U$6,O51=Støtteark!$B$22),AND(E51=Støtteark!$U$6,OR(O51=Støtteark!$B$22,O51=Støtteark!$B$24))),1,"")</f>
        <v/>
      </c>
      <c r="W51" s="232" t="str">
        <f>IF(OR(AND(N51 = Støtteark!$L$25,E51&lt;&gt;Støtteark!$U$6,OR(O51=Støtteark!$B$22,O51=Støtteark!$B$23,O51=Støtteark!$B$24,O51=Støtteark!$B$25)),AND(E51=Støtteark!$U$6,OR(O51=Støtteark!$B$22,O51=Støtteark!$B$24))),1,"")</f>
        <v/>
      </c>
      <c r="X51" s="231"/>
      <c r="Y51" s="231"/>
      <c r="Z51" s="235"/>
      <c r="AA51" s="231">
        <f>IF(OR(AND(E51&lt;&gt;Støtteark!$U$6,N51 = Støtteark!$L$25),N51 = Støtteark!$L$26,N51 = Støtteark!$L$28,AND(N51 = Støtteark!$L$29,E51&lt;&gt;Støtteark!$U$6,OR(O51=Støtteark!$B$30,O51=Støtteark!$B$32,O51=Støtteark!$B$33,AND(E51&lt;&gt;Støtteark!$U$6,O51=Støtteark!$B$34),O51=Støtteark!$B$35))),1,"")</f>
        <v>1</v>
      </c>
      <c r="AB51" s="231">
        <f>IF(OR(AND(E51&lt;&gt;Støtteark!$U$6,N51 = Støtteark!$L$25),N51 = Støtteark!$L$26,N51 = Støtteark!$L$28,AND(N51 = Støtteark!$L$29,O51=Støtteark!$B$34)),1,"")</f>
        <v>1</v>
      </c>
      <c r="AC51" s="231">
        <f>IF(OR(AND(E51&lt;&gt;Støtteark!$U$6,N51 = Støtteark!$L$25),N51 = Støtteark!$L$26,N51 = Støtteark!$L$28,AND(N51 = Støtteark!$L$29,E51&lt;&gt;Støtteark!$U$6,OR(O51=Støtteark!$B$30,O51 = Støtteark!$B$34))),1,"")</f>
        <v>1</v>
      </c>
      <c r="AD51" s="232">
        <f>IF(OR(N51 = Støtteark!$L$25,N51 = Støtteark!$L$26,N51 = Støtteark!$L$28,AND(N51 = Støtteark!$L$29,OR(O51=Støtteark!$B$34,O51=Støtteark!$B$35)),AND(E51=Støtteark!$U$6,OR(O51=Støtteark!$B$29,O51=Støtteark!$B$30,O51=Støtteark!$B$32,O51=Støtteark!$B$33))),1,"")</f>
        <v>1</v>
      </c>
      <c r="AE51" s="231">
        <f>IF(OR(N51 = Støtteark!$L$25,N51 = Støtteark!$L$26,N51 = Støtteark!$L$28,AND(N51 = Støtteark!$L$29,OR(O51=Støtteark!$B$34,O51 = Støtteark!$B$30)),AND(E51=Støtteark!$U$6,O51=Støtteark!$B$29)),1,"")</f>
        <v>1</v>
      </c>
      <c r="AF51" s="231">
        <f>IF(OR(N51 = Støtteark!$L$25,N51 = Støtteark!$L$26,N51 = Støtteark!$L$28,AND(N51 = Støtteark!$L$29,O51=Støtteark!$B$34),AND(E51=Støtteark!$U$6,O51=Støtteark!$B$30),AND(E51=Støtteark!$U$6,O51=Støtteark!$B$29)),1,"")</f>
        <v>1</v>
      </c>
      <c r="AG51" s="231">
        <f>IF(OR(N51 = Støtteark!$L$25,N51 = Støtteark!$L$26,N51 = Støtteark!$L$28,AND(N51 = Støtteark!$L$29,OR(O51=Støtteark!$B$30,O51 = Støtteark!$B$31,O51=Støtteark!$B$32,O51=Støtteark!$B$34)),AND(E51=Støtteark!$U$6,OR(O51=Støtteark!$B$29,O51=Støtteark!$B$31))),1,"")</f>
        <v>1</v>
      </c>
      <c r="AH51" s="231">
        <f>IF(OR(N51 = Støtteark!$L$25,N51 = Støtteark!$L$26,N51 = Støtteark!$L$28,AND(N51 = Støtteark!$L$29,O51=Støtteark!$B$34),AND(E51=Støtteark!$U$6,OR(O51=Støtteark!$B$29,O51=Støtteark!$B$30))),1,"")</f>
        <v>1</v>
      </c>
      <c r="AI51" s="231">
        <f>IF(OR(N51 = Støtteark!$L$25,N51 = Støtteark!$L$26,N51 = Støtteark!$L$28,AND(N51 = Støtteark!$L$29,OR(O51=Støtteark!$B$34,O51 = Støtteark!$B$30)),AND(E51=Støtteark!$U$6,OR(O51=Støtteark!$B$29,O51=Støtteark!$B$30))),1,"")</f>
        <v>1</v>
      </c>
      <c r="AJ51" s="231">
        <f>IF(OR(AND(E51&lt;&gt;Støtteark!$U$6,N51 = Støtteark!$L$25),N51 = Støtteark!$L$26,N51 = Støtteark!$L$28,AND(N51 = Støtteark!$L$29,OR(O51=Støtteark!$B$34,O51=Støtteark!$B$35),O51&lt;&gt;Støtteark!$B$30)),1,"")</f>
        <v>1</v>
      </c>
      <c r="AK51" s="231">
        <f>IF(OR(AND(E51&lt;&gt;Støtteark!$U$6,N51 = Støtteark!$L$25),N51 = Støtteark!$L$26,N51 = Støtteark!$L$28,AND(N51 = Støtteark!$L$29,E51&lt;&gt;Støtteark!$U$6,OR(O51=Støtteark!$B$34,O51 = Støtteark!$B$30))),1,"")</f>
        <v>1</v>
      </c>
      <c r="AL51" s="231">
        <f>IF(OR(AND(E51&lt;&gt;Støtteark!$U$6,N51 = Støtteark!$L$25),N51 = Støtteark!$L$26,N51 = Støtteark!$L$28,AND(N51 = Støtteark!$L$29,O51=Støtteark!$B$34)),1,"")</f>
        <v>1</v>
      </c>
      <c r="AM51" s="231" t="str">
        <f>IF(AND(N51 = Støtteark!$L$29,OR(O51=Støtteark!$B$30,O51=Støtteark!$B$32,O51=Støtteark!$B$33,O51=Støtteark!$B$34,O51=Støtteark!$B$35)),Støtteark!$L$32,"")</f>
        <v/>
      </c>
      <c r="AN51" s="235"/>
      <c r="AO51" s="91"/>
      <c r="AP51" s="170">
        <v>0</v>
      </c>
      <c r="AQ51" s="235"/>
      <c r="AR51" s="64">
        <f t="shared" ca="1" si="44"/>
        <v>44022</v>
      </c>
    </row>
    <row r="52" spans="1:44" ht="25.5" x14ac:dyDescent="0.25">
      <c r="A52" s="221" t="str">
        <f t="shared" si="40"/>
        <v>Kundenr.-Ejendom</v>
      </c>
      <c r="B52" s="61" t="str">
        <f>Ydelser!A52&amp;" - "&amp;Ydelser!C52</f>
        <v>404 - Fejning med feje-/sugemaskine på befæstede arealer</v>
      </c>
      <c r="C52" s="61" t="str">
        <f>Ydelser!D52</f>
        <v>Fejning på fællesarealer i fx fortove, pladser, veje, stier, parkeringsarealer m.m.</v>
      </c>
      <c r="D52" s="61" t="b">
        <f>'FS Aftale'!D52</f>
        <v>1</v>
      </c>
      <c r="E52" s="156" t="str">
        <f>'FS Aftale'!E52</f>
        <v>Månedligt</v>
      </c>
      <c r="F52" s="61" t="str">
        <f t="shared" si="41"/>
        <v>Team Ansvarlig</v>
      </c>
      <c r="G52" s="61" t="str">
        <f t="shared" si="41"/>
        <v>Ansvarlig</v>
      </c>
      <c r="H52" s="61" t="str">
        <f t="shared" si="41"/>
        <v>Servicemedarb.</v>
      </c>
      <c r="I52" s="235"/>
      <c r="J52" s="61" t="str">
        <f t="shared" si="42"/>
        <v>Fast</v>
      </c>
      <c r="K52" s="61" t="str">
        <f t="shared" si="42"/>
        <v>FS aftale</v>
      </c>
      <c r="L52" s="188">
        <f t="shared" si="42"/>
        <v>1</v>
      </c>
      <c r="M52" s="157" t="str">
        <f t="shared" si="42"/>
        <v>Mangler planlægning</v>
      </c>
      <c r="N52" s="147" t="str">
        <f>IFERROR(VLOOKUP(O52,Støtteark!$B$21:$F$35,MATCH(E52,Støtteark!$B$21:$F$21,0),0),Støtteark!$L$35)</f>
        <v>Månedligt</v>
      </c>
      <c r="O52" s="62">
        <f>'FS Aftale'!F52</f>
        <v>2</v>
      </c>
      <c r="P52" s="179" t="str">
        <f t="shared" si="43"/>
        <v>7:00</v>
      </c>
      <c r="Q52" s="63">
        <f>'FS Aftale'!G52*Støtteark!$Q$15</f>
        <v>60</v>
      </c>
      <c r="R52" s="235"/>
      <c r="S52" s="231" t="str">
        <f>IF(OR(AND(OR(N52 = Støtteark!$L$25,N52 = Støtteark!$L$26,N52 = Støtteark!$L$28),E52&lt;&gt;Støtteark!$U$6,OR(O52=Støtteark!$B$22,O52=Støtteark!$B$23,O52=Støtteark!$B$24,O52=Støtteark!$B$25,O52=Støtteark!$B$26,O52=Støtteark!$B$27,O52=Støtteark!$B$28)),AND(E52=Støtteark!$U$6,OR(O52=Støtteark!$B$24,O52=Støtteark!$B$27,O52=Støtteark!$B$29))),1,"")</f>
        <v/>
      </c>
      <c r="T52" s="232" t="str">
        <f>IF(OR(AND(N52 = Støtteark!$L$25,E52&lt;&gt;Støtteark!$U$6,O52=Støtteark!$B$22),AND(E52=Støtteark!$U$6,O52=Støtteark!$B$24),O52=Støtteark!$B$22),1,"")</f>
        <v/>
      </c>
      <c r="U52" s="232" t="str">
        <f>IF(OR(AND(N52 = Støtteark!$L$25,E52&lt;&gt;Støtteark!$U$6,OR(O52=Støtteark!$B$22,O52=Støtteark!$B$23,O52=Støtteark!$B$24)),AND(E52=Støtteark!$U$6,OR(O52=Støtteark!$B$22,O52=Støtteark!$B$24))),1,"")</f>
        <v/>
      </c>
      <c r="V52" s="232" t="str">
        <f>IF(OR(AND(N52 = Støtteark!$L$25,E52&lt;&gt;Støtteark!$U$6,O52=Støtteark!$B$22),AND(E52=Støtteark!$U$6,OR(O52=Støtteark!$B$22,O52=Støtteark!$B$24))),1,"")</f>
        <v/>
      </c>
      <c r="W52" s="232" t="str">
        <f>IF(OR(AND(N52 = Støtteark!$L$25,E52&lt;&gt;Støtteark!$U$6,OR(O52=Støtteark!$B$22,O52=Støtteark!$B$23,O52=Støtteark!$B$24,O52=Støtteark!$B$25)),AND(E52=Støtteark!$U$6,OR(O52=Støtteark!$B$22,O52=Støtteark!$B$24))),1,"")</f>
        <v/>
      </c>
      <c r="X52" s="231"/>
      <c r="Y52" s="231"/>
      <c r="Z52" s="235"/>
      <c r="AA52" s="231">
        <f>IF(OR(AND(E52&lt;&gt;Støtteark!$U$6,N52 = Støtteark!$L$25),N52 = Støtteark!$L$26,N52 = Støtteark!$L$28,AND(N52 = Støtteark!$L$29,E52&lt;&gt;Støtteark!$U$6,OR(O52=Støtteark!$B$30,O52=Støtteark!$B$32,O52=Støtteark!$B$33,AND(E52&lt;&gt;Støtteark!$U$6,O52=Støtteark!$B$34),O52=Støtteark!$B$35))),1,"")</f>
        <v>1</v>
      </c>
      <c r="AB52" s="231" t="str">
        <f>IF(OR(AND(E52&lt;&gt;Støtteark!$U$6,N52 = Støtteark!$L$25),N52 = Støtteark!$L$26,N52 = Støtteark!$L$28,AND(N52 = Støtteark!$L$29,O52=Støtteark!$B$34)),1,"")</f>
        <v/>
      </c>
      <c r="AC52" s="231" t="str">
        <f>IF(OR(AND(E52&lt;&gt;Støtteark!$U$6,N52 = Støtteark!$L$25),N52 = Støtteark!$L$26,N52 = Støtteark!$L$28,AND(N52 = Støtteark!$L$29,E52&lt;&gt;Støtteark!$U$6,OR(O52=Støtteark!$B$30,O52 = Støtteark!$B$34))),1,"")</f>
        <v/>
      </c>
      <c r="AD52" s="232" t="str">
        <f>IF(OR(N52 = Støtteark!$L$25,N52 = Støtteark!$L$26,N52 = Støtteark!$L$28,AND(N52 = Støtteark!$L$29,OR(O52=Støtteark!$B$34,O52=Støtteark!$B$35)),AND(E52=Støtteark!$U$6,OR(O52=Støtteark!$B$29,O52=Støtteark!$B$30,O52=Støtteark!$B$32,O52=Støtteark!$B$33))),1,"")</f>
        <v/>
      </c>
      <c r="AE52" s="231" t="str">
        <f>IF(OR(N52 = Støtteark!$L$25,N52 = Støtteark!$L$26,N52 = Støtteark!$L$28,AND(N52 = Støtteark!$L$29,OR(O52=Støtteark!$B$34,O52 = Støtteark!$B$30)),AND(E52=Støtteark!$U$6,O52=Støtteark!$B$29)),1,"")</f>
        <v/>
      </c>
      <c r="AF52" s="231" t="str">
        <f>IF(OR(N52 = Støtteark!$L$25,N52 = Støtteark!$L$26,N52 = Støtteark!$L$28,AND(N52 = Støtteark!$L$29,O52=Støtteark!$B$34),AND(E52=Støtteark!$U$6,O52=Støtteark!$B$30),AND(E52=Støtteark!$U$6,O52=Støtteark!$B$29)),1,"")</f>
        <v/>
      </c>
      <c r="AG52" s="231">
        <f>IF(OR(N52 = Støtteark!$L$25,N52 = Støtteark!$L$26,N52 = Støtteark!$L$28,AND(N52 = Støtteark!$L$29,OR(O52=Støtteark!$B$30,O52 = Støtteark!$B$31,O52=Støtteark!$B$32,O52=Støtteark!$B$34)),AND(E52=Støtteark!$U$6,OR(O52=Støtteark!$B$29,O52=Støtteark!$B$31))),1,"")</f>
        <v>1</v>
      </c>
      <c r="AH52" s="231" t="str">
        <f>IF(OR(N52 = Støtteark!$L$25,N52 = Støtteark!$L$26,N52 = Støtteark!$L$28,AND(N52 = Støtteark!$L$29,O52=Støtteark!$B$34),AND(E52=Støtteark!$U$6,OR(O52=Støtteark!$B$29,O52=Støtteark!$B$30))),1,"")</f>
        <v/>
      </c>
      <c r="AI52" s="231" t="str">
        <f>IF(OR(N52 = Støtteark!$L$25,N52 = Støtteark!$L$26,N52 = Støtteark!$L$28,AND(N52 = Støtteark!$L$29,OR(O52=Støtteark!$B$34,O52 = Støtteark!$B$30)),AND(E52=Støtteark!$U$6,OR(O52=Støtteark!$B$29,O52=Støtteark!$B$30))),1,"")</f>
        <v/>
      </c>
      <c r="AJ52" s="231" t="str">
        <f>IF(OR(AND(E52&lt;&gt;Støtteark!$U$6,N52 = Støtteark!$L$25),N52 = Støtteark!$L$26,N52 = Støtteark!$L$28,AND(N52 = Støtteark!$L$29,OR(O52=Støtteark!$B$34,O52=Støtteark!$B$35),O52&lt;&gt;Støtteark!$B$30)),1,"")</f>
        <v/>
      </c>
      <c r="AK52" s="231" t="str">
        <f>IF(OR(AND(E52&lt;&gt;Støtteark!$U$6,N52 = Støtteark!$L$25),N52 = Støtteark!$L$26,N52 = Støtteark!$L$28,AND(N52 = Støtteark!$L$29,E52&lt;&gt;Støtteark!$U$6,OR(O52=Støtteark!$B$34,O52 = Støtteark!$B$30))),1,"")</f>
        <v/>
      </c>
      <c r="AL52" s="231" t="str">
        <f>IF(OR(AND(E52&lt;&gt;Støtteark!$U$6,N52 = Støtteark!$L$25),N52 = Støtteark!$L$26,N52 = Støtteark!$L$28,AND(N52 = Støtteark!$L$29,O52=Støtteark!$B$34)),1,"")</f>
        <v/>
      </c>
      <c r="AM52" s="231">
        <f>IF(AND(N52 = Støtteark!$L$29,OR(O52=Støtteark!$B$30,O52=Støtteark!$B$32,O52=Støtteark!$B$33,O52=Støtteark!$B$34,O52=Støtteark!$B$35)),Støtteark!$L$32,"")</f>
        <v>801</v>
      </c>
      <c r="AN52" s="235"/>
      <c r="AO52" s="91"/>
      <c r="AP52" s="170">
        <v>0</v>
      </c>
      <c r="AQ52" s="235"/>
      <c r="AR52" s="64">
        <f t="shared" ca="1" si="44"/>
        <v>44022</v>
      </c>
    </row>
    <row r="53" spans="1:44" ht="25.5" hidden="1" x14ac:dyDescent="0.25">
      <c r="A53" s="225" t="str">
        <f t="shared" si="40"/>
        <v>Kundenr.-Ejendom</v>
      </c>
      <c r="B53" s="61" t="str">
        <f>Ydelser!A53&amp;" - "&amp;Ydelser!C53</f>
        <v>405 - Vask af P-kælder</v>
      </c>
      <c r="C53" s="61" t="str">
        <f>Ydelser!D53</f>
        <v>Maskinfejning og vask.</v>
      </c>
      <c r="D53" s="61" t="b">
        <f>'FS Aftale'!D53</f>
        <v>0</v>
      </c>
      <c r="E53" s="156" t="str">
        <f>'FS Aftale'!E53</f>
        <v>1/4-30/9</v>
      </c>
      <c r="F53" s="214" t="str">
        <f t="shared" si="41"/>
        <v>Team Ansvarlig</v>
      </c>
      <c r="G53" s="214" t="str">
        <f t="shared" si="41"/>
        <v>Ansvarlig</v>
      </c>
      <c r="H53" s="214" t="str">
        <f t="shared" si="41"/>
        <v>Servicemedarb.</v>
      </c>
      <c r="I53" s="235"/>
      <c r="J53" s="214" t="str">
        <f t="shared" si="42"/>
        <v>Fast</v>
      </c>
      <c r="K53" s="214" t="str">
        <f t="shared" si="42"/>
        <v>FS aftale</v>
      </c>
      <c r="L53" s="216">
        <f t="shared" si="42"/>
        <v>1</v>
      </c>
      <c r="M53" s="215" t="str">
        <f t="shared" si="42"/>
        <v>Mangler planlægning</v>
      </c>
      <c r="N53" s="147" t="str">
        <f>IFERROR(VLOOKUP(O53,Støtteark!$B$21:$F$35,MATCH(E53,Støtteark!$B$21:$F$21,0),0),Støtteark!$L$35)</f>
        <v>Hver 3. uge (1, 4, 7 ...)</v>
      </c>
      <c r="O53" s="62">
        <f>'FS Aftale'!F53</f>
        <v>9</v>
      </c>
      <c r="P53" s="217" t="str">
        <f t="shared" si="43"/>
        <v>7:00</v>
      </c>
      <c r="Q53" s="63">
        <f>'FS Aftale'!G53*Støtteark!$Q$15</f>
        <v>60</v>
      </c>
      <c r="R53" s="235"/>
      <c r="S53" s="231">
        <f>IF(OR(AND(OR(N53 = Støtteark!$L$25,N53 = Støtteark!$L$26,N53 = Støtteark!$L$28),E53&lt;&gt;Støtteark!$U$6,OR(O53=Støtteark!$B$22,O53=Støtteark!$B$23,O53=Støtteark!$B$24,O53=Støtteark!$B$25,O53=Støtteark!$B$26,O53=Støtteark!$B$27,O53=Støtteark!$B$28)),AND(E53=Støtteark!$U$6,OR(O53=Støtteark!$B$24,O53=Støtteark!$B$27,O53=Støtteark!$B$29))),1,"")</f>
        <v>1</v>
      </c>
      <c r="T53" s="232" t="str">
        <f>IF(OR(AND(N53 = Støtteark!$L$25,E53&lt;&gt;Støtteark!$U$6,O53=Støtteark!$B$22),AND(E53=Støtteark!$U$6,O53=Støtteark!$B$24),O53=Støtteark!$B$22),1,"")</f>
        <v/>
      </c>
      <c r="U53" s="232" t="str">
        <f>IF(OR(AND(N53 = Støtteark!$L$25,E53&lt;&gt;Støtteark!$U$6,OR(O53=Støtteark!$B$22,O53=Støtteark!$B$23,O53=Støtteark!$B$24)),AND(E53=Støtteark!$U$6,OR(O53=Støtteark!$B$22,O53=Støtteark!$B$24))),1,"")</f>
        <v/>
      </c>
      <c r="V53" s="232" t="str">
        <f>IF(OR(AND(N53 = Støtteark!$L$25,E53&lt;&gt;Støtteark!$U$6,O53=Støtteark!$B$22),AND(E53=Støtteark!$U$6,OR(O53=Støtteark!$B$22,O53=Støtteark!$B$24))),1,"")</f>
        <v/>
      </c>
      <c r="W53" s="232" t="str">
        <f>IF(OR(AND(N53 = Støtteark!$L$25,E53&lt;&gt;Støtteark!$U$6,OR(O53=Støtteark!$B$22,O53=Støtteark!$B$23,O53=Støtteark!$B$24,O53=Støtteark!$B$25)),AND(E53=Støtteark!$U$6,OR(O53=Støtteark!$B$22,O53=Støtteark!$B$24))),1,"")</f>
        <v/>
      </c>
      <c r="X53" s="231"/>
      <c r="Y53" s="231"/>
      <c r="Z53" s="235"/>
      <c r="AA53" s="231" t="str">
        <f>IF(OR(AND(E53&lt;&gt;Støtteark!$U$6,N53 = Støtteark!$L$25),N53 = Støtteark!$L$26,N53 = Støtteark!$L$28,AND(N53 = Støtteark!$L$29,E53&lt;&gt;Støtteark!$U$6,OR(O53=Støtteark!$B$30,O53=Støtteark!$B$32,O53=Støtteark!$B$33,AND(E53&lt;&gt;Støtteark!$U$6,O53=Støtteark!$B$34),O53=Støtteark!$B$35))),1,"")</f>
        <v/>
      </c>
      <c r="AB53" s="231" t="str">
        <f>IF(OR(AND(E53&lt;&gt;Støtteark!$U$6,N53 = Støtteark!$L$25),N53 = Støtteark!$L$26,N53 = Støtteark!$L$28,AND(N53 = Støtteark!$L$29,O53=Støtteark!$B$34)),1,"")</f>
        <v/>
      </c>
      <c r="AC53" s="231" t="str">
        <f>IF(OR(AND(E53&lt;&gt;Støtteark!$U$6,N53 = Støtteark!$L$25),N53 = Støtteark!$L$26,N53 = Støtteark!$L$28,AND(N53 = Støtteark!$L$29,E53&lt;&gt;Støtteark!$U$6,OR(O53=Støtteark!$B$30,O53 = Støtteark!$B$34))),1,"")</f>
        <v/>
      </c>
      <c r="AD53" s="232">
        <f>IF(OR(N53 = Støtteark!$L$25,N53 = Støtteark!$L$26,N53 = Støtteark!$L$28,AND(N53 = Støtteark!$L$29,OR(O53=Støtteark!$B$34,O53=Støtteark!$B$35)),AND(E53=Støtteark!$U$6,OR(O53=Støtteark!$B$29,O53=Støtteark!$B$30,O53=Støtteark!$B$32,O53=Støtteark!$B$33))),1,"")</f>
        <v>1</v>
      </c>
      <c r="AE53" s="231">
        <f>IF(OR(N53 = Støtteark!$L$25,N53 = Støtteark!$L$26,N53 = Støtteark!$L$28,AND(N53 = Støtteark!$L$29,OR(O53=Støtteark!$B$34,O53 = Støtteark!$B$30)),AND(E53=Støtteark!$U$6,O53=Støtteark!$B$29)),1,"")</f>
        <v>1</v>
      </c>
      <c r="AF53" s="231">
        <f>IF(OR(N53 = Støtteark!$L$25,N53 = Støtteark!$L$26,N53 = Støtteark!$L$28,AND(N53 = Støtteark!$L$29,O53=Støtteark!$B$34),AND(E53=Støtteark!$U$6,O53=Støtteark!$B$30),AND(E53=Støtteark!$U$6,O53=Støtteark!$B$29)),1,"")</f>
        <v>1</v>
      </c>
      <c r="AG53" s="231">
        <f>IF(OR(N53 = Støtteark!$L$25,N53 = Støtteark!$L$26,N53 = Støtteark!$L$28,AND(N53 = Støtteark!$L$29,OR(O53=Støtteark!$B$30,O53 = Støtteark!$B$31,O53=Støtteark!$B$32,O53=Støtteark!$B$34)),AND(E53=Støtteark!$U$6,OR(O53=Støtteark!$B$29,O53=Støtteark!$B$31))),1,"")</f>
        <v>1</v>
      </c>
      <c r="AH53" s="231">
        <f>IF(OR(N53 = Støtteark!$L$25,N53 = Støtteark!$L$26,N53 = Støtteark!$L$28,AND(N53 = Støtteark!$L$29,O53=Støtteark!$B$34),AND(E53=Støtteark!$U$6,OR(O53=Støtteark!$B$29,O53=Støtteark!$B$30))),1,"")</f>
        <v>1</v>
      </c>
      <c r="AI53" s="231">
        <f>IF(OR(N53 = Støtteark!$L$25,N53 = Støtteark!$L$26,N53 = Støtteark!$L$28,AND(N53 = Støtteark!$L$29,OR(O53=Støtteark!$B$34,O53 = Støtteark!$B$30)),AND(E53=Støtteark!$U$6,OR(O53=Støtteark!$B$29,O53=Støtteark!$B$30))),1,"")</f>
        <v>1</v>
      </c>
      <c r="AJ53" s="231" t="str">
        <f>IF(OR(AND(E53&lt;&gt;Støtteark!$U$6,N53 = Støtteark!$L$25),N53 = Støtteark!$L$26,N53 = Støtteark!$L$28,AND(N53 = Støtteark!$L$29,OR(O53=Støtteark!$B$34,O53=Støtteark!$B$35),O53&lt;&gt;Støtteark!$B$30)),1,"")</f>
        <v/>
      </c>
      <c r="AK53" s="231" t="str">
        <f>IF(OR(AND(E53&lt;&gt;Støtteark!$U$6,N53 = Støtteark!$L$25),N53 = Støtteark!$L$26,N53 = Støtteark!$L$28,AND(N53 = Støtteark!$L$29,E53&lt;&gt;Støtteark!$U$6,OR(O53=Støtteark!$B$34,O53 = Støtteark!$B$30))),1,"")</f>
        <v/>
      </c>
      <c r="AL53" s="231" t="str">
        <f>IF(OR(AND(E53&lt;&gt;Støtteark!$U$6,N53 = Støtteark!$L$25),N53 = Støtteark!$L$26,N53 = Støtteark!$L$28,AND(N53 = Støtteark!$L$29,O53=Støtteark!$B$34)),1,"")</f>
        <v/>
      </c>
      <c r="AM53" s="231" t="str">
        <f>IF(AND(N53 = Støtteark!$L$29,OR(O53=Støtteark!$B$30,O53=Støtteark!$B$32,O53=Støtteark!$B$33,O53=Støtteark!$B$34,O53=Støtteark!$B$35)),Støtteark!$L$32,"")</f>
        <v/>
      </c>
      <c r="AN53" s="235"/>
      <c r="AO53" s="91"/>
      <c r="AP53" s="170">
        <v>0</v>
      </c>
      <c r="AQ53" s="235"/>
      <c r="AR53" s="218">
        <f t="shared" ca="1" si="44"/>
        <v>44022</v>
      </c>
    </row>
    <row r="54" spans="1:44" ht="25.5" hidden="1" x14ac:dyDescent="0.25">
      <c r="A54" s="221" t="str">
        <f t="shared" si="40"/>
        <v>Kundenr.-Ejendom</v>
      </c>
      <c r="B54" s="61" t="str">
        <f>Ydelser!A54&amp; " - " &amp;Ydelser!C54</f>
        <v>406 - Opsamling og udvendig renholdelse af arealer for affald (renholdsniveau/udfaldskrav 1, 2, eller 3 - se forudsætninger)</v>
      </c>
      <c r="C54" s="61" t="str">
        <f>Ydelser!D54</f>
        <v>Foretages på eksempelvis fortove, pladser, grønne områder, veje, stier, svalegange, parkeringsarealer, udvendige trapper o.l.</v>
      </c>
      <c r="D54" s="248" t="b">
        <f>'FS Aftale'!D54</f>
        <v>0</v>
      </c>
      <c r="E54" s="156" t="str">
        <f>'FS Aftale'!E54</f>
        <v>Ugentligt</v>
      </c>
      <c r="F54" s="61" t="str">
        <f t="shared" si="41"/>
        <v>Team Ansvarlig</v>
      </c>
      <c r="G54" s="61" t="str">
        <f t="shared" si="41"/>
        <v>Ansvarlig</v>
      </c>
      <c r="H54" s="61" t="str">
        <f t="shared" si="41"/>
        <v>Servicemedarb.</v>
      </c>
      <c r="I54" s="235"/>
      <c r="J54" s="61" t="str">
        <f t="shared" si="42"/>
        <v>Fast</v>
      </c>
      <c r="K54" s="61" t="str">
        <f t="shared" si="42"/>
        <v>FS aftale</v>
      </c>
      <c r="L54" s="188">
        <f t="shared" si="42"/>
        <v>1</v>
      </c>
      <c r="M54" s="157" t="str">
        <f t="shared" si="42"/>
        <v>Mangler planlægning</v>
      </c>
      <c r="N54" s="147" t="str">
        <f>IFERROR(VLOOKUP(O54,Støtteark!$B$21:$F$35,MATCH(E54,Støtteark!$B$21:$F$21,0),0),Støtteark!$L$35)</f>
        <v>Ugentligt</v>
      </c>
      <c r="O54" s="62">
        <f>'FS Aftale'!F54</f>
        <v>52</v>
      </c>
      <c r="P54" s="179" t="str">
        <f t="shared" si="43"/>
        <v>7:00</v>
      </c>
      <c r="Q54" s="63">
        <f>'FS Aftale'!G54*Støtteark!$Q$15</f>
        <v>15</v>
      </c>
      <c r="R54" s="235"/>
      <c r="S54" s="231">
        <f>IF(OR(AND(OR(N54 = Støtteark!$L$25,N54 = Støtteark!$L$26,N54 = Støtteark!$L$28),E54&lt;&gt;Støtteark!$U$6,OR(O54=Støtteark!$B$22,O54=Støtteark!$B$23,O54=Støtteark!$B$24,O54=Støtteark!$B$25,O54=Støtteark!$B$26,O54=Støtteark!$B$27,O54=Støtteark!$B$28)),AND(E54=Støtteark!$U$6,OR(O54=Støtteark!$B$24,O54=Støtteark!$B$27,O54=Støtteark!$B$29))),1,"")</f>
        <v>1</v>
      </c>
      <c r="T54" s="232" t="str">
        <f>IF(OR(AND(N54 = Støtteark!$L$25,E54&lt;&gt;Støtteark!$U$6,O54=Støtteark!$B$22),AND(E54=Støtteark!$U$6,O54=Støtteark!$B$24),O54=Støtteark!$B$22),1,"")</f>
        <v/>
      </c>
      <c r="U54" s="232" t="str">
        <f>IF(OR(AND(N54 = Støtteark!$L$25,E54&lt;&gt;Støtteark!$U$6,OR(O54=Støtteark!$B$22,O54=Støtteark!$B$23,O54=Støtteark!$B$24)),AND(E54=Støtteark!$U$6,OR(O54=Støtteark!$B$22,O54=Støtteark!$B$24))),1,"")</f>
        <v/>
      </c>
      <c r="V54" s="232" t="str">
        <f>IF(OR(AND(N54 = Støtteark!$L$25,E54&lt;&gt;Støtteark!$U$6,O54=Støtteark!$B$22),AND(E54=Støtteark!$U$6,OR(O54=Støtteark!$B$22,O54=Støtteark!$B$24))),1,"")</f>
        <v/>
      </c>
      <c r="W54" s="232" t="str">
        <f>IF(OR(AND(N54 = Støtteark!$L$25,E54&lt;&gt;Støtteark!$U$6,OR(O54=Støtteark!$B$22,O54=Støtteark!$B$23,O54=Støtteark!$B$24,O54=Støtteark!$B$25)),AND(E54=Støtteark!$U$6,OR(O54=Støtteark!$B$22,O54=Støtteark!$B$24))),1,"")</f>
        <v/>
      </c>
      <c r="X54" s="231"/>
      <c r="Y54" s="231"/>
      <c r="Z54" s="235"/>
      <c r="AA54" s="231">
        <f>IF(OR(AND(E54&lt;&gt;Støtteark!$U$6,N54 = Støtteark!$L$25),N54 = Støtteark!$L$26,N54 = Støtteark!$L$28,AND(N54 = Støtteark!$L$29,E54&lt;&gt;Støtteark!$U$6,OR(O54=Støtteark!$B$30,O54=Støtteark!$B$32,O54=Støtteark!$B$33,AND(E54&lt;&gt;Støtteark!$U$6,O54=Støtteark!$B$34),O54=Støtteark!$B$35))),1,"")</f>
        <v>1</v>
      </c>
      <c r="AB54" s="231">
        <f>IF(OR(AND(E54&lt;&gt;Støtteark!$U$6,N54 = Støtteark!$L$25),N54 = Støtteark!$L$26,N54 = Støtteark!$L$28,AND(N54 = Støtteark!$L$29,O54=Støtteark!$B$34)),1,"")</f>
        <v>1</v>
      </c>
      <c r="AC54" s="231">
        <f>IF(OR(AND(E54&lt;&gt;Støtteark!$U$6,N54 = Støtteark!$L$25),N54 = Støtteark!$L$26,N54 = Støtteark!$L$28,AND(N54 = Støtteark!$L$29,E54&lt;&gt;Støtteark!$U$6,OR(O54=Støtteark!$B$30,O54 = Støtteark!$B$34))),1,"")</f>
        <v>1</v>
      </c>
      <c r="AD54" s="232">
        <f>IF(OR(N54 = Støtteark!$L$25,N54 = Støtteark!$L$26,N54 = Støtteark!$L$28,AND(N54 = Støtteark!$L$29,OR(O54=Støtteark!$B$34,O54=Støtteark!$B$35)),AND(E54=Støtteark!$U$6,OR(O54=Støtteark!$B$29,O54=Støtteark!$B$30,O54=Støtteark!$B$32,O54=Støtteark!$B$33))),1,"")</f>
        <v>1</v>
      </c>
      <c r="AE54" s="231">
        <f>IF(OR(N54 = Støtteark!$L$25,N54 = Støtteark!$L$26,N54 = Støtteark!$L$28,AND(N54 = Støtteark!$L$29,OR(O54=Støtteark!$B$34,O54 = Støtteark!$B$30)),AND(E54=Støtteark!$U$6,O54=Støtteark!$B$29)),1,"")</f>
        <v>1</v>
      </c>
      <c r="AF54" s="231">
        <f>IF(OR(N54 = Støtteark!$L$25,N54 = Støtteark!$L$26,N54 = Støtteark!$L$28,AND(N54 = Støtteark!$L$29,O54=Støtteark!$B$34),AND(E54=Støtteark!$U$6,O54=Støtteark!$B$30),AND(E54=Støtteark!$U$6,O54=Støtteark!$B$29)),1,"")</f>
        <v>1</v>
      </c>
      <c r="AG54" s="231">
        <f>IF(OR(N54 = Støtteark!$L$25,N54 = Støtteark!$L$26,N54 = Støtteark!$L$28,AND(N54 = Støtteark!$L$29,OR(O54=Støtteark!$B$30,O54 = Støtteark!$B$31,O54=Støtteark!$B$32,O54=Støtteark!$B$34)),AND(E54=Støtteark!$U$6,OR(O54=Støtteark!$B$29,O54=Støtteark!$B$31))),1,"")</f>
        <v>1</v>
      </c>
      <c r="AH54" s="231">
        <f>IF(OR(N54 = Støtteark!$L$25,N54 = Støtteark!$L$26,N54 = Støtteark!$L$28,AND(N54 = Støtteark!$L$29,O54=Støtteark!$B$34),AND(E54=Støtteark!$U$6,OR(O54=Støtteark!$B$29,O54=Støtteark!$B$30))),1,"")</f>
        <v>1</v>
      </c>
      <c r="AI54" s="231">
        <f>IF(OR(N54 = Støtteark!$L$25,N54 = Støtteark!$L$26,N54 = Støtteark!$L$28,AND(N54 = Støtteark!$L$29,OR(O54=Støtteark!$B$34,O54 = Støtteark!$B$30)),AND(E54=Støtteark!$U$6,OR(O54=Støtteark!$B$29,O54=Støtteark!$B$30))),1,"")</f>
        <v>1</v>
      </c>
      <c r="AJ54" s="231">
        <f>IF(OR(AND(E54&lt;&gt;Støtteark!$U$6,N54 = Støtteark!$L$25),N54 = Støtteark!$L$26,N54 = Støtteark!$L$28,AND(N54 = Støtteark!$L$29,OR(O54=Støtteark!$B$34,O54=Støtteark!$B$35),O54&lt;&gt;Støtteark!$B$30)),1,"")</f>
        <v>1</v>
      </c>
      <c r="AK54" s="231">
        <f>IF(OR(AND(E54&lt;&gt;Støtteark!$U$6,N54 = Støtteark!$L$25),N54 = Støtteark!$L$26,N54 = Støtteark!$L$28,AND(N54 = Støtteark!$L$29,E54&lt;&gt;Støtteark!$U$6,OR(O54=Støtteark!$B$34,O54 = Støtteark!$B$30))),1,"")</f>
        <v>1</v>
      </c>
      <c r="AL54" s="231">
        <f>IF(OR(AND(E54&lt;&gt;Støtteark!$U$6,N54 = Støtteark!$L$25),N54 = Støtteark!$L$26,N54 = Støtteark!$L$28,AND(N54 = Støtteark!$L$29,O54=Støtteark!$B$34)),1,"")</f>
        <v>1</v>
      </c>
      <c r="AM54" s="231" t="str">
        <f>IF(AND(N54 = Støtteark!$L$29,OR(O54=Støtteark!$B$30,O54=Støtteark!$B$32,O54=Støtteark!$B$33,O54=Støtteark!$B$34,O54=Støtteark!$B$35)),Støtteark!$L$32,"")</f>
        <v/>
      </c>
      <c r="AN54" s="235"/>
      <c r="AO54" s="91"/>
      <c r="AP54" s="170">
        <v>0</v>
      </c>
      <c r="AQ54" s="235"/>
      <c r="AR54" s="64">
        <f t="shared" ca="1" si="44"/>
        <v>44022</v>
      </c>
    </row>
    <row r="55" spans="1:44" ht="25.5" hidden="1" x14ac:dyDescent="0.25">
      <c r="A55" s="221" t="str">
        <f t="shared" si="40"/>
        <v>Kundenr.-Ejendom</v>
      </c>
      <c r="B55" s="61" t="str">
        <f>Ydelser!A55&amp; " - " &amp;Ydelser!C55</f>
        <v>407 - Partiel fejning af udvendige befæstede arealer, renhold for småt affald</v>
      </c>
      <c r="C55" s="61" t="str">
        <f>Ydelser!D55</f>
        <v>Partiel fejning på fællesarealer, fx fortove, pladser, veje, stier, svalegange, parkeringsarealer, udvendige trapper m.m. Udføres altid i forbindelse med ydelserne i pkt. 406.</v>
      </c>
      <c r="D55" s="248" t="b">
        <f>'FS Aftale'!D55</f>
        <v>0</v>
      </c>
      <c r="E55" s="156" t="str">
        <f>'FS Aftale'!E55</f>
        <v>Ugentligt</v>
      </c>
      <c r="F55" s="61" t="str">
        <f t="shared" si="41"/>
        <v>Team Ansvarlig</v>
      </c>
      <c r="G55" s="61" t="str">
        <f t="shared" si="41"/>
        <v>Ansvarlig</v>
      </c>
      <c r="H55" s="61" t="str">
        <f t="shared" si="41"/>
        <v>Servicemedarb.</v>
      </c>
      <c r="I55" s="235"/>
      <c r="J55" s="61" t="str">
        <f t="shared" si="42"/>
        <v>Fast</v>
      </c>
      <c r="K55" s="61" t="str">
        <f t="shared" si="42"/>
        <v>FS aftale</v>
      </c>
      <c r="L55" s="188">
        <f t="shared" si="42"/>
        <v>1</v>
      </c>
      <c r="M55" s="157" t="str">
        <f t="shared" si="42"/>
        <v>Mangler planlægning</v>
      </c>
      <c r="N55" s="147" t="str">
        <f>IFERROR(VLOOKUP(O55,Støtteark!$B$21:$F$35,MATCH(E55,Støtteark!$B$21:$F$21,0),0),Støtteark!$L$35)</f>
        <v>Ugentligt</v>
      </c>
      <c r="O55" s="62">
        <f>'FS Aftale'!F55</f>
        <v>104</v>
      </c>
      <c r="P55" s="179" t="str">
        <f t="shared" si="43"/>
        <v>7:00</v>
      </c>
      <c r="Q55" s="63">
        <f>'FS Aftale'!G55*Støtteark!$Q$15</f>
        <v>15</v>
      </c>
      <c r="R55" s="235"/>
      <c r="S55" s="231">
        <f>IF(OR(AND(OR(N55 = Støtteark!$L$25,N55 = Støtteark!$L$26,N55 = Støtteark!$L$28),E55&lt;&gt;Støtteark!$U$6,OR(O55=Støtteark!$B$22,O55=Støtteark!$B$23,O55=Støtteark!$B$24,O55=Støtteark!$B$25,O55=Støtteark!$B$26,O55=Støtteark!$B$27,O55=Støtteark!$B$28)),AND(E55=Støtteark!$U$6,OR(O55=Støtteark!$B$24,O55=Støtteark!$B$27,O55=Støtteark!$B$29))),1,"")</f>
        <v>1</v>
      </c>
      <c r="T55" s="232" t="str">
        <f>IF(OR(AND(N55 = Støtteark!$L$25,E55&lt;&gt;Støtteark!$U$6,O55=Støtteark!$B$22),AND(E55=Støtteark!$U$6,O55=Støtteark!$B$24),O55=Støtteark!$B$22),1,"")</f>
        <v/>
      </c>
      <c r="U55" s="232">
        <f>IF(OR(AND(N55 = Støtteark!$L$25,E55&lt;&gt;Støtteark!$U$6,OR(O55=Støtteark!$B$22,O55=Støtteark!$B$23,O55=Støtteark!$B$24)),AND(E55=Støtteark!$U$6,OR(O55=Støtteark!$B$22,O55=Støtteark!$B$24))),1,"")</f>
        <v>1</v>
      </c>
      <c r="V55" s="232" t="str">
        <f>IF(OR(AND(N55 = Støtteark!$L$25,E55&lt;&gt;Støtteark!$U$6,O55=Støtteark!$B$22),AND(E55=Støtteark!$U$6,OR(O55=Støtteark!$B$22,O55=Støtteark!$B$24))),1,"")</f>
        <v/>
      </c>
      <c r="W55" s="232">
        <f>IF(OR(AND(N55 = Støtteark!$L$25,E55&lt;&gt;Støtteark!$U$6,OR(O55=Støtteark!$B$22,O55=Støtteark!$B$23,O55=Støtteark!$B$24,O55=Støtteark!$B$25)),AND(E55=Støtteark!$U$6,OR(O55=Støtteark!$B$22,O55=Støtteark!$B$24))),1,"")</f>
        <v>1</v>
      </c>
      <c r="X55" s="231"/>
      <c r="Y55" s="231"/>
      <c r="Z55" s="235"/>
      <c r="AA55" s="231">
        <f>IF(OR(AND(E55&lt;&gt;Støtteark!$U$6,N55 = Støtteark!$L$25),N55 = Støtteark!$L$26,N55 = Støtteark!$L$28,AND(N55 = Støtteark!$L$29,E55&lt;&gt;Støtteark!$U$6,OR(O55=Støtteark!$B$30,O55=Støtteark!$B$32,O55=Støtteark!$B$33,AND(E55&lt;&gt;Støtteark!$U$6,O55=Støtteark!$B$34),O55=Støtteark!$B$35))),1,"")</f>
        <v>1</v>
      </c>
      <c r="AB55" s="231">
        <f>IF(OR(AND(E55&lt;&gt;Støtteark!$U$6,N55 = Støtteark!$L$25),N55 = Støtteark!$L$26,N55 = Støtteark!$L$28,AND(N55 = Støtteark!$L$29,O55=Støtteark!$B$34)),1,"")</f>
        <v>1</v>
      </c>
      <c r="AC55" s="231">
        <f>IF(OR(AND(E55&lt;&gt;Støtteark!$U$6,N55 = Støtteark!$L$25),N55 = Støtteark!$L$26,N55 = Støtteark!$L$28,AND(N55 = Støtteark!$L$29,E55&lt;&gt;Støtteark!$U$6,OR(O55=Støtteark!$B$30,O55 = Støtteark!$B$34))),1,"")</f>
        <v>1</v>
      </c>
      <c r="AD55" s="232">
        <f>IF(OR(N55 = Støtteark!$L$25,N55 = Støtteark!$L$26,N55 = Støtteark!$L$28,AND(N55 = Støtteark!$L$29,OR(O55=Støtteark!$B$34,O55=Støtteark!$B$35)),AND(E55=Støtteark!$U$6,OR(O55=Støtteark!$B$29,O55=Støtteark!$B$30,O55=Støtteark!$B$32,O55=Støtteark!$B$33))),1,"")</f>
        <v>1</v>
      </c>
      <c r="AE55" s="231">
        <f>IF(OR(N55 = Støtteark!$L$25,N55 = Støtteark!$L$26,N55 = Støtteark!$L$28,AND(N55 = Støtteark!$L$29,OR(O55=Støtteark!$B$34,O55 = Støtteark!$B$30)),AND(E55=Støtteark!$U$6,O55=Støtteark!$B$29)),1,"")</f>
        <v>1</v>
      </c>
      <c r="AF55" s="231">
        <f>IF(OR(N55 = Støtteark!$L$25,N55 = Støtteark!$L$26,N55 = Støtteark!$L$28,AND(N55 = Støtteark!$L$29,O55=Støtteark!$B$34),AND(E55=Støtteark!$U$6,O55=Støtteark!$B$30),AND(E55=Støtteark!$U$6,O55=Støtteark!$B$29)),1,"")</f>
        <v>1</v>
      </c>
      <c r="AG55" s="231">
        <f>IF(OR(N55 = Støtteark!$L$25,N55 = Støtteark!$L$26,N55 = Støtteark!$L$28,AND(N55 = Støtteark!$L$29,OR(O55=Støtteark!$B$30,O55 = Støtteark!$B$31,O55=Støtteark!$B$32,O55=Støtteark!$B$34)),AND(E55=Støtteark!$U$6,OR(O55=Støtteark!$B$29,O55=Støtteark!$B$31))),1,"")</f>
        <v>1</v>
      </c>
      <c r="AH55" s="231">
        <f>IF(OR(N55 = Støtteark!$L$25,N55 = Støtteark!$L$26,N55 = Støtteark!$L$28,AND(N55 = Støtteark!$L$29,O55=Støtteark!$B$34),AND(E55=Støtteark!$U$6,OR(O55=Støtteark!$B$29,O55=Støtteark!$B$30))),1,"")</f>
        <v>1</v>
      </c>
      <c r="AI55" s="231">
        <f>IF(OR(N55 = Støtteark!$L$25,N55 = Støtteark!$L$26,N55 = Støtteark!$L$28,AND(N55 = Støtteark!$L$29,OR(O55=Støtteark!$B$34,O55 = Støtteark!$B$30)),AND(E55=Støtteark!$U$6,OR(O55=Støtteark!$B$29,O55=Støtteark!$B$30))),1,"")</f>
        <v>1</v>
      </c>
      <c r="AJ55" s="231">
        <f>IF(OR(AND(E55&lt;&gt;Støtteark!$U$6,N55 = Støtteark!$L$25),N55 = Støtteark!$L$26,N55 = Støtteark!$L$28,AND(N55 = Støtteark!$L$29,OR(O55=Støtteark!$B$34,O55=Støtteark!$B$35),O55&lt;&gt;Støtteark!$B$30)),1,"")</f>
        <v>1</v>
      </c>
      <c r="AK55" s="231">
        <f>IF(OR(AND(E55&lt;&gt;Støtteark!$U$6,N55 = Støtteark!$L$25),N55 = Støtteark!$L$26,N55 = Støtteark!$L$28,AND(N55 = Støtteark!$L$29,E55&lt;&gt;Støtteark!$U$6,OR(O55=Støtteark!$B$34,O55 = Støtteark!$B$30))),1,"")</f>
        <v>1</v>
      </c>
      <c r="AL55" s="231">
        <f>IF(OR(AND(E55&lt;&gt;Støtteark!$U$6,N55 = Støtteark!$L$25),N55 = Støtteark!$L$26,N55 = Støtteark!$L$28,AND(N55 = Støtteark!$L$29,O55=Støtteark!$B$34)),1,"")</f>
        <v>1</v>
      </c>
      <c r="AM55" s="231" t="str">
        <f>IF(AND(N55 = Støtteark!$L$29,OR(O55=Støtteark!$B$30,O55=Støtteark!$B$32,O55=Støtteark!$B$33,O55=Støtteark!$B$34,O55=Støtteark!$B$35)),Støtteark!$L$32,"")</f>
        <v/>
      </c>
      <c r="AN55" s="235"/>
      <c r="AO55" s="91"/>
      <c r="AP55" s="170">
        <v>0</v>
      </c>
      <c r="AQ55" s="235"/>
      <c r="AR55" s="64">
        <f t="shared" ca="1" si="44"/>
        <v>44022</v>
      </c>
    </row>
    <row r="56" spans="1:44" ht="25.5" hidden="1" x14ac:dyDescent="0.25">
      <c r="A56" s="221" t="str">
        <f t="shared" si="40"/>
        <v>Kundenr.-Ejendom</v>
      </c>
      <c r="B56" s="61" t="str">
        <f>Ydelser!A56&amp; " - " &amp;Ydelser!C56</f>
        <v>408 - Renhold af lyskasser</v>
      </c>
      <c r="C56" s="61" t="str">
        <f>Ydelser!D56</f>
        <v>Oprensning af lyskasser.</v>
      </c>
      <c r="D56" s="248" t="b">
        <f>'FS Aftale'!D56</f>
        <v>0</v>
      </c>
      <c r="E56" s="156" t="str">
        <f>'FS Aftale'!E56</f>
        <v>Månedligt</v>
      </c>
      <c r="F56" s="61" t="str">
        <f t="shared" si="41"/>
        <v>Team Ansvarlig</v>
      </c>
      <c r="G56" s="61" t="str">
        <f t="shared" si="41"/>
        <v>Ansvarlig</v>
      </c>
      <c r="H56" s="61" t="str">
        <f t="shared" si="41"/>
        <v>Servicemedarb.</v>
      </c>
      <c r="I56" s="235"/>
      <c r="J56" s="61" t="str">
        <f t="shared" si="42"/>
        <v>Fast</v>
      </c>
      <c r="K56" s="61" t="str">
        <f t="shared" si="42"/>
        <v>FS aftale</v>
      </c>
      <c r="L56" s="188">
        <f t="shared" si="42"/>
        <v>1</v>
      </c>
      <c r="M56" s="157" t="str">
        <f t="shared" si="42"/>
        <v>Mangler planlægning</v>
      </c>
      <c r="N56" s="147" t="str">
        <f>IFERROR(VLOOKUP(O56,Støtteark!$B$21:$F$35,MATCH(E56,Støtteark!$B$21:$F$21,0),0),Støtteark!$L$35)</f>
        <v>Månedligt</v>
      </c>
      <c r="O56" s="62">
        <f>'FS Aftale'!F56</f>
        <v>12</v>
      </c>
      <c r="P56" s="179" t="str">
        <f t="shared" si="43"/>
        <v>7:00</v>
      </c>
      <c r="Q56" s="63">
        <f>'FS Aftale'!G56*Støtteark!$Q$15</f>
        <v>120</v>
      </c>
      <c r="R56" s="235"/>
      <c r="S56" s="231" t="str">
        <f>IF(OR(AND(OR(N56 = Støtteark!$L$25,N56 = Støtteark!$L$26,N56 = Støtteark!$L$28),E56&lt;&gt;Støtteark!$U$6,OR(O56=Støtteark!$B$22,O56=Støtteark!$B$23,O56=Støtteark!$B$24,O56=Støtteark!$B$25,O56=Støtteark!$B$26,O56=Støtteark!$B$27,O56=Støtteark!$B$28)),AND(E56=Støtteark!$U$6,OR(O56=Støtteark!$B$24,O56=Støtteark!$B$27,O56=Støtteark!$B$29))),1,"")</f>
        <v/>
      </c>
      <c r="T56" s="232" t="str">
        <f>IF(OR(AND(N56 = Støtteark!$L$25,E56&lt;&gt;Støtteark!$U$6,O56=Støtteark!$B$22),AND(E56=Støtteark!$U$6,O56=Støtteark!$B$24),O56=Støtteark!$B$22),1,"")</f>
        <v/>
      </c>
      <c r="U56" s="232" t="str">
        <f>IF(OR(AND(N56 = Støtteark!$L$25,E56&lt;&gt;Støtteark!$U$6,OR(O56=Støtteark!$B$22,O56=Støtteark!$B$23,O56=Støtteark!$B$24)),AND(E56=Støtteark!$U$6,OR(O56=Støtteark!$B$22,O56=Støtteark!$B$24))),1,"")</f>
        <v/>
      </c>
      <c r="V56" s="232" t="str">
        <f>IF(OR(AND(N56 = Støtteark!$L$25,E56&lt;&gt;Støtteark!$U$6,O56=Støtteark!$B$22),AND(E56=Støtteark!$U$6,OR(O56=Støtteark!$B$22,O56=Støtteark!$B$24))),1,"")</f>
        <v/>
      </c>
      <c r="W56" s="232" t="str">
        <f>IF(OR(AND(N56 = Støtteark!$L$25,E56&lt;&gt;Støtteark!$U$6,OR(O56=Støtteark!$B$22,O56=Støtteark!$B$23,O56=Støtteark!$B$24,O56=Støtteark!$B$25)),AND(E56=Støtteark!$U$6,OR(O56=Støtteark!$B$22,O56=Støtteark!$B$24))),1,"")</f>
        <v/>
      </c>
      <c r="X56" s="231"/>
      <c r="Y56" s="231"/>
      <c r="Z56" s="235"/>
      <c r="AA56" s="231">
        <f>IF(OR(AND(E56&lt;&gt;Støtteark!$U$6,N56 = Støtteark!$L$25),N56 = Støtteark!$L$26,N56 = Støtteark!$L$28,AND(N56 = Støtteark!$L$29,E56&lt;&gt;Støtteark!$U$6,OR(O56=Støtteark!$B$30,O56=Støtteark!$B$32,O56=Støtteark!$B$33,AND(E56&lt;&gt;Støtteark!$U$6,O56=Støtteark!$B$34),O56=Støtteark!$B$35))),1,"")</f>
        <v>1</v>
      </c>
      <c r="AB56" s="231">
        <f>IF(OR(AND(E56&lt;&gt;Støtteark!$U$6,N56 = Støtteark!$L$25),N56 = Støtteark!$L$26,N56 = Støtteark!$L$28,AND(N56 = Støtteark!$L$29,O56=Støtteark!$B$34)),1,"")</f>
        <v>1</v>
      </c>
      <c r="AC56" s="231">
        <f>IF(OR(AND(E56&lt;&gt;Støtteark!$U$6,N56 = Støtteark!$L$25),N56 = Støtteark!$L$26,N56 = Støtteark!$L$28,AND(N56 = Støtteark!$L$29,E56&lt;&gt;Støtteark!$U$6,OR(O56=Støtteark!$B$30,O56 = Støtteark!$B$34))),1,"")</f>
        <v>1</v>
      </c>
      <c r="AD56" s="232">
        <f>IF(OR(N56 = Støtteark!$L$25,N56 = Støtteark!$L$26,N56 = Støtteark!$L$28,AND(N56 = Støtteark!$L$29,OR(O56=Støtteark!$B$34,O56=Støtteark!$B$35)),AND(E56=Støtteark!$U$6,OR(O56=Støtteark!$B$29,O56=Støtteark!$B$30,O56=Støtteark!$B$32,O56=Støtteark!$B$33))),1,"")</f>
        <v>1</v>
      </c>
      <c r="AE56" s="231">
        <f>IF(OR(N56 = Støtteark!$L$25,N56 = Støtteark!$L$26,N56 = Støtteark!$L$28,AND(N56 = Støtteark!$L$29,OR(O56=Støtteark!$B$34,O56 = Støtteark!$B$30)),AND(E56=Støtteark!$U$6,O56=Støtteark!$B$29)),1,"")</f>
        <v>1</v>
      </c>
      <c r="AF56" s="231">
        <f>IF(OR(N56 = Støtteark!$L$25,N56 = Støtteark!$L$26,N56 = Støtteark!$L$28,AND(N56 = Støtteark!$L$29,O56=Støtteark!$B$34),AND(E56=Støtteark!$U$6,O56=Støtteark!$B$30),AND(E56=Støtteark!$U$6,O56=Støtteark!$B$29)),1,"")</f>
        <v>1</v>
      </c>
      <c r="AG56" s="231">
        <f>IF(OR(N56 = Støtteark!$L$25,N56 = Støtteark!$L$26,N56 = Støtteark!$L$28,AND(N56 = Støtteark!$L$29,OR(O56=Støtteark!$B$30,O56 = Støtteark!$B$31,O56=Støtteark!$B$32,O56=Støtteark!$B$34)),AND(E56=Støtteark!$U$6,OR(O56=Støtteark!$B$29,O56=Støtteark!$B$31))),1,"")</f>
        <v>1</v>
      </c>
      <c r="AH56" s="231">
        <f>IF(OR(N56 = Støtteark!$L$25,N56 = Støtteark!$L$26,N56 = Støtteark!$L$28,AND(N56 = Støtteark!$L$29,O56=Støtteark!$B$34),AND(E56=Støtteark!$U$6,OR(O56=Støtteark!$B$29,O56=Støtteark!$B$30))),1,"")</f>
        <v>1</v>
      </c>
      <c r="AI56" s="231">
        <f>IF(OR(N56 = Støtteark!$L$25,N56 = Støtteark!$L$26,N56 = Støtteark!$L$28,AND(N56 = Støtteark!$L$29,OR(O56=Støtteark!$B$34,O56 = Støtteark!$B$30)),AND(E56=Støtteark!$U$6,OR(O56=Støtteark!$B$29,O56=Støtteark!$B$30))),1,"")</f>
        <v>1</v>
      </c>
      <c r="AJ56" s="231">
        <f>IF(OR(AND(E56&lt;&gt;Støtteark!$U$6,N56 = Støtteark!$L$25),N56 = Støtteark!$L$26,N56 = Støtteark!$L$28,AND(N56 = Støtteark!$L$29,OR(O56=Støtteark!$B$34,O56=Støtteark!$B$35),O56&lt;&gt;Støtteark!$B$30)),1,"")</f>
        <v>1</v>
      </c>
      <c r="AK56" s="231">
        <f>IF(OR(AND(E56&lt;&gt;Støtteark!$U$6,N56 = Støtteark!$L$25),N56 = Støtteark!$L$26,N56 = Støtteark!$L$28,AND(N56 = Støtteark!$L$29,E56&lt;&gt;Støtteark!$U$6,OR(O56=Støtteark!$B$34,O56 = Støtteark!$B$30))),1,"")</f>
        <v>1</v>
      </c>
      <c r="AL56" s="231">
        <f>IF(OR(AND(E56&lt;&gt;Støtteark!$U$6,N56 = Støtteark!$L$25),N56 = Støtteark!$L$26,N56 = Støtteark!$L$28,AND(N56 = Støtteark!$L$29,O56=Støtteark!$B$34)),1,"")</f>
        <v>1</v>
      </c>
      <c r="AM56" s="231">
        <f>IF(AND(N56 = Støtteark!$L$29,OR(O56=Støtteark!$B$30,O56=Støtteark!$B$32,O56=Støtteark!$B$33,O56=Støtteark!$B$34,O56=Støtteark!$B$35)),Støtteark!$L$32,"")</f>
        <v>801</v>
      </c>
      <c r="AN56" s="235"/>
      <c r="AO56" s="91"/>
      <c r="AP56" s="170">
        <v>0</v>
      </c>
      <c r="AQ56" s="235"/>
      <c r="AR56" s="64">
        <f t="shared" ca="1" si="44"/>
        <v>44022</v>
      </c>
    </row>
    <row r="57" spans="1:44" ht="25.5" hidden="1" x14ac:dyDescent="0.25">
      <c r="A57" s="221" t="str">
        <f t="shared" si="40"/>
        <v>Kundenr.-Ejendom</v>
      </c>
      <c r="B57" s="61" t="str">
        <f>Ydelser!A57&amp; " - " &amp;Ydelser!C57</f>
        <v>409 - Renholdelse af cykelskur / cykelrum</v>
      </c>
      <c r="C57" s="61" t="str">
        <f>Ydelser!D57</f>
        <v>Fejning og renholdelse af frie arealer i cykelskur og cykelrum.</v>
      </c>
      <c r="D57" s="248" t="b">
        <f>'FS Aftale'!D57</f>
        <v>0</v>
      </c>
      <c r="E57" s="156" t="str">
        <f>'FS Aftale'!E57</f>
        <v>Månedligt</v>
      </c>
      <c r="F57" s="61" t="str">
        <f t="shared" si="41"/>
        <v>Team Ansvarlig</v>
      </c>
      <c r="G57" s="61" t="str">
        <f t="shared" si="41"/>
        <v>Ansvarlig</v>
      </c>
      <c r="H57" s="61" t="str">
        <f t="shared" si="41"/>
        <v>Servicemedarb.</v>
      </c>
      <c r="I57" s="235"/>
      <c r="J57" s="61" t="str">
        <f t="shared" si="42"/>
        <v>Fast</v>
      </c>
      <c r="K57" s="61" t="str">
        <f t="shared" si="42"/>
        <v>FS aftale</v>
      </c>
      <c r="L57" s="188">
        <f t="shared" si="42"/>
        <v>1</v>
      </c>
      <c r="M57" s="157" t="str">
        <f t="shared" si="42"/>
        <v>Mangler planlægning</v>
      </c>
      <c r="N57" s="147" t="str">
        <f>IFERROR(VLOOKUP(O57,Støtteark!$B$21:$F$35,MATCH(E57,Støtteark!$B$21:$F$21,0),0),Støtteark!$L$35)</f>
        <v>Månedligt</v>
      </c>
      <c r="O57" s="62">
        <f>'FS Aftale'!F57</f>
        <v>12</v>
      </c>
      <c r="P57" s="179" t="str">
        <f t="shared" si="43"/>
        <v>7:00</v>
      </c>
      <c r="Q57" s="63">
        <f>'FS Aftale'!G57*Støtteark!$Q$15</f>
        <v>30</v>
      </c>
      <c r="R57" s="235"/>
      <c r="S57" s="231" t="str">
        <f>IF(OR(AND(OR(N57 = Støtteark!$L$25,N57 = Støtteark!$L$26,N57 = Støtteark!$L$28),E57&lt;&gt;Støtteark!$U$6,OR(O57=Støtteark!$B$22,O57=Støtteark!$B$23,O57=Støtteark!$B$24,O57=Støtteark!$B$25,O57=Støtteark!$B$26,O57=Støtteark!$B$27,O57=Støtteark!$B$28)),AND(E57=Støtteark!$U$6,OR(O57=Støtteark!$B$24,O57=Støtteark!$B$27,O57=Støtteark!$B$29))),1,"")</f>
        <v/>
      </c>
      <c r="T57" s="232" t="str">
        <f>IF(OR(AND(N57 = Støtteark!$L$25,E57&lt;&gt;Støtteark!$U$6,O57=Støtteark!$B$22),AND(E57=Støtteark!$U$6,O57=Støtteark!$B$24),O57=Støtteark!$B$22),1,"")</f>
        <v/>
      </c>
      <c r="U57" s="232" t="str">
        <f>IF(OR(AND(N57 = Støtteark!$L$25,E57&lt;&gt;Støtteark!$U$6,OR(O57=Støtteark!$B$22,O57=Støtteark!$B$23,O57=Støtteark!$B$24)),AND(E57=Støtteark!$U$6,OR(O57=Støtteark!$B$22,O57=Støtteark!$B$24))),1,"")</f>
        <v/>
      </c>
      <c r="V57" s="232" t="str">
        <f>IF(OR(AND(N57 = Støtteark!$L$25,E57&lt;&gt;Støtteark!$U$6,O57=Støtteark!$B$22),AND(E57=Støtteark!$U$6,OR(O57=Støtteark!$B$22,O57=Støtteark!$B$24))),1,"")</f>
        <v/>
      </c>
      <c r="W57" s="232" t="str">
        <f>IF(OR(AND(N57 = Støtteark!$L$25,E57&lt;&gt;Støtteark!$U$6,OR(O57=Støtteark!$B$22,O57=Støtteark!$B$23,O57=Støtteark!$B$24,O57=Støtteark!$B$25)),AND(E57=Støtteark!$U$6,OR(O57=Støtteark!$B$22,O57=Støtteark!$B$24))),1,"")</f>
        <v/>
      </c>
      <c r="X57" s="231"/>
      <c r="Y57" s="231"/>
      <c r="Z57" s="235"/>
      <c r="AA57" s="231">
        <f>IF(OR(AND(E57&lt;&gt;Støtteark!$U$6,N57 = Støtteark!$L$25),N57 = Støtteark!$L$26,N57 = Støtteark!$L$28,AND(N57 = Støtteark!$L$29,E57&lt;&gt;Støtteark!$U$6,OR(O57=Støtteark!$B$30,O57=Støtteark!$B$32,O57=Støtteark!$B$33,AND(E57&lt;&gt;Støtteark!$U$6,O57=Støtteark!$B$34),O57=Støtteark!$B$35))),1,"")</f>
        <v>1</v>
      </c>
      <c r="AB57" s="231">
        <f>IF(OR(AND(E57&lt;&gt;Støtteark!$U$6,N57 = Støtteark!$L$25),N57 = Støtteark!$L$26,N57 = Støtteark!$L$28,AND(N57 = Støtteark!$L$29,O57=Støtteark!$B$34)),1,"")</f>
        <v>1</v>
      </c>
      <c r="AC57" s="231">
        <f>IF(OR(AND(E57&lt;&gt;Støtteark!$U$6,N57 = Støtteark!$L$25),N57 = Støtteark!$L$26,N57 = Støtteark!$L$28,AND(N57 = Støtteark!$L$29,E57&lt;&gt;Støtteark!$U$6,OR(O57=Støtteark!$B$30,O57 = Støtteark!$B$34))),1,"")</f>
        <v>1</v>
      </c>
      <c r="AD57" s="232">
        <f>IF(OR(N57 = Støtteark!$L$25,N57 = Støtteark!$L$26,N57 = Støtteark!$L$28,AND(N57 = Støtteark!$L$29,OR(O57=Støtteark!$B$34,O57=Støtteark!$B$35)),AND(E57=Støtteark!$U$6,OR(O57=Støtteark!$B$29,O57=Støtteark!$B$30,O57=Støtteark!$B$32,O57=Støtteark!$B$33))),1,"")</f>
        <v>1</v>
      </c>
      <c r="AE57" s="231">
        <f>IF(OR(N57 = Støtteark!$L$25,N57 = Støtteark!$L$26,N57 = Støtteark!$L$28,AND(N57 = Støtteark!$L$29,OR(O57=Støtteark!$B$34,O57 = Støtteark!$B$30)),AND(E57=Støtteark!$U$6,O57=Støtteark!$B$29)),1,"")</f>
        <v>1</v>
      </c>
      <c r="AF57" s="231">
        <f>IF(OR(N57 = Støtteark!$L$25,N57 = Støtteark!$L$26,N57 = Støtteark!$L$28,AND(N57 = Støtteark!$L$29,O57=Støtteark!$B$34),AND(E57=Støtteark!$U$6,O57=Støtteark!$B$30),AND(E57=Støtteark!$U$6,O57=Støtteark!$B$29)),1,"")</f>
        <v>1</v>
      </c>
      <c r="AG57" s="231">
        <f>IF(OR(N57 = Støtteark!$L$25,N57 = Støtteark!$L$26,N57 = Støtteark!$L$28,AND(N57 = Støtteark!$L$29,OR(O57=Støtteark!$B$30,O57 = Støtteark!$B$31,O57=Støtteark!$B$32,O57=Støtteark!$B$34)),AND(E57=Støtteark!$U$6,OR(O57=Støtteark!$B$29,O57=Støtteark!$B$31))),1,"")</f>
        <v>1</v>
      </c>
      <c r="AH57" s="231">
        <f>IF(OR(N57 = Støtteark!$L$25,N57 = Støtteark!$L$26,N57 = Støtteark!$L$28,AND(N57 = Støtteark!$L$29,O57=Støtteark!$B$34),AND(E57=Støtteark!$U$6,OR(O57=Støtteark!$B$29,O57=Støtteark!$B$30))),1,"")</f>
        <v>1</v>
      </c>
      <c r="AI57" s="231">
        <f>IF(OR(N57 = Støtteark!$L$25,N57 = Støtteark!$L$26,N57 = Støtteark!$L$28,AND(N57 = Støtteark!$L$29,OR(O57=Støtteark!$B$34,O57 = Støtteark!$B$30)),AND(E57=Støtteark!$U$6,OR(O57=Støtteark!$B$29,O57=Støtteark!$B$30))),1,"")</f>
        <v>1</v>
      </c>
      <c r="AJ57" s="231">
        <f>IF(OR(AND(E57&lt;&gt;Støtteark!$U$6,N57 = Støtteark!$L$25),N57 = Støtteark!$L$26,N57 = Støtteark!$L$28,AND(N57 = Støtteark!$L$29,OR(O57=Støtteark!$B$34,O57=Støtteark!$B$35),O57&lt;&gt;Støtteark!$B$30)),1,"")</f>
        <v>1</v>
      </c>
      <c r="AK57" s="231">
        <f>IF(OR(AND(E57&lt;&gt;Støtteark!$U$6,N57 = Støtteark!$L$25),N57 = Støtteark!$L$26,N57 = Støtteark!$L$28,AND(N57 = Støtteark!$L$29,E57&lt;&gt;Støtteark!$U$6,OR(O57=Støtteark!$B$34,O57 = Støtteark!$B$30))),1,"")</f>
        <v>1</v>
      </c>
      <c r="AL57" s="231">
        <f>IF(OR(AND(E57&lt;&gt;Støtteark!$U$6,N57 = Støtteark!$L$25),N57 = Støtteark!$L$26,N57 = Støtteark!$L$28,AND(N57 = Støtteark!$L$29,O57=Støtteark!$B$34)),1,"")</f>
        <v>1</v>
      </c>
      <c r="AM57" s="231">
        <f>IF(AND(N57 = Støtteark!$L$29,OR(O57=Støtteark!$B$30,O57=Støtteark!$B$32,O57=Støtteark!$B$33,O57=Støtteark!$B$34,O57=Støtteark!$B$35)),Støtteark!$L$32,"")</f>
        <v>801</v>
      </c>
      <c r="AN57" s="235"/>
      <c r="AO57" s="91"/>
      <c r="AP57" s="170">
        <v>0</v>
      </c>
      <c r="AQ57" s="235"/>
      <c r="AR57" s="64">
        <f t="shared" ca="1" si="44"/>
        <v>44022</v>
      </c>
    </row>
    <row r="58" spans="1:44" ht="25.5" hidden="1" x14ac:dyDescent="0.25">
      <c r="A58" s="221" t="str">
        <f t="shared" si="40"/>
        <v>Kundenr.-Ejendom</v>
      </c>
      <c r="B58" s="61" t="str">
        <f>Ydelser!A58&amp; " - " &amp;Ydelser!C58</f>
        <v>410 - Renholdelse affaldsrum, containergård, skaktrum</v>
      </c>
      <c r="C58" s="61" t="str">
        <f>Ydelser!D58</f>
        <v>Fejning og renholdelse af affaldsrum, containergård og skaktrum.</v>
      </c>
      <c r="D58" s="248" t="b">
        <f>'FS Aftale'!D58</f>
        <v>0</v>
      </c>
      <c r="E58" s="156" t="str">
        <f>'FS Aftale'!E58</f>
        <v>Ugentligt</v>
      </c>
      <c r="F58" s="61" t="str">
        <f t="shared" si="41"/>
        <v>Team Ansvarlig</v>
      </c>
      <c r="G58" s="61" t="str">
        <f t="shared" si="41"/>
        <v>Ansvarlig</v>
      </c>
      <c r="H58" s="61" t="str">
        <f t="shared" si="41"/>
        <v>Servicemedarb.</v>
      </c>
      <c r="I58" s="235"/>
      <c r="J58" s="61" t="str">
        <f t="shared" si="42"/>
        <v>Fast</v>
      </c>
      <c r="K58" s="61" t="str">
        <f t="shared" si="42"/>
        <v>FS aftale</v>
      </c>
      <c r="L58" s="188">
        <f t="shared" si="42"/>
        <v>1</v>
      </c>
      <c r="M58" s="157" t="str">
        <f t="shared" si="42"/>
        <v>Mangler planlægning</v>
      </c>
      <c r="N58" s="147" t="str">
        <f>IFERROR(VLOOKUP(O58,Støtteark!$B$21:$F$35,MATCH(E58,Støtteark!$B$21:$F$21,0),0),Støtteark!$L$35)</f>
        <v>Ugentligt</v>
      </c>
      <c r="O58" s="62">
        <f>'FS Aftale'!F58</f>
        <v>52</v>
      </c>
      <c r="P58" s="179" t="str">
        <f t="shared" si="43"/>
        <v>7:00</v>
      </c>
      <c r="Q58" s="63">
        <f>'FS Aftale'!G58*Støtteark!$Q$15</f>
        <v>15</v>
      </c>
      <c r="R58" s="235"/>
      <c r="S58" s="231">
        <f>IF(OR(AND(OR(N58 = Støtteark!$L$25,N58 = Støtteark!$L$26,N58 = Støtteark!$L$28),E58&lt;&gt;Støtteark!$U$6,OR(O58=Støtteark!$B$22,O58=Støtteark!$B$23,O58=Støtteark!$B$24,O58=Støtteark!$B$25,O58=Støtteark!$B$26,O58=Støtteark!$B$27,O58=Støtteark!$B$28)),AND(E58=Støtteark!$U$6,OR(O58=Støtteark!$B$24,O58=Støtteark!$B$27,O58=Støtteark!$B$29))),1,"")</f>
        <v>1</v>
      </c>
      <c r="T58" s="232" t="str">
        <f>IF(OR(AND(N58 = Støtteark!$L$25,E58&lt;&gt;Støtteark!$U$6,O58=Støtteark!$B$22),AND(E58=Støtteark!$U$6,O58=Støtteark!$B$24),O58=Støtteark!$B$22),1,"")</f>
        <v/>
      </c>
      <c r="U58" s="232" t="str">
        <f>IF(OR(AND(N58 = Støtteark!$L$25,E58&lt;&gt;Støtteark!$U$6,OR(O58=Støtteark!$B$22,O58=Støtteark!$B$23,O58=Støtteark!$B$24)),AND(E58=Støtteark!$U$6,OR(O58=Støtteark!$B$22,O58=Støtteark!$B$24))),1,"")</f>
        <v/>
      </c>
      <c r="V58" s="232" t="str">
        <f>IF(OR(AND(N58 = Støtteark!$L$25,E58&lt;&gt;Støtteark!$U$6,O58=Støtteark!$B$22),AND(E58=Støtteark!$U$6,OR(O58=Støtteark!$B$22,O58=Støtteark!$B$24))),1,"")</f>
        <v/>
      </c>
      <c r="W58" s="232" t="str">
        <f>IF(OR(AND(N58 = Støtteark!$L$25,E58&lt;&gt;Støtteark!$U$6,OR(O58=Støtteark!$B$22,O58=Støtteark!$B$23,O58=Støtteark!$B$24,O58=Støtteark!$B$25)),AND(E58=Støtteark!$U$6,OR(O58=Støtteark!$B$22,O58=Støtteark!$B$24))),1,"")</f>
        <v/>
      </c>
      <c r="X58" s="231"/>
      <c r="Y58" s="231"/>
      <c r="Z58" s="235"/>
      <c r="AA58" s="231">
        <f>IF(OR(AND(E58&lt;&gt;Støtteark!$U$6,N58 = Støtteark!$L$25),N58 = Støtteark!$L$26,N58 = Støtteark!$L$28,AND(N58 = Støtteark!$L$29,E58&lt;&gt;Støtteark!$U$6,OR(O58=Støtteark!$B$30,O58=Støtteark!$B$32,O58=Støtteark!$B$33,AND(E58&lt;&gt;Støtteark!$U$6,O58=Støtteark!$B$34),O58=Støtteark!$B$35))),1,"")</f>
        <v>1</v>
      </c>
      <c r="AB58" s="231">
        <f>IF(OR(AND(E58&lt;&gt;Støtteark!$U$6,N58 = Støtteark!$L$25),N58 = Støtteark!$L$26,N58 = Støtteark!$L$28,AND(N58 = Støtteark!$L$29,O58=Støtteark!$B$34)),1,"")</f>
        <v>1</v>
      </c>
      <c r="AC58" s="231">
        <f>IF(OR(AND(E58&lt;&gt;Støtteark!$U$6,N58 = Støtteark!$L$25),N58 = Støtteark!$L$26,N58 = Støtteark!$L$28,AND(N58 = Støtteark!$L$29,E58&lt;&gt;Støtteark!$U$6,OR(O58=Støtteark!$B$30,O58 = Støtteark!$B$34))),1,"")</f>
        <v>1</v>
      </c>
      <c r="AD58" s="232">
        <f>IF(OR(N58 = Støtteark!$L$25,N58 = Støtteark!$L$26,N58 = Støtteark!$L$28,AND(N58 = Støtteark!$L$29,OR(O58=Støtteark!$B$34,O58=Støtteark!$B$35)),AND(E58=Støtteark!$U$6,OR(O58=Støtteark!$B$29,O58=Støtteark!$B$30,O58=Støtteark!$B$32,O58=Støtteark!$B$33))),1,"")</f>
        <v>1</v>
      </c>
      <c r="AE58" s="231">
        <f>IF(OR(N58 = Støtteark!$L$25,N58 = Støtteark!$L$26,N58 = Støtteark!$L$28,AND(N58 = Støtteark!$L$29,OR(O58=Støtteark!$B$34,O58 = Støtteark!$B$30)),AND(E58=Støtteark!$U$6,O58=Støtteark!$B$29)),1,"")</f>
        <v>1</v>
      </c>
      <c r="AF58" s="231">
        <f>IF(OR(N58 = Støtteark!$L$25,N58 = Støtteark!$L$26,N58 = Støtteark!$L$28,AND(N58 = Støtteark!$L$29,O58=Støtteark!$B$34),AND(E58=Støtteark!$U$6,O58=Støtteark!$B$30),AND(E58=Støtteark!$U$6,O58=Støtteark!$B$29)),1,"")</f>
        <v>1</v>
      </c>
      <c r="AG58" s="231">
        <f>IF(OR(N58 = Støtteark!$L$25,N58 = Støtteark!$L$26,N58 = Støtteark!$L$28,AND(N58 = Støtteark!$L$29,OR(O58=Støtteark!$B$30,O58 = Støtteark!$B$31,O58=Støtteark!$B$32,O58=Støtteark!$B$34)),AND(E58=Støtteark!$U$6,OR(O58=Støtteark!$B$29,O58=Støtteark!$B$31))),1,"")</f>
        <v>1</v>
      </c>
      <c r="AH58" s="231">
        <f>IF(OR(N58 = Støtteark!$L$25,N58 = Støtteark!$L$26,N58 = Støtteark!$L$28,AND(N58 = Støtteark!$L$29,O58=Støtteark!$B$34),AND(E58=Støtteark!$U$6,OR(O58=Støtteark!$B$29,O58=Støtteark!$B$30))),1,"")</f>
        <v>1</v>
      </c>
      <c r="AI58" s="231">
        <f>IF(OR(N58 = Støtteark!$L$25,N58 = Støtteark!$L$26,N58 = Støtteark!$L$28,AND(N58 = Støtteark!$L$29,OR(O58=Støtteark!$B$34,O58 = Støtteark!$B$30)),AND(E58=Støtteark!$U$6,OR(O58=Støtteark!$B$29,O58=Støtteark!$B$30))),1,"")</f>
        <v>1</v>
      </c>
      <c r="AJ58" s="231">
        <f>IF(OR(AND(E58&lt;&gt;Støtteark!$U$6,N58 = Støtteark!$L$25),N58 = Støtteark!$L$26,N58 = Støtteark!$L$28,AND(N58 = Støtteark!$L$29,OR(O58=Støtteark!$B$34,O58=Støtteark!$B$35),O58&lt;&gt;Støtteark!$B$30)),1,"")</f>
        <v>1</v>
      </c>
      <c r="AK58" s="231">
        <f>IF(OR(AND(E58&lt;&gt;Støtteark!$U$6,N58 = Støtteark!$L$25),N58 = Støtteark!$L$26,N58 = Støtteark!$L$28,AND(N58 = Støtteark!$L$29,E58&lt;&gt;Støtteark!$U$6,OR(O58=Støtteark!$B$34,O58 = Støtteark!$B$30))),1,"")</f>
        <v>1</v>
      </c>
      <c r="AL58" s="231">
        <f>IF(OR(AND(E58&lt;&gt;Støtteark!$U$6,N58 = Støtteark!$L$25),N58 = Støtteark!$L$26,N58 = Støtteark!$L$28,AND(N58 = Støtteark!$L$29,O58=Støtteark!$B$34)),1,"")</f>
        <v>1</v>
      </c>
      <c r="AM58" s="231" t="str">
        <f>IF(AND(N58 = Støtteark!$L$29,OR(O58=Støtteark!$B$30,O58=Støtteark!$B$32,O58=Støtteark!$B$33,O58=Støtteark!$B$34,O58=Støtteark!$B$35)),Støtteark!$L$32,"")</f>
        <v/>
      </c>
      <c r="AN58" s="235"/>
      <c r="AO58" s="91"/>
      <c r="AP58" s="170">
        <v>0</v>
      </c>
      <c r="AQ58" s="235"/>
      <c r="AR58" s="64">
        <f t="shared" ca="1" si="44"/>
        <v>44022</v>
      </c>
    </row>
    <row r="59" spans="1:44" ht="25.5" hidden="1" x14ac:dyDescent="0.25">
      <c r="A59" s="221" t="str">
        <f t="shared" si="40"/>
        <v>Kundenr.-Ejendom</v>
      </c>
      <c r="B59" s="61" t="str">
        <f>Ydelser!A59&amp; " - " &amp;Ydelser!C59</f>
        <v>411 - Renholdelse af storskraldsrum.</v>
      </c>
      <c r="C59" s="61" t="str">
        <f>Ydelser!D59</f>
        <v>Fejning og renholdelse af storskraldsrum, inden for arbejdsmiljølovens rammer.</v>
      </c>
      <c r="D59" s="248" t="b">
        <f>'FS Aftale'!D59</f>
        <v>0</v>
      </c>
      <c r="E59" s="156" t="str">
        <f>'FS Aftale'!E59</f>
        <v>Ugentligt</v>
      </c>
      <c r="F59" s="61" t="str">
        <f t="shared" si="41"/>
        <v>Team Ansvarlig</v>
      </c>
      <c r="G59" s="61" t="str">
        <f t="shared" si="41"/>
        <v>Ansvarlig</v>
      </c>
      <c r="H59" s="61" t="str">
        <f t="shared" si="41"/>
        <v>Servicemedarb.</v>
      </c>
      <c r="I59" s="235"/>
      <c r="J59" s="61" t="str">
        <f t="shared" si="42"/>
        <v>Fast</v>
      </c>
      <c r="K59" s="61" t="str">
        <f t="shared" si="42"/>
        <v>FS aftale</v>
      </c>
      <c r="L59" s="188">
        <f t="shared" si="42"/>
        <v>1</v>
      </c>
      <c r="M59" s="157" t="str">
        <f t="shared" si="42"/>
        <v>Mangler planlægning</v>
      </c>
      <c r="N59" s="147" t="str">
        <f>IFERROR(VLOOKUP(O59,Støtteark!$B$21:$F$35,MATCH(E59,Støtteark!$B$21:$F$21,0),0),Støtteark!$L$35)</f>
        <v>Ugentligt</v>
      </c>
      <c r="O59" s="62">
        <f>'FS Aftale'!F59</f>
        <v>52</v>
      </c>
      <c r="P59" s="179" t="str">
        <f t="shared" si="43"/>
        <v>7:00</v>
      </c>
      <c r="Q59" s="63">
        <f>'FS Aftale'!G59*Støtteark!$Q$15</f>
        <v>15</v>
      </c>
      <c r="R59" s="235"/>
      <c r="S59" s="231">
        <f>IF(OR(AND(OR(N59 = Støtteark!$L$25,N59 = Støtteark!$L$26,N59 = Støtteark!$L$28),E59&lt;&gt;Støtteark!$U$6,OR(O59=Støtteark!$B$22,O59=Støtteark!$B$23,O59=Støtteark!$B$24,O59=Støtteark!$B$25,O59=Støtteark!$B$26,O59=Støtteark!$B$27,O59=Støtteark!$B$28)),AND(E59=Støtteark!$U$6,OR(O59=Støtteark!$B$24,O59=Støtteark!$B$27,O59=Støtteark!$B$29))),1,"")</f>
        <v>1</v>
      </c>
      <c r="T59" s="232" t="str">
        <f>IF(OR(AND(N59 = Støtteark!$L$25,E59&lt;&gt;Støtteark!$U$6,O59=Støtteark!$B$22),AND(E59=Støtteark!$U$6,O59=Støtteark!$B$24),O59=Støtteark!$B$22),1,"")</f>
        <v/>
      </c>
      <c r="U59" s="232" t="str">
        <f>IF(OR(AND(N59 = Støtteark!$L$25,E59&lt;&gt;Støtteark!$U$6,OR(O59=Støtteark!$B$22,O59=Støtteark!$B$23,O59=Støtteark!$B$24)),AND(E59=Støtteark!$U$6,OR(O59=Støtteark!$B$22,O59=Støtteark!$B$24))),1,"")</f>
        <v/>
      </c>
      <c r="V59" s="232" t="str">
        <f>IF(OR(AND(N59 = Støtteark!$L$25,E59&lt;&gt;Støtteark!$U$6,O59=Støtteark!$B$22),AND(E59=Støtteark!$U$6,OR(O59=Støtteark!$B$22,O59=Støtteark!$B$24))),1,"")</f>
        <v/>
      </c>
      <c r="W59" s="232" t="str">
        <f>IF(OR(AND(N59 = Støtteark!$L$25,E59&lt;&gt;Støtteark!$U$6,OR(O59=Støtteark!$B$22,O59=Støtteark!$B$23,O59=Støtteark!$B$24,O59=Støtteark!$B$25)),AND(E59=Støtteark!$U$6,OR(O59=Støtteark!$B$22,O59=Støtteark!$B$24))),1,"")</f>
        <v/>
      </c>
      <c r="X59" s="231"/>
      <c r="Y59" s="231"/>
      <c r="Z59" s="235"/>
      <c r="AA59" s="231">
        <f>IF(OR(AND(E59&lt;&gt;Støtteark!$U$6,N59 = Støtteark!$L$25),N59 = Støtteark!$L$26,N59 = Støtteark!$L$28,AND(N59 = Støtteark!$L$29,E59&lt;&gt;Støtteark!$U$6,OR(O59=Støtteark!$B$30,O59=Støtteark!$B$32,O59=Støtteark!$B$33,AND(E59&lt;&gt;Støtteark!$U$6,O59=Støtteark!$B$34),O59=Støtteark!$B$35))),1,"")</f>
        <v>1</v>
      </c>
      <c r="AB59" s="231">
        <f>IF(OR(AND(E59&lt;&gt;Støtteark!$U$6,N59 = Støtteark!$L$25),N59 = Støtteark!$L$26,N59 = Støtteark!$L$28,AND(N59 = Støtteark!$L$29,O59=Støtteark!$B$34)),1,"")</f>
        <v>1</v>
      </c>
      <c r="AC59" s="231">
        <f>IF(OR(AND(E59&lt;&gt;Støtteark!$U$6,N59 = Støtteark!$L$25),N59 = Støtteark!$L$26,N59 = Støtteark!$L$28,AND(N59 = Støtteark!$L$29,E59&lt;&gt;Støtteark!$U$6,OR(O59=Støtteark!$B$30,O59 = Støtteark!$B$34))),1,"")</f>
        <v>1</v>
      </c>
      <c r="AD59" s="232">
        <f>IF(OR(N59 = Støtteark!$L$25,N59 = Støtteark!$L$26,N59 = Støtteark!$L$28,AND(N59 = Støtteark!$L$29,OR(O59=Støtteark!$B$34,O59=Støtteark!$B$35)),AND(E59=Støtteark!$U$6,OR(O59=Støtteark!$B$29,O59=Støtteark!$B$30,O59=Støtteark!$B$32,O59=Støtteark!$B$33))),1,"")</f>
        <v>1</v>
      </c>
      <c r="AE59" s="231">
        <f>IF(OR(N59 = Støtteark!$L$25,N59 = Støtteark!$L$26,N59 = Støtteark!$L$28,AND(N59 = Støtteark!$L$29,OR(O59=Støtteark!$B$34,O59 = Støtteark!$B$30)),AND(E59=Støtteark!$U$6,O59=Støtteark!$B$29)),1,"")</f>
        <v>1</v>
      </c>
      <c r="AF59" s="231">
        <f>IF(OR(N59 = Støtteark!$L$25,N59 = Støtteark!$L$26,N59 = Støtteark!$L$28,AND(N59 = Støtteark!$L$29,O59=Støtteark!$B$34),AND(E59=Støtteark!$U$6,O59=Støtteark!$B$30),AND(E59=Støtteark!$U$6,O59=Støtteark!$B$29)),1,"")</f>
        <v>1</v>
      </c>
      <c r="AG59" s="231">
        <f>IF(OR(N59 = Støtteark!$L$25,N59 = Støtteark!$L$26,N59 = Støtteark!$L$28,AND(N59 = Støtteark!$L$29,OR(O59=Støtteark!$B$30,O59 = Støtteark!$B$31,O59=Støtteark!$B$32,O59=Støtteark!$B$34)),AND(E59=Støtteark!$U$6,OR(O59=Støtteark!$B$29,O59=Støtteark!$B$31))),1,"")</f>
        <v>1</v>
      </c>
      <c r="AH59" s="231">
        <f>IF(OR(N59 = Støtteark!$L$25,N59 = Støtteark!$L$26,N59 = Støtteark!$L$28,AND(N59 = Støtteark!$L$29,O59=Støtteark!$B$34),AND(E59=Støtteark!$U$6,OR(O59=Støtteark!$B$29,O59=Støtteark!$B$30))),1,"")</f>
        <v>1</v>
      </c>
      <c r="AI59" s="231">
        <f>IF(OR(N59 = Støtteark!$L$25,N59 = Støtteark!$L$26,N59 = Støtteark!$L$28,AND(N59 = Støtteark!$L$29,OR(O59=Støtteark!$B$34,O59 = Støtteark!$B$30)),AND(E59=Støtteark!$U$6,OR(O59=Støtteark!$B$29,O59=Støtteark!$B$30))),1,"")</f>
        <v>1</v>
      </c>
      <c r="AJ59" s="231">
        <f>IF(OR(AND(E59&lt;&gt;Støtteark!$U$6,N59 = Støtteark!$L$25),N59 = Støtteark!$L$26,N59 = Støtteark!$L$28,AND(N59 = Støtteark!$L$29,OR(O59=Støtteark!$B$34,O59=Støtteark!$B$35),O59&lt;&gt;Støtteark!$B$30)),1,"")</f>
        <v>1</v>
      </c>
      <c r="AK59" s="231">
        <f>IF(OR(AND(E59&lt;&gt;Støtteark!$U$6,N59 = Støtteark!$L$25),N59 = Støtteark!$L$26,N59 = Støtteark!$L$28,AND(N59 = Støtteark!$L$29,E59&lt;&gt;Støtteark!$U$6,OR(O59=Støtteark!$B$34,O59 = Støtteark!$B$30))),1,"")</f>
        <v>1</v>
      </c>
      <c r="AL59" s="231">
        <f>IF(OR(AND(E59&lt;&gt;Støtteark!$U$6,N59 = Støtteark!$L$25),N59 = Støtteark!$L$26,N59 = Støtteark!$L$28,AND(N59 = Støtteark!$L$29,O59=Støtteark!$B$34)),1,"")</f>
        <v>1</v>
      </c>
      <c r="AM59" s="231" t="str">
        <f>IF(AND(N59 = Støtteark!$L$29,OR(O59=Støtteark!$B$30,O59=Støtteark!$B$32,O59=Støtteark!$B$33,O59=Støtteark!$B$34,O59=Støtteark!$B$35)),Støtteark!$L$32,"")</f>
        <v/>
      </c>
      <c r="AN59" s="235"/>
      <c r="AO59" s="91"/>
      <c r="AP59" s="170">
        <v>0</v>
      </c>
      <c r="AQ59" s="235"/>
      <c r="AR59" s="64">
        <f t="shared" ca="1" si="44"/>
        <v>44022</v>
      </c>
    </row>
    <row r="60" spans="1:44" ht="25.5" hidden="1" x14ac:dyDescent="0.25">
      <c r="A60" s="221" t="str">
        <f t="shared" si="40"/>
        <v>Kundenr.-Ejendom</v>
      </c>
      <c r="B60" s="61" t="str">
        <f>Ydelser!A60&amp; " - " &amp;Ydelser!C60</f>
        <v>412 - Affaldshåndtering</v>
      </c>
      <c r="C60" s="61" t="str">
        <f>Ydelser!D60</f>
        <v>Flytte containere frem og tilbage og flytte sække fra nedfaldsskakte m.m. i forbindelse med tømning.</v>
      </c>
      <c r="D60" s="248" t="b">
        <f>'FS Aftale'!D60</f>
        <v>0</v>
      </c>
      <c r="E60" s="156" t="str">
        <f>'FS Aftale'!E60</f>
        <v>Ugentligt</v>
      </c>
      <c r="F60" s="61" t="str">
        <f t="shared" si="41"/>
        <v>Team Ansvarlig</v>
      </c>
      <c r="G60" s="61" t="str">
        <f t="shared" si="41"/>
        <v>Ansvarlig</v>
      </c>
      <c r="H60" s="61" t="str">
        <f t="shared" si="41"/>
        <v>Servicemedarb.</v>
      </c>
      <c r="I60" s="235"/>
      <c r="J60" s="61" t="str">
        <f t="shared" si="42"/>
        <v>Fast</v>
      </c>
      <c r="K60" s="61" t="str">
        <f t="shared" si="42"/>
        <v>FS aftale</v>
      </c>
      <c r="L60" s="188">
        <f t="shared" si="42"/>
        <v>1</v>
      </c>
      <c r="M60" s="157" t="str">
        <f t="shared" si="42"/>
        <v>Mangler planlægning</v>
      </c>
      <c r="N60" s="147" t="str">
        <f>IFERROR(VLOOKUP(O60,Støtteark!$B$21:$F$35,MATCH(E60,Støtteark!$B$21:$F$21,0),0),Støtteark!$L$35)</f>
        <v>Ugentligt</v>
      </c>
      <c r="O60" s="62">
        <f>'FS Aftale'!F60</f>
        <v>156</v>
      </c>
      <c r="P60" s="179" t="str">
        <f t="shared" si="43"/>
        <v>7:00</v>
      </c>
      <c r="Q60" s="63">
        <f>'FS Aftale'!G60*Støtteark!$Q$15</f>
        <v>60</v>
      </c>
      <c r="R60" s="235"/>
      <c r="S60" s="231">
        <f>IF(OR(AND(OR(N60 = Støtteark!$L$25,N60 = Støtteark!$L$26,N60 = Støtteark!$L$28),E60&lt;&gt;Støtteark!$U$6,OR(O60=Støtteark!$B$22,O60=Støtteark!$B$23,O60=Støtteark!$B$24,O60=Støtteark!$B$25,O60=Støtteark!$B$26,O60=Støtteark!$B$27,O60=Støtteark!$B$28)),AND(E60=Støtteark!$U$6,OR(O60=Støtteark!$B$24,O60=Støtteark!$B$27,O60=Støtteark!$B$29))),1,"")</f>
        <v>1</v>
      </c>
      <c r="T60" s="232" t="str">
        <f>IF(OR(AND(N60 = Støtteark!$L$25,E60&lt;&gt;Støtteark!$U$6,O60=Støtteark!$B$22),AND(E60=Støtteark!$U$6,O60=Støtteark!$B$24),O60=Støtteark!$B$22),1,"")</f>
        <v/>
      </c>
      <c r="U60" s="232">
        <f>IF(OR(AND(N60 = Støtteark!$L$25,E60&lt;&gt;Støtteark!$U$6,OR(O60=Støtteark!$B$22,O60=Støtteark!$B$23,O60=Støtteark!$B$24)),AND(E60=Støtteark!$U$6,OR(O60=Støtteark!$B$22,O60=Støtteark!$B$24))),1,"")</f>
        <v>1</v>
      </c>
      <c r="V60" s="232" t="str">
        <f>IF(OR(AND(N60 = Støtteark!$L$25,E60&lt;&gt;Støtteark!$U$6,O60=Støtteark!$B$22),AND(E60=Støtteark!$U$6,OR(O60=Støtteark!$B$22,O60=Støtteark!$B$24))),1,"")</f>
        <v/>
      </c>
      <c r="W60" s="232">
        <f>IF(OR(AND(N60 = Støtteark!$L$25,E60&lt;&gt;Støtteark!$U$6,OR(O60=Støtteark!$B$22,O60=Støtteark!$B$23,O60=Støtteark!$B$24,O60=Støtteark!$B$25)),AND(E60=Støtteark!$U$6,OR(O60=Støtteark!$B$22,O60=Støtteark!$B$24))),1,"")</f>
        <v>1</v>
      </c>
      <c r="X60" s="231"/>
      <c r="Y60" s="231"/>
      <c r="Z60" s="235"/>
      <c r="AA60" s="231">
        <f>IF(OR(AND(E60&lt;&gt;Støtteark!$U$6,N60 = Støtteark!$L$25),N60 = Støtteark!$L$26,N60 = Støtteark!$L$28,AND(N60 = Støtteark!$L$29,E60&lt;&gt;Støtteark!$U$6,OR(O60=Støtteark!$B$30,O60=Støtteark!$B$32,O60=Støtteark!$B$33,AND(E60&lt;&gt;Støtteark!$U$6,O60=Støtteark!$B$34),O60=Støtteark!$B$35))),1,"")</f>
        <v>1</v>
      </c>
      <c r="AB60" s="231">
        <f>IF(OR(AND(E60&lt;&gt;Støtteark!$U$6,N60 = Støtteark!$L$25),N60 = Støtteark!$L$26,N60 = Støtteark!$L$28,AND(N60 = Støtteark!$L$29,O60=Støtteark!$B$34)),1,"")</f>
        <v>1</v>
      </c>
      <c r="AC60" s="231">
        <f>IF(OR(AND(E60&lt;&gt;Støtteark!$U$6,N60 = Støtteark!$L$25),N60 = Støtteark!$L$26,N60 = Støtteark!$L$28,AND(N60 = Støtteark!$L$29,E60&lt;&gt;Støtteark!$U$6,OR(O60=Støtteark!$B$30,O60 = Støtteark!$B$34))),1,"")</f>
        <v>1</v>
      </c>
      <c r="AD60" s="232">
        <f>IF(OR(N60 = Støtteark!$L$25,N60 = Støtteark!$L$26,N60 = Støtteark!$L$28,AND(N60 = Støtteark!$L$29,OR(O60=Støtteark!$B$34,O60=Støtteark!$B$35)),AND(E60=Støtteark!$U$6,OR(O60=Støtteark!$B$29,O60=Støtteark!$B$30,O60=Støtteark!$B$32,O60=Støtteark!$B$33))),1,"")</f>
        <v>1</v>
      </c>
      <c r="AE60" s="231">
        <f>IF(OR(N60 = Støtteark!$L$25,N60 = Støtteark!$L$26,N60 = Støtteark!$L$28,AND(N60 = Støtteark!$L$29,OR(O60=Støtteark!$B$34,O60 = Støtteark!$B$30)),AND(E60=Støtteark!$U$6,O60=Støtteark!$B$29)),1,"")</f>
        <v>1</v>
      </c>
      <c r="AF60" s="231">
        <f>IF(OR(N60 = Støtteark!$L$25,N60 = Støtteark!$L$26,N60 = Støtteark!$L$28,AND(N60 = Støtteark!$L$29,O60=Støtteark!$B$34),AND(E60=Støtteark!$U$6,O60=Støtteark!$B$30),AND(E60=Støtteark!$U$6,O60=Støtteark!$B$29)),1,"")</f>
        <v>1</v>
      </c>
      <c r="AG60" s="231">
        <f>IF(OR(N60 = Støtteark!$L$25,N60 = Støtteark!$L$26,N60 = Støtteark!$L$28,AND(N60 = Støtteark!$L$29,OR(O60=Støtteark!$B$30,O60 = Støtteark!$B$31,O60=Støtteark!$B$32,O60=Støtteark!$B$34)),AND(E60=Støtteark!$U$6,OR(O60=Støtteark!$B$29,O60=Støtteark!$B$31))),1,"")</f>
        <v>1</v>
      </c>
      <c r="AH60" s="231">
        <f>IF(OR(N60 = Støtteark!$L$25,N60 = Støtteark!$L$26,N60 = Støtteark!$L$28,AND(N60 = Støtteark!$L$29,O60=Støtteark!$B$34),AND(E60=Støtteark!$U$6,OR(O60=Støtteark!$B$29,O60=Støtteark!$B$30))),1,"")</f>
        <v>1</v>
      </c>
      <c r="AI60" s="231">
        <f>IF(OR(N60 = Støtteark!$L$25,N60 = Støtteark!$L$26,N60 = Støtteark!$L$28,AND(N60 = Støtteark!$L$29,OR(O60=Støtteark!$B$34,O60 = Støtteark!$B$30)),AND(E60=Støtteark!$U$6,OR(O60=Støtteark!$B$29,O60=Støtteark!$B$30))),1,"")</f>
        <v>1</v>
      </c>
      <c r="AJ60" s="231">
        <f>IF(OR(AND(E60&lt;&gt;Støtteark!$U$6,N60 = Støtteark!$L$25),N60 = Støtteark!$L$26,N60 = Støtteark!$L$28,AND(N60 = Støtteark!$L$29,OR(O60=Støtteark!$B$34,O60=Støtteark!$B$35),O60&lt;&gt;Støtteark!$B$30)),1,"")</f>
        <v>1</v>
      </c>
      <c r="AK60" s="231">
        <f>IF(OR(AND(E60&lt;&gt;Støtteark!$U$6,N60 = Støtteark!$L$25),N60 = Støtteark!$L$26,N60 = Støtteark!$L$28,AND(N60 = Støtteark!$L$29,E60&lt;&gt;Støtteark!$U$6,OR(O60=Støtteark!$B$34,O60 = Støtteark!$B$30))),1,"")</f>
        <v>1</v>
      </c>
      <c r="AL60" s="231">
        <f>IF(OR(AND(E60&lt;&gt;Støtteark!$U$6,N60 = Støtteark!$L$25),N60 = Støtteark!$L$26,N60 = Støtteark!$L$28,AND(N60 = Støtteark!$L$29,O60=Støtteark!$B$34)),1,"")</f>
        <v>1</v>
      </c>
      <c r="AM60" s="231" t="str">
        <f>IF(AND(N60 = Støtteark!$L$29,OR(O60=Støtteark!$B$30,O60=Støtteark!$B$32,O60=Støtteark!$B$33,O60=Støtteark!$B$34,O60=Støtteark!$B$35)),Støtteark!$L$32,"")</f>
        <v/>
      </c>
      <c r="AN60" s="235"/>
      <c r="AO60" s="91"/>
      <c r="AP60" s="170">
        <v>0</v>
      </c>
      <c r="AQ60" s="235"/>
      <c r="AR60" s="64">
        <f t="shared" ca="1" si="44"/>
        <v>44022</v>
      </c>
    </row>
    <row r="61" spans="1:44" ht="25.5" hidden="1" x14ac:dyDescent="0.25">
      <c r="A61" s="221" t="str">
        <f t="shared" si="40"/>
        <v>Kundenr.-Ejendom</v>
      </c>
      <c r="B61" s="61" t="str">
        <f>Ydelser!A61&amp; " - " &amp;Ydelser!C61</f>
        <v>413 - Oprensning af regnvandsbrønde</v>
      </c>
      <c r="C61" s="61" t="str">
        <f>Ydelser!D61</f>
        <v>Oprensning af regnvandsbrønde og aquadræn i terræn.</v>
      </c>
      <c r="D61" s="248" t="b">
        <f>'FS Aftale'!D61</f>
        <v>0</v>
      </c>
      <c r="E61" s="156" t="str">
        <f>'FS Aftale'!E61</f>
        <v>Månedligt</v>
      </c>
      <c r="F61" s="61" t="str">
        <f t="shared" si="41"/>
        <v>Team Ansvarlig</v>
      </c>
      <c r="G61" s="61" t="str">
        <f t="shared" si="41"/>
        <v>Ansvarlig</v>
      </c>
      <c r="H61" s="61" t="str">
        <f t="shared" si="41"/>
        <v>Servicemedarb.</v>
      </c>
      <c r="I61" s="235"/>
      <c r="J61" s="61" t="str">
        <f t="shared" si="42"/>
        <v>Fast</v>
      </c>
      <c r="K61" s="61" t="str">
        <f t="shared" si="42"/>
        <v>FS aftale</v>
      </c>
      <c r="L61" s="188">
        <f t="shared" si="42"/>
        <v>1</v>
      </c>
      <c r="M61" s="157" t="str">
        <f t="shared" si="42"/>
        <v>Mangler planlægning</v>
      </c>
      <c r="N61" s="147" t="str">
        <f>IFERROR(VLOOKUP(O61,Støtteark!$B$21:$F$35,MATCH(E61,Støtteark!$B$21:$F$21,0),0),Støtteark!$L$35)</f>
        <v>Månedligt</v>
      </c>
      <c r="O61" s="62">
        <f>'FS Aftale'!F61</f>
        <v>12</v>
      </c>
      <c r="P61" s="179" t="str">
        <f t="shared" si="43"/>
        <v>7:00</v>
      </c>
      <c r="Q61" s="63">
        <f>'FS Aftale'!G61*Støtteark!$Q$15</f>
        <v>60</v>
      </c>
      <c r="R61" s="235"/>
      <c r="S61" s="231" t="str">
        <f>IF(OR(AND(OR(N61 = Støtteark!$L$25,N61 = Støtteark!$L$26,N61 = Støtteark!$L$28),E61&lt;&gt;Støtteark!$U$6,OR(O61=Støtteark!$B$22,O61=Støtteark!$B$23,O61=Støtteark!$B$24,O61=Støtteark!$B$25,O61=Støtteark!$B$26,O61=Støtteark!$B$27,O61=Støtteark!$B$28)),AND(E61=Støtteark!$U$6,OR(O61=Støtteark!$B$24,O61=Støtteark!$B$27,O61=Støtteark!$B$29))),1,"")</f>
        <v/>
      </c>
      <c r="T61" s="232" t="str">
        <f>IF(OR(AND(N61 = Støtteark!$L$25,E61&lt;&gt;Støtteark!$U$6,O61=Støtteark!$B$22),AND(E61=Støtteark!$U$6,O61=Støtteark!$B$24),O61=Støtteark!$B$22),1,"")</f>
        <v/>
      </c>
      <c r="U61" s="232" t="str">
        <f>IF(OR(AND(N61 = Støtteark!$L$25,E61&lt;&gt;Støtteark!$U$6,OR(O61=Støtteark!$B$22,O61=Støtteark!$B$23,O61=Støtteark!$B$24)),AND(E61=Støtteark!$U$6,OR(O61=Støtteark!$B$22,O61=Støtteark!$B$24))),1,"")</f>
        <v/>
      </c>
      <c r="V61" s="232" t="str">
        <f>IF(OR(AND(N61 = Støtteark!$L$25,E61&lt;&gt;Støtteark!$U$6,O61=Støtteark!$B$22),AND(E61=Støtteark!$U$6,OR(O61=Støtteark!$B$22,O61=Støtteark!$B$24))),1,"")</f>
        <v/>
      </c>
      <c r="W61" s="232" t="str">
        <f>IF(OR(AND(N61 = Støtteark!$L$25,E61&lt;&gt;Støtteark!$U$6,OR(O61=Støtteark!$B$22,O61=Støtteark!$B$23,O61=Støtteark!$B$24,O61=Støtteark!$B$25)),AND(E61=Støtteark!$U$6,OR(O61=Støtteark!$B$22,O61=Støtteark!$B$24))),1,"")</f>
        <v/>
      </c>
      <c r="X61" s="231"/>
      <c r="Y61" s="231"/>
      <c r="Z61" s="235"/>
      <c r="AA61" s="231">
        <f>IF(OR(AND(E61&lt;&gt;Støtteark!$U$6,N61 = Støtteark!$L$25),N61 = Støtteark!$L$26,N61 = Støtteark!$L$28,AND(N61 = Støtteark!$L$29,E61&lt;&gt;Støtteark!$U$6,OR(O61=Støtteark!$B$30,O61=Støtteark!$B$32,O61=Støtteark!$B$33,AND(E61&lt;&gt;Støtteark!$U$6,O61=Støtteark!$B$34),O61=Støtteark!$B$35))),1,"")</f>
        <v>1</v>
      </c>
      <c r="AB61" s="231">
        <f>IF(OR(AND(E61&lt;&gt;Støtteark!$U$6,N61 = Støtteark!$L$25),N61 = Støtteark!$L$26,N61 = Støtteark!$L$28,AND(N61 = Støtteark!$L$29,O61=Støtteark!$B$34)),1,"")</f>
        <v>1</v>
      </c>
      <c r="AC61" s="231">
        <f>IF(OR(AND(E61&lt;&gt;Støtteark!$U$6,N61 = Støtteark!$L$25),N61 = Støtteark!$L$26,N61 = Støtteark!$L$28,AND(N61 = Støtteark!$L$29,E61&lt;&gt;Støtteark!$U$6,OR(O61=Støtteark!$B$30,O61 = Støtteark!$B$34))),1,"")</f>
        <v>1</v>
      </c>
      <c r="AD61" s="232">
        <f>IF(OR(N61 = Støtteark!$L$25,N61 = Støtteark!$L$26,N61 = Støtteark!$L$28,AND(N61 = Støtteark!$L$29,OR(O61=Støtteark!$B$34,O61=Støtteark!$B$35)),AND(E61=Støtteark!$U$6,OR(O61=Støtteark!$B$29,O61=Støtteark!$B$30,O61=Støtteark!$B$32,O61=Støtteark!$B$33))),1,"")</f>
        <v>1</v>
      </c>
      <c r="AE61" s="231">
        <f>IF(OR(N61 = Støtteark!$L$25,N61 = Støtteark!$L$26,N61 = Støtteark!$L$28,AND(N61 = Støtteark!$L$29,OR(O61=Støtteark!$B$34,O61 = Støtteark!$B$30)),AND(E61=Støtteark!$U$6,O61=Støtteark!$B$29)),1,"")</f>
        <v>1</v>
      </c>
      <c r="AF61" s="231">
        <f>IF(OR(N61 = Støtteark!$L$25,N61 = Støtteark!$L$26,N61 = Støtteark!$L$28,AND(N61 = Støtteark!$L$29,O61=Støtteark!$B$34),AND(E61=Støtteark!$U$6,O61=Støtteark!$B$30),AND(E61=Støtteark!$U$6,O61=Støtteark!$B$29)),1,"")</f>
        <v>1</v>
      </c>
      <c r="AG61" s="231">
        <f>IF(OR(N61 = Støtteark!$L$25,N61 = Støtteark!$L$26,N61 = Støtteark!$L$28,AND(N61 = Støtteark!$L$29,OR(O61=Støtteark!$B$30,O61 = Støtteark!$B$31,O61=Støtteark!$B$32,O61=Støtteark!$B$34)),AND(E61=Støtteark!$U$6,OR(O61=Støtteark!$B$29,O61=Støtteark!$B$31))),1,"")</f>
        <v>1</v>
      </c>
      <c r="AH61" s="231">
        <f>IF(OR(N61 = Støtteark!$L$25,N61 = Støtteark!$L$26,N61 = Støtteark!$L$28,AND(N61 = Støtteark!$L$29,O61=Støtteark!$B$34),AND(E61=Støtteark!$U$6,OR(O61=Støtteark!$B$29,O61=Støtteark!$B$30))),1,"")</f>
        <v>1</v>
      </c>
      <c r="AI61" s="231">
        <f>IF(OR(N61 = Støtteark!$L$25,N61 = Støtteark!$L$26,N61 = Støtteark!$L$28,AND(N61 = Støtteark!$L$29,OR(O61=Støtteark!$B$34,O61 = Støtteark!$B$30)),AND(E61=Støtteark!$U$6,OR(O61=Støtteark!$B$29,O61=Støtteark!$B$30))),1,"")</f>
        <v>1</v>
      </c>
      <c r="AJ61" s="231">
        <f>IF(OR(AND(E61&lt;&gt;Støtteark!$U$6,N61 = Støtteark!$L$25),N61 = Støtteark!$L$26,N61 = Støtteark!$L$28,AND(N61 = Støtteark!$L$29,OR(O61=Støtteark!$B$34,O61=Støtteark!$B$35),O61&lt;&gt;Støtteark!$B$30)),1,"")</f>
        <v>1</v>
      </c>
      <c r="AK61" s="231">
        <f>IF(OR(AND(E61&lt;&gt;Støtteark!$U$6,N61 = Støtteark!$L$25),N61 = Støtteark!$L$26,N61 = Støtteark!$L$28,AND(N61 = Støtteark!$L$29,E61&lt;&gt;Støtteark!$U$6,OR(O61=Støtteark!$B$34,O61 = Støtteark!$B$30))),1,"")</f>
        <v>1</v>
      </c>
      <c r="AL61" s="231">
        <f>IF(OR(AND(E61&lt;&gt;Støtteark!$U$6,N61 = Støtteark!$L$25),N61 = Støtteark!$L$26,N61 = Støtteark!$L$28,AND(N61 = Støtteark!$L$29,O61=Støtteark!$B$34)),1,"")</f>
        <v>1</v>
      </c>
      <c r="AM61" s="231">
        <f>IF(AND(N61 = Støtteark!$L$29,OR(O61=Støtteark!$B$30,O61=Støtteark!$B$32,O61=Støtteark!$B$33,O61=Støtteark!$B$34,O61=Støtteark!$B$35)),Støtteark!$L$32,"")</f>
        <v>801</v>
      </c>
      <c r="AN61" s="235"/>
      <c r="AO61" s="91"/>
      <c r="AP61" s="170">
        <v>0</v>
      </c>
      <c r="AQ61" s="235"/>
      <c r="AR61" s="64">
        <f t="shared" ca="1" si="44"/>
        <v>44022</v>
      </c>
    </row>
    <row r="62" spans="1:44" ht="25.5" hidden="1" x14ac:dyDescent="0.25">
      <c r="A62" s="221" t="str">
        <f t="shared" si="40"/>
        <v>Kundenr.-Ejendom</v>
      </c>
      <c r="B62" s="61" t="str">
        <f>Ydelser!A62&amp; " - " &amp;Ydelser!C62</f>
        <v>414 - Oprensning af vejbrønde</v>
      </c>
      <c r="C62" s="61" t="str">
        <f>Ydelser!D62</f>
        <v>Oprensning af vejbrønde i terræn og parkeringshuse.</v>
      </c>
      <c r="D62" s="248" t="b">
        <f>'FS Aftale'!D62</f>
        <v>0</v>
      </c>
      <c r="E62" s="156" t="str">
        <f>'FS Aftale'!E62</f>
        <v>Månedligt</v>
      </c>
      <c r="F62" s="61" t="str">
        <f t="shared" si="41"/>
        <v>Team Ansvarlig</v>
      </c>
      <c r="G62" s="61" t="str">
        <f t="shared" si="41"/>
        <v>Ansvarlig</v>
      </c>
      <c r="H62" s="61" t="str">
        <f t="shared" si="41"/>
        <v>Servicemedarb.</v>
      </c>
      <c r="I62" s="235"/>
      <c r="J62" s="61" t="str">
        <f t="shared" si="42"/>
        <v>Fast</v>
      </c>
      <c r="K62" s="61" t="str">
        <f t="shared" si="42"/>
        <v>FS aftale</v>
      </c>
      <c r="L62" s="188">
        <f t="shared" si="42"/>
        <v>1</v>
      </c>
      <c r="M62" s="157" t="str">
        <f t="shared" si="42"/>
        <v>Mangler planlægning</v>
      </c>
      <c r="N62" s="147" t="str">
        <f>IFERROR(VLOOKUP(O62,Støtteark!$B$21:$F$35,MATCH(E62,Støtteark!$B$21:$F$21,0),0),Støtteark!$L$35)</f>
        <v>Månedligt</v>
      </c>
      <c r="O62" s="62">
        <f>'FS Aftale'!F62</f>
        <v>12</v>
      </c>
      <c r="P62" s="179" t="str">
        <f t="shared" si="43"/>
        <v>7:00</v>
      </c>
      <c r="Q62" s="63">
        <f>'FS Aftale'!G62*Støtteark!$Q$15</f>
        <v>60</v>
      </c>
      <c r="R62" s="235"/>
      <c r="S62" s="231" t="str">
        <f>IF(OR(AND(OR(N62 = Støtteark!$L$25,N62 = Støtteark!$L$26,N62 = Støtteark!$L$28),E62&lt;&gt;Støtteark!$U$6,OR(O62=Støtteark!$B$22,O62=Støtteark!$B$23,O62=Støtteark!$B$24,O62=Støtteark!$B$25,O62=Støtteark!$B$26,O62=Støtteark!$B$27,O62=Støtteark!$B$28)),AND(E62=Støtteark!$U$6,OR(O62=Støtteark!$B$24,O62=Støtteark!$B$27,O62=Støtteark!$B$29))),1,"")</f>
        <v/>
      </c>
      <c r="T62" s="232" t="str">
        <f>IF(OR(AND(N62 = Støtteark!$L$25,E62&lt;&gt;Støtteark!$U$6,O62=Støtteark!$B$22),AND(E62=Støtteark!$U$6,O62=Støtteark!$B$24),O62=Støtteark!$B$22),1,"")</f>
        <v/>
      </c>
      <c r="U62" s="232" t="str">
        <f>IF(OR(AND(N62 = Støtteark!$L$25,E62&lt;&gt;Støtteark!$U$6,OR(O62=Støtteark!$B$22,O62=Støtteark!$B$23,O62=Støtteark!$B$24)),AND(E62=Støtteark!$U$6,OR(O62=Støtteark!$B$22,O62=Støtteark!$B$24))),1,"")</f>
        <v/>
      </c>
      <c r="V62" s="232" t="str">
        <f>IF(OR(AND(N62 = Støtteark!$L$25,E62&lt;&gt;Støtteark!$U$6,O62=Støtteark!$B$22),AND(E62=Støtteark!$U$6,OR(O62=Støtteark!$B$22,O62=Støtteark!$B$24))),1,"")</f>
        <v/>
      </c>
      <c r="W62" s="232" t="str">
        <f>IF(OR(AND(N62 = Støtteark!$L$25,E62&lt;&gt;Støtteark!$U$6,OR(O62=Støtteark!$B$22,O62=Støtteark!$B$23,O62=Støtteark!$B$24,O62=Støtteark!$B$25)),AND(E62=Støtteark!$U$6,OR(O62=Støtteark!$B$22,O62=Støtteark!$B$24))),1,"")</f>
        <v/>
      </c>
      <c r="X62" s="231"/>
      <c r="Y62" s="231"/>
      <c r="Z62" s="235"/>
      <c r="AA62" s="231">
        <f>IF(OR(AND(E62&lt;&gt;Støtteark!$U$6,N62 = Støtteark!$L$25),N62 = Støtteark!$L$26,N62 = Støtteark!$L$28,AND(N62 = Støtteark!$L$29,E62&lt;&gt;Støtteark!$U$6,OR(O62=Støtteark!$B$30,O62=Støtteark!$B$32,O62=Støtteark!$B$33,AND(E62&lt;&gt;Støtteark!$U$6,O62=Støtteark!$B$34),O62=Støtteark!$B$35))),1,"")</f>
        <v>1</v>
      </c>
      <c r="AB62" s="231">
        <f>IF(OR(AND(E62&lt;&gt;Støtteark!$U$6,N62 = Støtteark!$L$25),N62 = Støtteark!$L$26,N62 = Støtteark!$L$28,AND(N62 = Støtteark!$L$29,O62=Støtteark!$B$34)),1,"")</f>
        <v>1</v>
      </c>
      <c r="AC62" s="231">
        <f>IF(OR(AND(E62&lt;&gt;Støtteark!$U$6,N62 = Støtteark!$L$25),N62 = Støtteark!$L$26,N62 = Støtteark!$L$28,AND(N62 = Støtteark!$L$29,E62&lt;&gt;Støtteark!$U$6,OR(O62=Støtteark!$B$30,O62 = Støtteark!$B$34))),1,"")</f>
        <v>1</v>
      </c>
      <c r="AD62" s="232">
        <f>IF(OR(N62 = Støtteark!$L$25,N62 = Støtteark!$L$26,N62 = Støtteark!$L$28,AND(N62 = Støtteark!$L$29,OR(O62=Støtteark!$B$34,O62=Støtteark!$B$35)),AND(E62=Støtteark!$U$6,OR(O62=Støtteark!$B$29,O62=Støtteark!$B$30,O62=Støtteark!$B$32,O62=Støtteark!$B$33))),1,"")</f>
        <v>1</v>
      </c>
      <c r="AE62" s="231">
        <f>IF(OR(N62 = Støtteark!$L$25,N62 = Støtteark!$L$26,N62 = Støtteark!$L$28,AND(N62 = Støtteark!$L$29,OR(O62=Støtteark!$B$34,O62 = Støtteark!$B$30)),AND(E62=Støtteark!$U$6,O62=Støtteark!$B$29)),1,"")</f>
        <v>1</v>
      </c>
      <c r="AF62" s="231">
        <f>IF(OR(N62 = Støtteark!$L$25,N62 = Støtteark!$L$26,N62 = Støtteark!$L$28,AND(N62 = Støtteark!$L$29,O62=Støtteark!$B$34),AND(E62=Støtteark!$U$6,O62=Støtteark!$B$30),AND(E62=Støtteark!$U$6,O62=Støtteark!$B$29)),1,"")</f>
        <v>1</v>
      </c>
      <c r="AG62" s="231">
        <f>IF(OR(N62 = Støtteark!$L$25,N62 = Støtteark!$L$26,N62 = Støtteark!$L$28,AND(N62 = Støtteark!$L$29,OR(O62=Støtteark!$B$30,O62 = Støtteark!$B$31,O62=Støtteark!$B$32,O62=Støtteark!$B$34)),AND(E62=Støtteark!$U$6,OR(O62=Støtteark!$B$29,O62=Støtteark!$B$31))),1,"")</f>
        <v>1</v>
      </c>
      <c r="AH62" s="231">
        <f>IF(OR(N62 = Støtteark!$L$25,N62 = Støtteark!$L$26,N62 = Støtteark!$L$28,AND(N62 = Støtteark!$L$29,O62=Støtteark!$B$34),AND(E62=Støtteark!$U$6,OR(O62=Støtteark!$B$29,O62=Støtteark!$B$30))),1,"")</f>
        <v>1</v>
      </c>
      <c r="AI62" s="231">
        <f>IF(OR(N62 = Støtteark!$L$25,N62 = Støtteark!$L$26,N62 = Støtteark!$L$28,AND(N62 = Støtteark!$L$29,OR(O62=Støtteark!$B$34,O62 = Støtteark!$B$30)),AND(E62=Støtteark!$U$6,OR(O62=Støtteark!$B$29,O62=Støtteark!$B$30))),1,"")</f>
        <v>1</v>
      </c>
      <c r="AJ62" s="231">
        <f>IF(OR(AND(E62&lt;&gt;Støtteark!$U$6,N62 = Støtteark!$L$25),N62 = Støtteark!$L$26,N62 = Støtteark!$L$28,AND(N62 = Støtteark!$L$29,OR(O62=Støtteark!$B$34,O62=Støtteark!$B$35),O62&lt;&gt;Støtteark!$B$30)),1,"")</f>
        <v>1</v>
      </c>
      <c r="AK62" s="231">
        <f>IF(OR(AND(E62&lt;&gt;Støtteark!$U$6,N62 = Støtteark!$L$25),N62 = Støtteark!$L$26,N62 = Støtteark!$L$28,AND(N62 = Støtteark!$L$29,E62&lt;&gt;Støtteark!$U$6,OR(O62=Støtteark!$B$34,O62 = Støtteark!$B$30))),1,"")</f>
        <v>1</v>
      </c>
      <c r="AL62" s="231">
        <f>IF(OR(AND(E62&lt;&gt;Støtteark!$U$6,N62 = Støtteark!$L$25),N62 = Støtteark!$L$26,N62 = Støtteark!$L$28,AND(N62 = Støtteark!$L$29,O62=Støtteark!$B$34)),1,"")</f>
        <v>1</v>
      </c>
      <c r="AM62" s="231">
        <f>IF(AND(N62 = Støtteark!$L$29,OR(O62=Støtteark!$B$30,O62=Støtteark!$B$32,O62=Støtteark!$B$33,O62=Støtteark!$B$34,O62=Støtteark!$B$35)),Støtteark!$L$32,"")</f>
        <v>801</v>
      </c>
      <c r="AN62" s="235"/>
      <c r="AO62" s="91"/>
      <c r="AP62" s="170">
        <v>0</v>
      </c>
      <c r="AQ62" s="235"/>
      <c r="AR62" s="64">
        <f t="shared" ca="1" si="44"/>
        <v>44022</v>
      </c>
    </row>
    <row r="63" spans="1:44" ht="25.5" hidden="1" x14ac:dyDescent="0.25">
      <c r="A63" s="221" t="str">
        <f t="shared" si="40"/>
        <v>Kundenr.-Ejendom</v>
      </c>
      <c r="B63" s="61" t="str">
        <f>Ydelser!A63&amp; " - " &amp;Ydelser!C63</f>
        <v>415 - Rensning af tagrender</v>
      </c>
      <c r="C63" s="61" t="str">
        <f>Ydelser!D63</f>
        <v>Oprensning af tagrender, inkl. lift.</v>
      </c>
      <c r="D63" s="248" t="b">
        <f>'FS Aftale'!D63</f>
        <v>0</v>
      </c>
      <c r="E63" s="156" t="str">
        <f>'FS Aftale'!E63</f>
        <v>Månedligt</v>
      </c>
      <c r="F63" s="61" t="str">
        <f t="shared" si="41"/>
        <v>Team Ansvarlig</v>
      </c>
      <c r="G63" s="61" t="str">
        <f t="shared" si="41"/>
        <v>Ansvarlig</v>
      </c>
      <c r="H63" s="61" t="str">
        <f t="shared" si="41"/>
        <v>Servicemedarb.</v>
      </c>
      <c r="I63" s="235"/>
      <c r="J63" s="61" t="str">
        <f t="shared" si="42"/>
        <v>Fast</v>
      </c>
      <c r="K63" s="61" t="str">
        <f t="shared" si="42"/>
        <v>FS aftale</v>
      </c>
      <c r="L63" s="188">
        <f t="shared" si="42"/>
        <v>1</v>
      </c>
      <c r="M63" s="157" t="str">
        <f t="shared" si="42"/>
        <v>Mangler planlægning</v>
      </c>
      <c r="N63" s="147" t="str">
        <f>IFERROR(VLOOKUP(O63,Støtteark!$B$21:$F$35,MATCH(E63,Støtteark!$B$21:$F$21,0),0),Støtteark!$L$35)</f>
        <v>Månedligt</v>
      </c>
      <c r="O63" s="62">
        <f>'FS Aftale'!F63</f>
        <v>12</v>
      </c>
      <c r="P63" s="179" t="str">
        <f t="shared" si="43"/>
        <v>7:00</v>
      </c>
      <c r="Q63" s="63">
        <f>'FS Aftale'!G63*Støtteark!$Q$15</f>
        <v>60</v>
      </c>
      <c r="R63" s="235"/>
      <c r="S63" s="231" t="str">
        <f>IF(OR(AND(OR(N63 = Støtteark!$L$25,N63 = Støtteark!$L$26,N63 = Støtteark!$L$28),E63&lt;&gt;Støtteark!$U$6,OR(O63=Støtteark!$B$22,O63=Støtteark!$B$23,O63=Støtteark!$B$24,O63=Støtteark!$B$25,O63=Støtteark!$B$26,O63=Støtteark!$B$27,O63=Støtteark!$B$28)),AND(E63=Støtteark!$U$6,OR(O63=Støtteark!$B$24,O63=Støtteark!$B$27,O63=Støtteark!$B$29))),1,"")</f>
        <v/>
      </c>
      <c r="T63" s="232" t="str">
        <f>IF(OR(AND(N63 = Støtteark!$L$25,E63&lt;&gt;Støtteark!$U$6,O63=Støtteark!$B$22),AND(E63=Støtteark!$U$6,O63=Støtteark!$B$24),O63=Støtteark!$B$22),1,"")</f>
        <v/>
      </c>
      <c r="U63" s="232" t="str">
        <f>IF(OR(AND(N63 = Støtteark!$L$25,E63&lt;&gt;Støtteark!$U$6,OR(O63=Støtteark!$B$22,O63=Støtteark!$B$23,O63=Støtteark!$B$24)),AND(E63=Støtteark!$U$6,OR(O63=Støtteark!$B$22,O63=Støtteark!$B$24))),1,"")</f>
        <v/>
      </c>
      <c r="V63" s="232" t="str">
        <f>IF(OR(AND(N63 = Støtteark!$L$25,E63&lt;&gt;Støtteark!$U$6,O63=Støtteark!$B$22),AND(E63=Støtteark!$U$6,OR(O63=Støtteark!$B$22,O63=Støtteark!$B$24))),1,"")</f>
        <v/>
      </c>
      <c r="W63" s="232" t="str">
        <f>IF(OR(AND(N63 = Støtteark!$L$25,E63&lt;&gt;Støtteark!$U$6,OR(O63=Støtteark!$B$22,O63=Støtteark!$B$23,O63=Støtteark!$B$24,O63=Støtteark!$B$25)),AND(E63=Støtteark!$U$6,OR(O63=Støtteark!$B$22,O63=Støtteark!$B$24))),1,"")</f>
        <v/>
      </c>
      <c r="X63" s="231"/>
      <c r="Y63" s="231"/>
      <c r="Z63" s="235"/>
      <c r="AA63" s="231">
        <f>IF(OR(AND(E63&lt;&gt;Støtteark!$U$6,N63 = Støtteark!$L$25),N63 = Støtteark!$L$26,N63 = Støtteark!$L$28,AND(N63 = Støtteark!$L$29,E63&lt;&gt;Støtteark!$U$6,OR(O63=Støtteark!$B$30,O63=Støtteark!$B$32,O63=Støtteark!$B$33,AND(E63&lt;&gt;Støtteark!$U$6,O63=Støtteark!$B$34),O63=Støtteark!$B$35))),1,"")</f>
        <v>1</v>
      </c>
      <c r="AB63" s="231">
        <f>IF(OR(AND(E63&lt;&gt;Støtteark!$U$6,N63 = Støtteark!$L$25),N63 = Støtteark!$L$26,N63 = Støtteark!$L$28,AND(N63 = Støtteark!$L$29,O63=Støtteark!$B$34)),1,"")</f>
        <v>1</v>
      </c>
      <c r="AC63" s="231">
        <f>IF(OR(AND(E63&lt;&gt;Støtteark!$U$6,N63 = Støtteark!$L$25),N63 = Støtteark!$L$26,N63 = Støtteark!$L$28,AND(N63 = Støtteark!$L$29,E63&lt;&gt;Støtteark!$U$6,OR(O63=Støtteark!$B$30,O63 = Støtteark!$B$34))),1,"")</f>
        <v>1</v>
      </c>
      <c r="AD63" s="232">
        <f>IF(OR(N63 = Støtteark!$L$25,N63 = Støtteark!$L$26,N63 = Støtteark!$L$28,AND(N63 = Støtteark!$L$29,OR(O63=Støtteark!$B$34,O63=Støtteark!$B$35)),AND(E63=Støtteark!$U$6,OR(O63=Støtteark!$B$29,O63=Støtteark!$B$30,O63=Støtteark!$B$32,O63=Støtteark!$B$33))),1,"")</f>
        <v>1</v>
      </c>
      <c r="AE63" s="231">
        <f>IF(OR(N63 = Støtteark!$L$25,N63 = Støtteark!$L$26,N63 = Støtteark!$L$28,AND(N63 = Støtteark!$L$29,OR(O63=Støtteark!$B$34,O63 = Støtteark!$B$30)),AND(E63=Støtteark!$U$6,O63=Støtteark!$B$29)),1,"")</f>
        <v>1</v>
      </c>
      <c r="AF63" s="231">
        <f>IF(OR(N63 = Støtteark!$L$25,N63 = Støtteark!$L$26,N63 = Støtteark!$L$28,AND(N63 = Støtteark!$L$29,O63=Støtteark!$B$34),AND(E63=Støtteark!$U$6,O63=Støtteark!$B$30),AND(E63=Støtteark!$U$6,O63=Støtteark!$B$29)),1,"")</f>
        <v>1</v>
      </c>
      <c r="AG63" s="231">
        <f>IF(OR(N63 = Støtteark!$L$25,N63 = Støtteark!$L$26,N63 = Støtteark!$L$28,AND(N63 = Støtteark!$L$29,OR(O63=Støtteark!$B$30,O63 = Støtteark!$B$31,O63=Støtteark!$B$32,O63=Støtteark!$B$34)),AND(E63=Støtteark!$U$6,OR(O63=Støtteark!$B$29,O63=Støtteark!$B$31))),1,"")</f>
        <v>1</v>
      </c>
      <c r="AH63" s="231">
        <f>IF(OR(N63 = Støtteark!$L$25,N63 = Støtteark!$L$26,N63 = Støtteark!$L$28,AND(N63 = Støtteark!$L$29,O63=Støtteark!$B$34),AND(E63=Støtteark!$U$6,OR(O63=Støtteark!$B$29,O63=Støtteark!$B$30))),1,"")</f>
        <v>1</v>
      </c>
      <c r="AI63" s="231">
        <f>IF(OR(N63 = Støtteark!$L$25,N63 = Støtteark!$L$26,N63 = Støtteark!$L$28,AND(N63 = Støtteark!$L$29,OR(O63=Støtteark!$B$34,O63 = Støtteark!$B$30)),AND(E63=Støtteark!$U$6,OR(O63=Støtteark!$B$29,O63=Støtteark!$B$30))),1,"")</f>
        <v>1</v>
      </c>
      <c r="AJ63" s="231">
        <f>IF(OR(AND(E63&lt;&gt;Støtteark!$U$6,N63 = Støtteark!$L$25),N63 = Støtteark!$L$26,N63 = Støtteark!$L$28,AND(N63 = Støtteark!$L$29,OR(O63=Støtteark!$B$34,O63=Støtteark!$B$35),O63&lt;&gt;Støtteark!$B$30)),1,"")</f>
        <v>1</v>
      </c>
      <c r="AK63" s="231">
        <f>IF(OR(AND(E63&lt;&gt;Støtteark!$U$6,N63 = Støtteark!$L$25),N63 = Støtteark!$L$26,N63 = Støtteark!$L$28,AND(N63 = Støtteark!$L$29,E63&lt;&gt;Støtteark!$U$6,OR(O63=Støtteark!$B$34,O63 = Støtteark!$B$30))),1,"")</f>
        <v>1</v>
      </c>
      <c r="AL63" s="231">
        <f>IF(OR(AND(E63&lt;&gt;Støtteark!$U$6,N63 = Støtteark!$L$25),N63 = Støtteark!$L$26,N63 = Støtteark!$L$28,AND(N63 = Støtteark!$L$29,O63=Støtteark!$B$34)),1,"")</f>
        <v>1</v>
      </c>
      <c r="AM63" s="231">
        <f>IF(AND(N63 = Støtteark!$L$29,OR(O63=Støtteark!$B$30,O63=Støtteark!$B$32,O63=Støtteark!$B$33,O63=Støtteark!$B$34,O63=Støtteark!$B$35)),Støtteark!$L$32,"")</f>
        <v>801</v>
      </c>
      <c r="AN63" s="235"/>
      <c r="AO63" s="91"/>
      <c r="AP63" s="170">
        <v>0</v>
      </c>
      <c r="AQ63" s="235"/>
      <c r="AR63" s="64">
        <f t="shared" ca="1" si="44"/>
        <v>44022</v>
      </c>
    </row>
    <row r="64" spans="1:44" ht="25.5" hidden="1" x14ac:dyDescent="0.25">
      <c r="A64" s="221" t="str">
        <f t="shared" si="40"/>
        <v>Kundenr.-Ejendom</v>
      </c>
      <c r="B64" s="61" t="str">
        <f>Ydelser!A64&amp; " - " &amp;Ydelser!C64</f>
        <v>416 - Rensning af tagbrønde</v>
      </c>
      <c r="C64" s="61" t="str">
        <f>Ydelser!D64</f>
        <v>Oprensning af synlige og tilgængelige tagbrønde uden brug af værktøj.</v>
      </c>
      <c r="D64" s="248" t="b">
        <f>'FS Aftale'!D64</f>
        <v>0</v>
      </c>
      <c r="E64" s="156" t="str">
        <f>'FS Aftale'!E64</f>
        <v>Månedligt</v>
      </c>
      <c r="F64" s="61" t="str">
        <f t="shared" si="41"/>
        <v>Team Ansvarlig</v>
      </c>
      <c r="G64" s="61" t="str">
        <f t="shared" si="41"/>
        <v>Ansvarlig</v>
      </c>
      <c r="H64" s="61" t="str">
        <f t="shared" si="41"/>
        <v>Servicemedarb.</v>
      </c>
      <c r="I64" s="235"/>
      <c r="J64" s="61" t="str">
        <f t="shared" si="42"/>
        <v>Fast</v>
      </c>
      <c r="K64" s="61" t="str">
        <f t="shared" si="42"/>
        <v>FS aftale</v>
      </c>
      <c r="L64" s="188">
        <f t="shared" si="42"/>
        <v>1</v>
      </c>
      <c r="M64" s="157" t="str">
        <f t="shared" si="42"/>
        <v>Mangler planlægning</v>
      </c>
      <c r="N64" s="147" t="str">
        <f>IFERROR(VLOOKUP(O64,Støtteark!$B$21:$F$35,MATCH(E64,Støtteark!$B$21:$F$21,0),0),Støtteark!$L$35)</f>
        <v>Månedligt</v>
      </c>
      <c r="O64" s="62">
        <f>'FS Aftale'!F64</f>
        <v>12</v>
      </c>
      <c r="P64" s="179" t="str">
        <f t="shared" si="43"/>
        <v>7:00</v>
      </c>
      <c r="Q64" s="63">
        <f>'FS Aftale'!G64*Støtteark!$Q$15</f>
        <v>120</v>
      </c>
      <c r="R64" s="235"/>
      <c r="S64" s="231" t="str">
        <f>IF(OR(AND(OR(N64 = Støtteark!$L$25,N64 = Støtteark!$L$26,N64 = Støtteark!$L$28),E64&lt;&gt;Støtteark!$U$6,OR(O64=Støtteark!$B$22,O64=Støtteark!$B$23,O64=Støtteark!$B$24,O64=Støtteark!$B$25,O64=Støtteark!$B$26,O64=Støtteark!$B$27,O64=Støtteark!$B$28)),AND(E64=Støtteark!$U$6,OR(O64=Støtteark!$B$24,O64=Støtteark!$B$27,O64=Støtteark!$B$29))),1,"")</f>
        <v/>
      </c>
      <c r="T64" s="232" t="str">
        <f>IF(OR(AND(N64 = Støtteark!$L$25,E64&lt;&gt;Støtteark!$U$6,O64=Støtteark!$B$22),AND(E64=Støtteark!$U$6,O64=Støtteark!$B$24),O64=Støtteark!$B$22),1,"")</f>
        <v/>
      </c>
      <c r="U64" s="232" t="str">
        <f>IF(OR(AND(N64 = Støtteark!$L$25,E64&lt;&gt;Støtteark!$U$6,OR(O64=Støtteark!$B$22,O64=Støtteark!$B$23,O64=Støtteark!$B$24)),AND(E64=Støtteark!$U$6,OR(O64=Støtteark!$B$22,O64=Støtteark!$B$24))),1,"")</f>
        <v/>
      </c>
      <c r="V64" s="232" t="str">
        <f>IF(OR(AND(N64 = Støtteark!$L$25,E64&lt;&gt;Støtteark!$U$6,O64=Støtteark!$B$22),AND(E64=Støtteark!$U$6,OR(O64=Støtteark!$B$22,O64=Støtteark!$B$24))),1,"")</f>
        <v/>
      </c>
      <c r="W64" s="232" t="str">
        <f>IF(OR(AND(N64 = Støtteark!$L$25,E64&lt;&gt;Støtteark!$U$6,OR(O64=Støtteark!$B$22,O64=Støtteark!$B$23,O64=Støtteark!$B$24,O64=Støtteark!$B$25)),AND(E64=Støtteark!$U$6,OR(O64=Støtteark!$B$22,O64=Støtteark!$B$24))),1,"")</f>
        <v/>
      </c>
      <c r="X64" s="231"/>
      <c r="Y64" s="231"/>
      <c r="Z64" s="235"/>
      <c r="AA64" s="231">
        <f>IF(OR(AND(E64&lt;&gt;Støtteark!$U$6,N64 = Støtteark!$L$25),N64 = Støtteark!$L$26,N64 = Støtteark!$L$28,AND(N64 = Støtteark!$L$29,E64&lt;&gt;Støtteark!$U$6,OR(O64=Støtteark!$B$30,O64=Støtteark!$B$32,O64=Støtteark!$B$33,AND(E64&lt;&gt;Støtteark!$U$6,O64=Støtteark!$B$34),O64=Støtteark!$B$35))),1,"")</f>
        <v>1</v>
      </c>
      <c r="AB64" s="231">
        <f>IF(OR(AND(E64&lt;&gt;Støtteark!$U$6,N64 = Støtteark!$L$25),N64 = Støtteark!$L$26,N64 = Støtteark!$L$28,AND(N64 = Støtteark!$L$29,O64=Støtteark!$B$34)),1,"")</f>
        <v>1</v>
      </c>
      <c r="AC64" s="231">
        <f>IF(OR(AND(E64&lt;&gt;Støtteark!$U$6,N64 = Støtteark!$L$25),N64 = Støtteark!$L$26,N64 = Støtteark!$L$28,AND(N64 = Støtteark!$L$29,E64&lt;&gt;Støtteark!$U$6,OR(O64=Støtteark!$B$30,O64 = Støtteark!$B$34))),1,"")</f>
        <v>1</v>
      </c>
      <c r="AD64" s="232">
        <f>IF(OR(N64 = Støtteark!$L$25,N64 = Støtteark!$L$26,N64 = Støtteark!$L$28,AND(N64 = Støtteark!$L$29,OR(O64=Støtteark!$B$34,O64=Støtteark!$B$35)),AND(E64=Støtteark!$U$6,OR(O64=Støtteark!$B$29,O64=Støtteark!$B$30,O64=Støtteark!$B$32,O64=Støtteark!$B$33))),1,"")</f>
        <v>1</v>
      </c>
      <c r="AE64" s="231">
        <f>IF(OR(N64 = Støtteark!$L$25,N64 = Støtteark!$L$26,N64 = Støtteark!$L$28,AND(N64 = Støtteark!$L$29,OR(O64=Støtteark!$B$34,O64 = Støtteark!$B$30)),AND(E64=Støtteark!$U$6,O64=Støtteark!$B$29)),1,"")</f>
        <v>1</v>
      </c>
      <c r="AF64" s="231">
        <f>IF(OR(N64 = Støtteark!$L$25,N64 = Støtteark!$L$26,N64 = Støtteark!$L$28,AND(N64 = Støtteark!$L$29,O64=Støtteark!$B$34),AND(E64=Støtteark!$U$6,O64=Støtteark!$B$30),AND(E64=Støtteark!$U$6,O64=Støtteark!$B$29)),1,"")</f>
        <v>1</v>
      </c>
      <c r="AG64" s="231">
        <f>IF(OR(N64 = Støtteark!$L$25,N64 = Støtteark!$L$26,N64 = Støtteark!$L$28,AND(N64 = Støtteark!$L$29,OR(O64=Støtteark!$B$30,O64 = Støtteark!$B$31,O64=Støtteark!$B$32,O64=Støtteark!$B$34)),AND(E64=Støtteark!$U$6,OR(O64=Støtteark!$B$29,O64=Støtteark!$B$31))),1,"")</f>
        <v>1</v>
      </c>
      <c r="AH64" s="231">
        <f>IF(OR(N64 = Støtteark!$L$25,N64 = Støtteark!$L$26,N64 = Støtteark!$L$28,AND(N64 = Støtteark!$L$29,O64=Støtteark!$B$34),AND(E64=Støtteark!$U$6,OR(O64=Støtteark!$B$29,O64=Støtteark!$B$30))),1,"")</f>
        <v>1</v>
      </c>
      <c r="AI64" s="231">
        <f>IF(OR(N64 = Støtteark!$L$25,N64 = Støtteark!$L$26,N64 = Støtteark!$L$28,AND(N64 = Støtteark!$L$29,OR(O64=Støtteark!$B$34,O64 = Støtteark!$B$30)),AND(E64=Støtteark!$U$6,OR(O64=Støtteark!$B$29,O64=Støtteark!$B$30))),1,"")</f>
        <v>1</v>
      </c>
      <c r="AJ64" s="231">
        <f>IF(OR(AND(E64&lt;&gt;Støtteark!$U$6,N64 = Støtteark!$L$25),N64 = Støtteark!$L$26,N64 = Støtteark!$L$28,AND(N64 = Støtteark!$L$29,OR(O64=Støtteark!$B$34,O64=Støtteark!$B$35),O64&lt;&gt;Støtteark!$B$30)),1,"")</f>
        <v>1</v>
      </c>
      <c r="AK64" s="231">
        <f>IF(OR(AND(E64&lt;&gt;Støtteark!$U$6,N64 = Støtteark!$L$25),N64 = Støtteark!$L$26,N64 = Støtteark!$L$28,AND(N64 = Støtteark!$L$29,E64&lt;&gt;Støtteark!$U$6,OR(O64=Støtteark!$B$34,O64 = Støtteark!$B$30))),1,"")</f>
        <v>1</v>
      </c>
      <c r="AL64" s="231">
        <f>IF(OR(AND(E64&lt;&gt;Støtteark!$U$6,N64 = Støtteark!$L$25),N64 = Støtteark!$L$26,N64 = Støtteark!$L$28,AND(N64 = Støtteark!$L$29,O64=Støtteark!$B$34)),1,"")</f>
        <v>1</v>
      </c>
      <c r="AM64" s="231">
        <f>IF(AND(N64 = Støtteark!$L$29,OR(O64=Støtteark!$B$30,O64=Støtteark!$B$32,O64=Støtteark!$B$33,O64=Støtteark!$B$34,O64=Støtteark!$B$35)),Støtteark!$L$32,"")</f>
        <v>801</v>
      </c>
      <c r="AN64" s="235"/>
      <c r="AO64" s="91"/>
      <c r="AP64" s="170">
        <v>0</v>
      </c>
      <c r="AQ64" s="235"/>
      <c r="AR64" s="64">
        <f t="shared" ca="1" si="44"/>
        <v>44022</v>
      </c>
    </row>
    <row r="65" spans="1:44" ht="25.5" hidden="1" x14ac:dyDescent="0.25">
      <c r="A65" s="221" t="str">
        <f t="shared" si="40"/>
        <v>Kundenr.-Ejendom</v>
      </c>
      <c r="B65" s="61" t="str">
        <f>Ydelser!A65&amp; " - " &amp;Ydelser!C65</f>
        <v>417 - Renhold af fællesarealer loft</v>
      </c>
      <c r="C65" s="61" t="str">
        <f>Ydelser!D65</f>
        <v>Støvsugning af fællesarealer i tagrum og loftgange mv.</v>
      </c>
      <c r="D65" s="248" t="b">
        <f>'FS Aftale'!D65</f>
        <v>0</v>
      </c>
      <c r="E65" s="156" t="str">
        <f>'FS Aftale'!E65</f>
        <v>Månedligt</v>
      </c>
      <c r="F65" s="61" t="str">
        <f t="shared" si="41"/>
        <v>Team Ansvarlig</v>
      </c>
      <c r="G65" s="61" t="str">
        <f t="shared" si="41"/>
        <v>Ansvarlig</v>
      </c>
      <c r="H65" s="61" t="str">
        <f t="shared" si="41"/>
        <v>Servicemedarb.</v>
      </c>
      <c r="I65" s="235"/>
      <c r="J65" s="61" t="str">
        <f t="shared" si="42"/>
        <v>Fast</v>
      </c>
      <c r="K65" s="61" t="str">
        <f t="shared" si="42"/>
        <v>FS aftale</v>
      </c>
      <c r="L65" s="188">
        <f t="shared" si="42"/>
        <v>1</v>
      </c>
      <c r="M65" s="157" t="str">
        <f t="shared" si="42"/>
        <v>Mangler planlægning</v>
      </c>
      <c r="N65" s="147" t="str">
        <f>IFERROR(VLOOKUP(O65,Støtteark!$B$21:$F$35,MATCH(E65,Støtteark!$B$21:$F$21,0),0),Støtteark!$L$35)</f>
        <v>Månedligt</v>
      </c>
      <c r="O65" s="62">
        <f>'FS Aftale'!F65</f>
        <v>12</v>
      </c>
      <c r="P65" s="179" t="str">
        <f t="shared" si="43"/>
        <v>7:00</v>
      </c>
      <c r="Q65" s="63">
        <f>'FS Aftale'!G65*Støtteark!$Q$15</f>
        <v>300</v>
      </c>
      <c r="R65" s="235"/>
      <c r="S65" s="231" t="str">
        <f>IF(OR(AND(OR(N65 = Støtteark!$L$25,N65 = Støtteark!$L$26,N65 = Støtteark!$L$28),E65&lt;&gt;Støtteark!$U$6,OR(O65=Støtteark!$B$22,O65=Støtteark!$B$23,O65=Støtteark!$B$24,O65=Støtteark!$B$25,O65=Støtteark!$B$26,O65=Støtteark!$B$27,O65=Støtteark!$B$28)),AND(E65=Støtteark!$U$6,OR(O65=Støtteark!$B$24,O65=Støtteark!$B$27,O65=Støtteark!$B$29))),1,"")</f>
        <v/>
      </c>
      <c r="T65" s="232" t="str">
        <f>IF(OR(AND(N65 = Støtteark!$L$25,E65&lt;&gt;Støtteark!$U$6,O65=Støtteark!$B$22),AND(E65=Støtteark!$U$6,O65=Støtteark!$B$24),O65=Støtteark!$B$22),1,"")</f>
        <v/>
      </c>
      <c r="U65" s="232" t="str">
        <f>IF(OR(AND(N65 = Støtteark!$L$25,E65&lt;&gt;Støtteark!$U$6,OR(O65=Støtteark!$B$22,O65=Støtteark!$B$23,O65=Støtteark!$B$24)),AND(E65=Støtteark!$U$6,OR(O65=Støtteark!$B$22,O65=Støtteark!$B$24))),1,"")</f>
        <v/>
      </c>
      <c r="V65" s="232" t="str">
        <f>IF(OR(AND(N65 = Støtteark!$L$25,E65&lt;&gt;Støtteark!$U$6,O65=Støtteark!$B$22),AND(E65=Støtteark!$U$6,OR(O65=Støtteark!$B$22,O65=Støtteark!$B$24))),1,"")</f>
        <v/>
      </c>
      <c r="W65" s="232" t="str">
        <f>IF(OR(AND(N65 = Støtteark!$L$25,E65&lt;&gt;Støtteark!$U$6,OR(O65=Støtteark!$B$22,O65=Støtteark!$B$23,O65=Støtteark!$B$24,O65=Støtteark!$B$25)),AND(E65=Støtteark!$U$6,OR(O65=Støtteark!$B$22,O65=Støtteark!$B$24))),1,"")</f>
        <v/>
      </c>
      <c r="X65" s="231"/>
      <c r="Y65" s="231"/>
      <c r="Z65" s="235"/>
      <c r="AA65" s="231">
        <f>IF(OR(AND(E65&lt;&gt;Støtteark!$U$6,N65 = Støtteark!$L$25),N65 = Støtteark!$L$26,N65 = Støtteark!$L$28,AND(N65 = Støtteark!$L$29,E65&lt;&gt;Støtteark!$U$6,OR(O65=Støtteark!$B$30,O65=Støtteark!$B$32,O65=Støtteark!$B$33,AND(E65&lt;&gt;Støtteark!$U$6,O65=Støtteark!$B$34),O65=Støtteark!$B$35))),1,"")</f>
        <v>1</v>
      </c>
      <c r="AB65" s="231">
        <f>IF(OR(AND(E65&lt;&gt;Støtteark!$U$6,N65 = Støtteark!$L$25),N65 = Støtteark!$L$26,N65 = Støtteark!$L$28,AND(N65 = Støtteark!$L$29,O65=Støtteark!$B$34)),1,"")</f>
        <v>1</v>
      </c>
      <c r="AC65" s="231">
        <f>IF(OR(AND(E65&lt;&gt;Støtteark!$U$6,N65 = Støtteark!$L$25),N65 = Støtteark!$L$26,N65 = Støtteark!$L$28,AND(N65 = Støtteark!$L$29,E65&lt;&gt;Støtteark!$U$6,OR(O65=Støtteark!$B$30,O65 = Støtteark!$B$34))),1,"")</f>
        <v>1</v>
      </c>
      <c r="AD65" s="232">
        <f>IF(OR(N65 = Støtteark!$L$25,N65 = Støtteark!$L$26,N65 = Støtteark!$L$28,AND(N65 = Støtteark!$L$29,OR(O65=Støtteark!$B$34,O65=Støtteark!$B$35)),AND(E65=Støtteark!$U$6,OR(O65=Støtteark!$B$29,O65=Støtteark!$B$30,O65=Støtteark!$B$32,O65=Støtteark!$B$33))),1,"")</f>
        <v>1</v>
      </c>
      <c r="AE65" s="231">
        <f>IF(OR(N65 = Støtteark!$L$25,N65 = Støtteark!$L$26,N65 = Støtteark!$L$28,AND(N65 = Støtteark!$L$29,OR(O65=Støtteark!$B$34,O65 = Støtteark!$B$30)),AND(E65=Støtteark!$U$6,O65=Støtteark!$B$29)),1,"")</f>
        <v>1</v>
      </c>
      <c r="AF65" s="231">
        <f>IF(OR(N65 = Støtteark!$L$25,N65 = Støtteark!$L$26,N65 = Støtteark!$L$28,AND(N65 = Støtteark!$L$29,O65=Støtteark!$B$34),AND(E65=Støtteark!$U$6,O65=Støtteark!$B$30),AND(E65=Støtteark!$U$6,O65=Støtteark!$B$29)),1,"")</f>
        <v>1</v>
      </c>
      <c r="AG65" s="231">
        <f>IF(OR(N65 = Støtteark!$L$25,N65 = Støtteark!$L$26,N65 = Støtteark!$L$28,AND(N65 = Støtteark!$L$29,OR(O65=Støtteark!$B$30,O65 = Støtteark!$B$31,O65=Støtteark!$B$32,O65=Støtteark!$B$34)),AND(E65=Støtteark!$U$6,OR(O65=Støtteark!$B$29,O65=Støtteark!$B$31))),1,"")</f>
        <v>1</v>
      </c>
      <c r="AH65" s="231">
        <f>IF(OR(N65 = Støtteark!$L$25,N65 = Støtteark!$L$26,N65 = Støtteark!$L$28,AND(N65 = Støtteark!$L$29,O65=Støtteark!$B$34),AND(E65=Støtteark!$U$6,OR(O65=Støtteark!$B$29,O65=Støtteark!$B$30))),1,"")</f>
        <v>1</v>
      </c>
      <c r="AI65" s="231">
        <f>IF(OR(N65 = Støtteark!$L$25,N65 = Støtteark!$L$26,N65 = Støtteark!$L$28,AND(N65 = Støtteark!$L$29,OR(O65=Støtteark!$B$34,O65 = Støtteark!$B$30)),AND(E65=Støtteark!$U$6,OR(O65=Støtteark!$B$29,O65=Støtteark!$B$30))),1,"")</f>
        <v>1</v>
      </c>
      <c r="AJ65" s="231">
        <f>IF(OR(AND(E65&lt;&gt;Støtteark!$U$6,N65 = Støtteark!$L$25),N65 = Støtteark!$L$26,N65 = Støtteark!$L$28,AND(N65 = Støtteark!$L$29,OR(O65=Støtteark!$B$34,O65=Støtteark!$B$35),O65&lt;&gt;Støtteark!$B$30)),1,"")</f>
        <v>1</v>
      </c>
      <c r="AK65" s="231">
        <f>IF(OR(AND(E65&lt;&gt;Støtteark!$U$6,N65 = Støtteark!$L$25),N65 = Støtteark!$L$26,N65 = Støtteark!$L$28,AND(N65 = Støtteark!$L$29,E65&lt;&gt;Støtteark!$U$6,OR(O65=Støtteark!$B$34,O65 = Støtteark!$B$30))),1,"")</f>
        <v>1</v>
      </c>
      <c r="AL65" s="231">
        <f>IF(OR(AND(E65&lt;&gt;Støtteark!$U$6,N65 = Støtteark!$L$25),N65 = Støtteark!$L$26,N65 = Støtteark!$L$28,AND(N65 = Støtteark!$L$29,O65=Støtteark!$B$34)),1,"")</f>
        <v>1</v>
      </c>
      <c r="AM65" s="231">
        <f>IF(AND(N65 = Støtteark!$L$29,OR(O65=Støtteark!$B$30,O65=Støtteark!$B$32,O65=Støtteark!$B$33,O65=Støtteark!$B$34,O65=Støtteark!$B$35)),Støtteark!$L$32,"")</f>
        <v>801</v>
      </c>
      <c r="AN65" s="235"/>
      <c r="AO65" s="91"/>
      <c r="AP65" s="170">
        <v>0</v>
      </c>
      <c r="AQ65" s="235"/>
      <c r="AR65" s="64">
        <f t="shared" ca="1" si="44"/>
        <v>44022</v>
      </c>
    </row>
    <row r="66" spans="1:44" ht="25.5" hidden="1" x14ac:dyDescent="0.25">
      <c r="A66" s="221" t="str">
        <f t="shared" si="40"/>
        <v>Kundenr.-Ejendom</v>
      </c>
      <c r="B66" s="61" t="str">
        <f>Ydelser!A66&amp; " - " &amp;Ydelser!C66</f>
        <v>418 - Renhold af fællesarealer kælder</v>
      </c>
      <c r="C66" s="61" t="str">
        <f>Ydelser!D66</f>
        <v>Støvsugning af fællesarealer i kælder.</v>
      </c>
      <c r="D66" s="248" t="b">
        <f>'FS Aftale'!D66</f>
        <v>0</v>
      </c>
      <c r="E66" s="156" t="str">
        <f>'FS Aftale'!E66</f>
        <v>Månedligt</v>
      </c>
      <c r="F66" s="61" t="str">
        <f t="shared" ref="F66:H68" si="45">F65</f>
        <v>Team Ansvarlig</v>
      </c>
      <c r="G66" s="61" t="str">
        <f t="shared" si="45"/>
        <v>Ansvarlig</v>
      </c>
      <c r="H66" s="61" t="str">
        <f t="shared" si="45"/>
        <v>Servicemedarb.</v>
      </c>
      <c r="I66" s="235"/>
      <c r="J66" s="61" t="str">
        <f t="shared" ref="J66:M68" si="46">J65</f>
        <v>Fast</v>
      </c>
      <c r="K66" s="61" t="str">
        <f t="shared" si="46"/>
        <v>FS aftale</v>
      </c>
      <c r="L66" s="188">
        <f t="shared" si="46"/>
        <v>1</v>
      </c>
      <c r="M66" s="157" t="str">
        <f t="shared" si="46"/>
        <v>Mangler planlægning</v>
      </c>
      <c r="N66" s="147" t="str">
        <f>IFERROR(VLOOKUP(O66,Støtteark!$B$21:$F$35,MATCH(E66,Støtteark!$B$21:$F$21,0),0),Støtteark!$L$35)</f>
        <v>Månedligt</v>
      </c>
      <c r="O66" s="62">
        <f>'FS Aftale'!F66</f>
        <v>2</v>
      </c>
      <c r="P66" s="179" t="str">
        <f t="shared" si="43"/>
        <v>7:00</v>
      </c>
      <c r="Q66" s="63">
        <f>'FS Aftale'!G66*Støtteark!$Q$15</f>
        <v>240</v>
      </c>
      <c r="R66" s="235"/>
      <c r="S66" s="231" t="str">
        <f>IF(OR(AND(OR(N66 = Støtteark!$L$25,N66 = Støtteark!$L$26,N66 = Støtteark!$L$28),E66&lt;&gt;Støtteark!$U$6,OR(O66=Støtteark!$B$22,O66=Støtteark!$B$23,O66=Støtteark!$B$24,O66=Støtteark!$B$25,O66=Støtteark!$B$26,O66=Støtteark!$B$27,O66=Støtteark!$B$28)),AND(E66=Støtteark!$U$6,OR(O66=Støtteark!$B$24,O66=Støtteark!$B$27,O66=Støtteark!$B$29))),1,"")</f>
        <v/>
      </c>
      <c r="T66" s="232" t="str">
        <f>IF(OR(AND(N66 = Støtteark!$L$25,E66&lt;&gt;Støtteark!$U$6,O66=Støtteark!$B$22),AND(E66=Støtteark!$U$6,O66=Støtteark!$B$24),O66=Støtteark!$B$22),1,"")</f>
        <v/>
      </c>
      <c r="U66" s="232" t="str">
        <f>IF(OR(AND(N66 = Støtteark!$L$25,E66&lt;&gt;Støtteark!$U$6,OR(O66=Støtteark!$B$22,O66=Støtteark!$B$23,O66=Støtteark!$B$24)),AND(E66=Støtteark!$U$6,OR(O66=Støtteark!$B$22,O66=Støtteark!$B$24))),1,"")</f>
        <v/>
      </c>
      <c r="V66" s="232" t="str">
        <f>IF(OR(AND(N66 = Støtteark!$L$25,E66&lt;&gt;Støtteark!$U$6,O66=Støtteark!$B$22),AND(E66=Støtteark!$U$6,OR(O66=Støtteark!$B$22,O66=Støtteark!$B$24))),1,"")</f>
        <v/>
      </c>
      <c r="W66" s="232" t="str">
        <f>IF(OR(AND(N66 = Støtteark!$L$25,E66&lt;&gt;Støtteark!$U$6,OR(O66=Støtteark!$B$22,O66=Støtteark!$B$23,O66=Støtteark!$B$24,O66=Støtteark!$B$25)),AND(E66=Støtteark!$U$6,OR(O66=Støtteark!$B$22,O66=Støtteark!$B$24))),1,"")</f>
        <v/>
      </c>
      <c r="X66" s="231"/>
      <c r="Y66" s="231"/>
      <c r="Z66" s="235"/>
      <c r="AA66" s="231">
        <f>IF(OR(AND(E66&lt;&gt;Støtteark!$U$6,N66 = Støtteark!$L$25),N66 = Støtteark!$L$26,N66 = Støtteark!$L$28,AND(N66 = Støtteark!$L$29,E66&lt;&gt;Støtteark!$U$6,OR(O66=Støtteark!$B$30,O66=Støtteark!$B$32,O66=Støtteark!$B$33,AND(E66&lt;&gt;Støtteark!$U$6,O66=Støtteark!$B$34),O66=Støtteark!$B$35))),1,"")</f>
        <v>1</v>
      </c>
      <c r="AB66" s="231" t="str">
        <f>IF(OR(AND(E66&lt;&gt;Støtteark!$U$6,N66 = Støtteark!$L$25),N66 = Støtteark!$L$26,N66 = Støtteark!$L$28,AND(N66 = Støtteark!$L$29,O66=Støtteark!$B$34)),1,"")</f>
        <v/>
      </c>
      <c r="AC66" s="231" t="str">
        <f>IF(OR(AND(E66&lt;&gt;Støtteark!$U$6,N66 = Støtteark!$L$25),N66 = Støtteark!$L$26,N66 = Støtteark!$L$28,AND(N66 = Støtteark!$L$29,E66&lt;&gt;Støtteark!$U$6,OR(O66=Støtteark!$B$30,O66 = Støtteark!$B$34))),1,"")</f>
        <v/>
      </c>
      <c r="AD66" s="232" t="str">
        <f>IF(OR(N66 = Støtteark!$L$25,N66 = Støtteark!$L$26,N66 = Støtteark!$L$28,AND(N66 = Støtteark!$L$29,OR(O66=Støtteark!$B$34,O66=Støtteark!$B$35)),AND(E66=Støtteark!$U$6,OR(O66=Støtteark!$B$29,O66=Støtteark!$B$30,O66=Støtteark!$B$32,O66=Støtteark!$B$33))),1,"")</f>
        <v/>
      </c>
      <c r="AE66" s="231" t="str">
        <f>IF(OR(N66 = Støtteark!$L$25,N66 = Støtteark!$L$26,N66 = Støtteark!$L$28,AND(N66 = Støtteark!$L$29,OR(O66=Støtteark!$B$34,O66 = Støtteark!$B$30)),AND(E66=Støtteark!$U$6,O66=Støtteark!$B$29)),1,"")</f>
        <v/>
      </c>
      <c r="AF66" s="231" t="str">
        <f>IF(OR(N66 = Støtteark!$L$25,N66 = Støtteark!$L$26,N66 = Støtteark!$L$28,AND(N66 = Støtteark!$L$29,O66=Støtteark!$B$34),AND(E66=Støtteark!$U$6,O66=Støtteark!$B$30),AND(E66=Støtteark!$U$6,O66=Støtteark!$B$29)),1,"")</f>
        <v/>
      </c>
      <c r="AG66" s="231">
        <f>IF(OR(N66 = Støtteark!$L$25,N66 = Støtteark!$L$26,N66 = Støtteark!$L$28,AND(N66 = Støtteark!$L$29,OR(O66=Støtteark!$B$30,O66 = Støtteark!$B$31,O66=Støtteark!$B$32,O66=Støtteark!$B$34)),AND(E66=Støtteark!$U$6,OR(O66=Støtteark!$B$29,O66=Støtteark!$B$31))),1,"")</f>
        <v>1</v>
      </c>
      <c r="AH66" s="231" t="str">
        <f>IF(OR(N66 = Støtteark!$L$25,N66 = Støtteark!$L$26,N66 = Støtteark!$L$28,AND(N66 = Støtteark!$L$29,O66=Støtteark!$B$34),AND(E66=Støtteark!$U$6,OR(O66=Støtteark!$B$29,O66=Støtteark!$B$30))),1,"")</f>
        <v/>
      </c>
      <c r="AI66" s="231" t="str">
        <f>IF(OR(N66 = Støtteark!$L$25,N66 = Støtteark!$L$26,N66 = Støtteark!$L$28,AND(N66 = Støtteark!$L$29,OR(O66=Støtteark!$B$34,O66 = Støtteark!$B$30)),AND(E66=Støtteark!$U$6,OR(O66=Støtteark!$B$29,O66=Støtteark!$B$30))),1,"")</f>
        <v/>
      </c>
      <c r="AJ66" s="231" t="str">
        <f>IF(OR(AND(E66&lt;&gt;Støtteark!$U$6,N66 = Støtteark!$L$25),N66 = Støtteark!$L$26,N66 = Støtteark!$L$28,AND(N66 = Støtteark!$L$29,OR(O66=Støtteark!$B$34,O66=Støtteark!$B$35),O66&lt;&gt;Støtteark!$B$30)),1,"")</f>
        <v/>
      </c>
      <c r="AK66" s="231" t="str">
        <f>IF(OR(AND(E66&lt;&gt;Støtteark!$U$6,N66 = Støtteark!$L$25),N66 = Støtteark!$L$26,N66 = Støtteark!$L$28,AND(N66 = Støtteark!$L$29,E66&lt;&gt;Støtteark!$U$6,OR(O66=Støtteark!$B$34,O66 = Støtteark!$B$30))),1,"")</f>
        <v/>
      </c>
      <c r="AL66" s="231" t="str">
        <f>IF(OR(AND(E66&lt;&gt;Støtteark!$U$6,N66 = Støtteark!$L$25),N66 = Støtteark!$L$26,N66 = Støtteark!$L$28,AND(N66 = Støtteark!$L$29,O66=Støtteark!$B$34)),1,"")</f>
        <v/>
      </c>
      <c r="AM66" s="231">
        <f>IF(AND(N66 = Støtteark!$L$29,OR(O66=Støtteark!$B$30,O66=Støtteark!$B$32,O66=Støtteark!$B$33,O66=Støtteark!$B$34,O66=Støtteark!$B$35)),Støtteark!$L$32,"")</f>
        <v>801</v>
      </c>
      <c r="AN66" s="235"/>
      <c r="AO66" s="91"/>
      <c r="AP66" s="170">
        <v>0</v>
      </c>
      <c r="AQ66" s="235"/>
      <c r="AR66" s="64">
        <f t="shared" ca="1" si="44"/>
        <v>44022</v>
      </c>
    </row>
    <row r="67" spans="1:44" ht="25.5" hidden="1" x14ac:dyDescent="0.25">
      <c r="A67" s="221" t="str">
        <f t="shared" si="40"/>
        <v>Kundenr.-Ejendom</v>
      </c>
      <c r="B67" s="61" t="str">
        <f>Ydelser!A67&amp;" - "&amp;Ydelser!C67</f>
        <v>419 - Udlevering og afhentning af nøgler til fælleslokaler</v>
      </c>
      <c r="C67" s="61" t="str">
        <f>Ydelser!D67</f>
        <v>Udlevering og afhentning af nøgler til fælleshus og gæsteværelse.</v>
      </c>
      <c r="D67" s="61" t="b">
        <f>'FS Aftale'!D67</f>
        <v>0</v>
      </c>
      <c r="E67" s="156" t="str">
        <f>'FS Aftale'!E67</f>
        <v>Månedligt</v>
      </c>
      <c r="F67" s="61" t="str">
        <f t="shared" si="45"/>
        <v>Team Ansvarlig</v>
      </c>
      <c r="G67" s="61" t="str">
        <f t="shared" si="45"/>
        <v>Ansvarlig</v>
      </c>
      <c r="H67" s="61" t="str">
        <f t="shared" si="45"/>
        <v>Servicemedarb.</v>
      </c>
      <c r="I67" s="235"/>
      <c r="J67" s="61" t="str">
        <f t="shared" si="46"/>
        <v>Fast</v>
      </c>
      <c r="K67" s="61" t="str">
        <f t="shared" si="46"/>
        <v>FS aftale</v>
      </c>
      <c r="L67" s="188">
        <f t="shared" si="46"/>
        <v>1</v>
      </c>
      <c r="M67" s="157" t="str">
        <f t="shared" si="46"/>
        <v>Mangler planlægning</v>
      </c>
      <c r="N67" s="147" t="str">
        <f>IFERROR(VLOOKUP(O67,Støtteark!$B$21:$F$35,MATCH(E67,Støtteark!$B$21:$F$21,0),0),Støtteark!$L$35)</f>
        <v>Månedligt</v>
      </c>
      <c r="O67" s="62">
        <f>'FS Aftale'!F67</f>
        <v>12</v>
      </c>
      <c r="P67" s="179" t="str">
        <f t="shared" si="43"/>
        <v>7:00</v>
      </c>
      <c r="Q67" s="63">
        <f>'FS Aftale'!G67*Støtteark!$Q$15</f>
        <v>300</v>
      </c>
      <c r="R67" s="235"/>
      <c r="S67" s="231" t="str">
        <f>IF(OR(AND(OR(N67 = Støtteark!$L$25,N67 = Støtteark!$L$26,N67 = Støtteark!$L$28),E67&lt;&gt;Støtteark!$U$6,OR(O67=Støtteark!$B$22,O67=Støtteark!$B$23,O67=Støtteark!$B$24,O67=Støtteark!$B$25,O67=Støtteark!$B$26,O67=Støtteark!$B$27,O67=Støtteark!$B$28)),AND(E67=Støtteark!$U$6,OR(O67=Støtteark!$B$24,O67=Støtteark!$B$27,O67=Støtteark!$B$29))),1,"")</f>
        <v/>
      </c>
      <c r="T67" s="232" t="str">
        <f>IF(OR(AND(N67 = Støtteark!$L$25,E67&lt;&gt;Støtteark!$U$6,O67=Støtteark!$B$22),AND(E67=Støtteark!$U$6,O67=Støtteark!$B$24),O67=Støtteark!$B$22),1,"")</f>
        <v/>
      </c>
      <c r="U67" s="232" t="str">
        <f>IF(OR(AND(N67 = Støtteark!$L$25,E67&lt;&gt;Støtteark!$U$6,OR(O67=Støtteark!$B$22,O67=Støtteark!$B$23,O67=Støtteark!$B$24)),AND(E67=Støtteark!$U$6,OR(O67=Støtteark!$B$22,O67=Støtteark!$B$24))),1,"")</f>
        <v/>
      </c>
      <c r="V67" s="232" t="str">
        <f>IF(OR(AND(N67 = Støtteark!$L$25,E67&lt;&gt;Støtteark!$U$6,O67=Støtteark!$B$22),AND(E67=Støtteark!$U$6,OR(O67=Støtteark!$B$22,O67=Støtteark!$B$24))),1,"")</f>
        <v/>
      </c>
      <c r="W67" s="232" t="str">
        <f>IF(OR(AND(N67 = Støtteark!$L$25,E67&lt;&gt;Støtteark!$U$6,OR(O67=Støtteark!$B$22,O67=Støtteark!$B$23,O67=Støtteark!$B$24,O67=Støtteark!$B$25)),AND(E67=Støtteark!$U$6,OR(O67=Støtteark!$B$22,O67=Støtteark!$B$24))),1,"")</f>
        <v/>
      </c>
      <c r="X67" s="231"/>
      <c r="Y67" s="231"/>
      <c r="Z67" s="235"/>
      <c r="AA67" s="231">
        <f>IF(OR(AND(E67&lt;&gt;Støtteark!$U$6,N67 = Støtteark!$L$25),N67 = Støtteark!$L$26,N67 = Støtteark!$L$28,AND(N67 = Støtteark!$L$29,E67&lt;&gt;Støtteark!$U$6,OR(O67=Støtteark!$B$30,O67=Støtteark!$B$32,O67=Støtteark!$B$33,AND(E67&lt;&gt;Støtteark!$U$6,O67=Støtteark!$B$34),O67=Støtteark!$B$35))),1,"")</f>
        <v>1</v>
      </c>
      <c r="AB67" s="231">
        <f>IF(OR(AND(E67&lt;&gt;Støtteark!$U$6,N67 = Støtteark!$L$25),N67 = Støtteark!$L$26,N67 = Støtteark!$L$28,AND(N67 = Støtteark!$L$29,O67=Støtteark!$B$34)),1,"")</f>
        <v>1</v>
      </c>
      <c r="AC67" s="231">
        <f>IF(OR(AND(E67&lt;&gt;Støtteark!$U$6,N67 = Støtteark!$L$25),N67 = Støtteark!$L$26,N67 = Støtteark!$L$28,AND(N67 = Støtteark!$L$29,E67&lt;&gt;Støtteark!$U$6,OR(O67=Støtteark!$B$30,O67 = Støtteark!$B$34))),1,"")</f>
        <v>1</v>
      </c>
      <c r="AD67" s="232">
        <f>IF(OR(N67 = Støtteark!$L$25,N67 = Støtteark!$L$26,N67 = Støtteark!$L$28,AND(N67 = Støtteark!$L$29,OR(O67=Støtteark!$B$34,O67=Støtteark!$B$35)),AND(E67=Støtteark!$U$6,OR(O67=Støtteark!$B$29,O67=Støtteark!$B$30,O67=Støtteark!$B$32,O67=Støtteark!$B$33))),1,"")</f>
        <v>1</v>
      </c>
      <c r="AE67" s="231">
        <f>IF(OR(N67 = Støtteark!$L$25,N67 = Støtteark!$L$26,N67 = Støtteark!$L$28,AND(N67 = Støtteark!$L$29,OR(O67=Støtteark!$B$34,O67 = Støtteark!$B$30)),AND(E67=Støtteark!$U$6,O67=Støtteark!$B$29)),1,"")</f>
        <v>1</v>
      </c>
      <c r="AF67" s="231">
        <f>IF(OR(N67 = Støtteark!$L$25,N67 = Støtteark!$L$26,N67 = Støtteark!$L$28,AND(N67 = Støtteark!$L$29,O67=Støtteark!$B$34),AND(E67=Støtteark!$U$6,O67=Støtteark!$B$30),AND(E67=Støtteark!$U$6,O67=Støtteark!$B$29)),1,"")</f>
        <v>1</v>
      </c>
      <c r="AG67" s="231">
        <f>IF(OR(N67 = Støtteark!$L$25,N67 = Støtteark!$L$26,N67 = Støtteark!$L$28,AND(N67 = Støtteark!$L$29,OR(O67=Støtteark!$B$30,O67 = Støtteark!$B$31,O67=Støtteark!$B$32,O67=Støtteark!$B$34)),AND(E67=Støtteark!$U$6,OR(O67=Støtteark!$B$29,O67=Støtteark!$B$31))),1,"")</f>
        <v>1</v>
      </c>
      <c r="AH67" s="231">
        <f>IF(OR(N67 = Støtteark!$L$25,N67 = Støtteark!$L$26,N67 = Støtteark!$L$28,AND(N67 = Støtteark!$L$29,O67=Støtteark!$B$34),AND(E67=Støtteark!$U$6,OR(O67=Støtteark!$B$29,O67=Støtteark!$B$30))),1,"")</f>
        <v>1</v>
      </c>
      <c r="AI67" s="231">
        <f>IF(OR(N67 = Støtteark!$L$25,N67 = Støtteark!$L$26,N67 = Støtteark!$L$28,AND(N67 = Støtteark!$L$29,OR(O67=Støtteark!$B$34,O67 = Støtteark!$B$30)),AND(E67=Støtteark!$U$6,OR(O67=Støtteark!$B$29,O67=Støtteark!$B$30))),1,"")</f>
        <v>1</v>
      </c>
      <c r="AJ67" s="231">
        <f>IF(OR(AND(E67&lt;&gt;Støtteark!$U$6,N67 = Støtteark!$L$25),N67 = Støtteark!$L$26,N67 = Støtteark!$L$28,AND(N67 = Støtteark!$L$29,OR(O67=Støtteark!$B$34,O67=Støtteark!$B$35),O67&lt;&gt;Støtteark!$B$30)),1,"")</f>
        <v>1</v>
      </c>
      <c r="AK67" s="231">
        <f>IF(OR(AND(E67&lt;&gt;Støtteark!$U$6,N67 = Støtteark!$L$25),N67 = Støtteark!$L$26,N67 = Støtteark!$L$28,AND(N67 = Støtteark!$L$29,E67&lt;&gt;Støtteark!$U$6,OR(O67=Støtteark!$B$34,O67 = Støtteark!$B$30))),1,"")</f>
        <v>1</v>
      </c>
      <c r="AL67" s="231">
        <f>IF(OR(AND(E67&lt;&gt;Støtteark!$U$6,N67 = Støtteark!$L$25),N67 = Støtteark!$L$26,N67 = Støtteark!$L$28,AND(N67 = Støtteark!$L$29,O67=Støtteark!$B$34)),1,"")</f>
        <v>1</v>
      </c>
      <c r="AM67" s="231">
        <f>IF(AND(N67 = Støtteark!$L$29,OR(O67=Støtteark!$B$30,O67=Støtteark!$B$32,O67=Støtteark!$B$33,O67=Støtteark!$B$34,O67=Støtteark!$B$35)),Støtteark!$L$32,"")</f>
        <v>801</v>
      </c>
      <c r="AN67" s="235"/>
      <c r="AO67" s="91"/>
      <c r="AP67" s="170">
        <v>0</v>
      </c>
      <c r="AQ67" s="235"/>
      <c r="AR67" s="64">
        <f t="shared" ca="1" si="44"/>
        <v>44022</v>
      </c>
    </row>
    <row r="68" spans="1:44" ht="25.5" hidden="1" x14ac:dyDescent="0.25">
      <c r="A68" s="221" t="str">
        <f t="shared" si="40"/>
        <v>Kundenr.-Ejendom</v>
      </c>
      <c r="B68" s="61" t="str">
        <f>Ydelser!A68&amp;" - "&amp;Ydelser!C68</f>
        <v>420 - Cykeloprydning</v>
      </c>
      <c r="C68" s="61" t="str">
        <f>Ydelser!D68</f>
        <v>Cyklerne opmærkes. Efter 2 uger fjernes cykler med mærke og sættes i ejendommens aflåste depot i 12 uger, hvorefter de køres til skrot.</v>
      </c>
      <c r="D68" s="61" t="b">
        <f>'FS Aftale'!D68</f>
        <v>1</v>
      </c>
      <c r="E68" s="156" t="str">
        <f>'FS Aftale'!E68</f>
        <v>Indeholdt</v>
      </c>
      <c r="F68" s="61" t="str">
        <f t="shared" si="45"/>
        <v>Team Ansvarlig</v>
      </c>
      <c r="G68" s="61" t="str">
        <f t="shared" si="45"/>
        <v>Ansvarlig</v>
      </c>
      <c r="H68" s="61" t="str">
        <f t="shared" si="45"/>
        <v>Servicemedarb.</v>
      </c>
      <c r="I68" s="235"/>
      <c r="J68" s="61" t="str">
        <f t="shared" si="46"/>
        <v>Fast</v>
      </c>
      <c r="K68" s="61" t="str">
        <f t="shared" si="46"/>
        <v>FS aftale</v>
      </c>
      <c r="L68" s="188">
        <f t="shared" si="46"/>
        <v>1</v>
      </c>
      <c r="M68" s="157" t="str">
        <f t="shared" si="46"/>
        <v>Mangler planlægning</v>
      </c>
      <c r="N68" s="147" t="str">
        <f>IFERROR(VLOOKUP(O68,Støtteark!$B$21:$F$35,MATCH(E68,Støtteark!$B$21:$F$21,0),0),Støtteark!$L$35)</f>
        <v>Vælg en anden kombination</v>
      </c>
      <c r="O68" s="62">
        <f>'FS Aftale'!F68</f>
        <v>1</v>
      </c>
      <c r="P68" s="179" t="str">
        <f t="shared" si="43"/>
        <v>7:00</v>
      </c>
      <c r="Q68" s="63">
        <f>'FS Aftale'!G68*Støtteark!$Q$15</f>
        <v>300</v>
      </c>
      <c r="R68" s="235"/>
      <c r="S68" s="231" t="str">
        <f>IF(OR(AND(OR(N68 = Støtteark!$L$25,N68 = Støtteark!$L$26,N68 = Støtteark!$L$28),E68&lt;&gt;Støtteark!$U$6,OR(O68=Støtteark!$B$22,O68=Støtteark!$B$23,O68=Støtteark!$B$24,O68=Støtteark!$B$25,O68=Støtteark!$B$26,O68=Støtteark!$B$27,O68=Støtteark!$B$28)),AND(E68=Støtteark!$U$6,OR(O68=Støtteark!$B$24,O68=Støtteark!$B$27,O68=Støtteark!$B$29))),1,"")</f>
        <v/>
      </c>
      <c r="T68" s="232" t="str">
        <f>IF(OR(AND(N68 = Støtteark!$L$25,E68&lt;&gt;Støtteark!$U$6,O68=Støtteark!$B$22),AND(E68=Støtteark!$U$6,O68=Støtteark!$B$24),O68=Støtteark!$B$22),1,"")</f>
        <v/>
      </c>
      <c r="U68" s="232" t="str">
        <f>IF(OR(AND(N68 = Støtteark!$L$25,E68&lt;&gt;Støtteark!$U$6,OR(O68=Støtteark!$B$22,O68=Støtteark!$B$23,O68=Støtteark!$B$24)),AND(E68=Støtteark!$U$6,OR(O68=Støtteark!$B$22,O68=Støtteark!$B$24))),1,"")</f>
        <v/>
      </c>
      <c r="V68" s="232" t="str">
        <f>IF(OR(AND(N68 = Støtteark!$L$25,E68&lt;&gt;Støtteark!$U$6,O68=Støtteark!$B$22),AND(E68=Støtteark!$U$6,OR(O68=Støtteark!$B$22,O68=Støtteark!$B$24))),1,"")</f>
        <v/>
      </c>
      <c r="W68" s="232" t="str">
        <f>IF(OR(AND(N68 = Støtteark!$L$25,E68&lt;&gt;Støtteark!$U$6,OR(O68=Støtteark!$B$22,O68=Støtteark!$B$23,O68=Støtteark!$B$24,O68=Støtteark!$B$25)),AND(E68=Støtteark!$U$6,OR(O68=Støtteark!$B$22,O68=Støtteark!$B$24))),1,"")</f>
        <v/>
      </c>
      <c r="X68" s="231"/>
      <c r="Y68" s="231"/>
      <c r="Z68" s="235"/>
      <c r="AA68" s="231" t="str">
        <f>IF(OR(AND(E68&lt;&gt;Støtteark!$U$6,N68 = Støtteark!$L$25),N68 = Støtteark!$L$26,N68 = Støtteark!$L$28,AND(N68 = Støtteark!$L$29,E68&lt;&gt;Støtteark!$U$6,OR(O68=Støtteark!$B$30,O68=Støtteark!$B$32,O68=Støtteark!$B$33,AND(E68&lt;&gt;Støtteark!$U$6,O68=Støtteark!$B$34),O68=Støtteark!$B$35))),1,"")</f>
        <v/>
      </c>
      <c r="AB68" s="231" t="str">
        <f>IF(OR(AND(E68&lt;&gt;Støtteark!$U$6,N68 = Støtteark!$L$25),N68 = Støtteark!$L$26,N68 = Støtteark!$L$28,AND(N68 = Støtteark!$L$29,O68=Støtteark!$B$34)),1,"")</f>
        <v/>
      </c>
      <c r="AC68" s="231" t="str">
        <f>IF(OR(AND(E68&lt;&gt;Støtteark!$U$6,N68 = Støtteark!$L$25),N68 = Støtteark!$L$26,N68 = Støtteark!$L$28,AND(N68 = Støtteark!$L$29,E68&lt;&gt;Støtteark!$U$6,OR(O68=Støtteark!$B$30,O68 = Støtteark!$B$34))),1,"")</f>
        <v/>
      </c>
      <c r="AD68" s="232" t="str">
        <f>IF(OR(N68 = Støtteark!$L$25,N68 = Støtteark!$L$26,N68 = Støtteark!$L$28,AND(N68 = Støtteark!$L$29,OR(O68=Støtteark!$B$34,O68=Støtteark!$B$35)),AND(E68=Støtteark!$U$6,OR(O68=Støtteark!$B$29,O68=Støtteark!$B$30,O68=Støtteark!$B$32,O68=Støtteark!$B$33))),1,"")</f>
        <v/>
      </c>
      <c r="AE68" s="231" t="str">
        <f>IF(OR(N68 = Støtteark!$L$25,N68 = Støtteark!$L$26,N68 = Støtteark!$L$28,AND(N68 = Støtteark!$L$29,OR(O68=Støtteark!$B$34,O68 = Støtteark!$B$30)),AND(E68=Støtteark!$U$6,O68=Støtteark!$B$29)),1,"")</f>
        <v/>
      </c>
      <c r="AF68" s="231" t="str">
        <f>IF(OR(N68 = Støtteark!$L$25,N68 = Støtteark!$L$26,N68 = Støtteark!$L$28,AND(N68 = Støtteark!$L$29,O68=Støtteark!$B$34),AND(E68=Støtteark!$U$6,O68=Støtteark!$B$30),AND(E68=Støtteark!$U$6,O68=Støtteark!$B$29)),1,"")</f>
        <v/>
      </c>
      <c r="AG68" s="231" t="str">
        <f>IF(OR(N68 = Støtteark!$L$25,N68 = Støtteark!$L$26,N68 = Støtteark!$L$28,AND(N68 = Støtteark!$L$29,OR(O68=Støtteark!$B$30,O68 = Støtteark!$B$31,O68=Støtteark!$B$32,O68=Støtteark!$B$34)),AND(E68=Støtteark!$U$6,OR(O68=Støtteark!$B$29,O68=Støtteark!$B$31))),1,"")</f>
        <v/>
      </c>
      <c r="AH68" s="231" t="str">
        <f>IF(OR(N68 = Støtteark!$L$25,N68 = Støtteark!$L$26,N68 = Støtteark!$L$28,AND(N68 = Støtteark!$L$29,O68=Støtteark!$B$34),AND(E68=Støtteark!$U$6,OR(O68=Støtteark!$B$29,O68=Støtteark!$B$30))),1,"")</f>
        <v/>
      </c>
      <c r="AI68" s="231" t="str">
        <f>IF(OR(N68 = Støtteark!$L$25,N68 = Støtteark!$L$26,N68 = Støtteark!$L$28,AND(N68 = Støtteark!$L$29,OR(O68=Støtteark!$B$34,O68 = Støtteark!$B$30)),AND(E68=Støtteark!$U$6,OR(O68=Støtteark!$B$29,O68=Støtteark!$B$30))),1,"")</f>
        <v/>
      </c>
      <c r="AJ68" s="231" t="str">
        <f>IF(OR(AND(E68&lt;&gt;Støtteark!$U$6,N68 = Støtteark!$L$25),N68 = Støtteark!$L$26,N68 = Støtteark!$L$28,AND(N68 = Støtteark!$L$29,OR(O68=Støtteark!$B$34,O68=Støtteark!$B$35),O68&lt;&gt;Støtteark!$B$30)),1,"")</f>
        <v/>
      </c>
      <c r="AK68" s="231" t="str">
        <f>IF(OR(AND(E68&lt;&gt;Støtteark!$U$6,N68 = Støtteark!$L$25),N68 = Støtteark!$L$26,N68 = Støtteark!$L$28,AND(N68 = Støtteark!$L$29,E68&lt;&gt;Støtteark!$U$6,OR(O68=Støtteark!$B$34,O68 = Støtteark!$B$30))),1,"")</f>
        <v/>
      </c>
      <c r="AL68" s="231" t="str">
        <f>IF(OR(AND(E68&lt;&gt;Støtteark!$U$6,N68 = Støtteark!$L$25),N68 = Støtteark!$L$26,N68 = Støtteark!$L$28,AND(N68 = Støtteark!$L$29,O68=Støtteark!$B$34)),1,"")</f>
        <v/>
      </c>
      <c r="AM68" s="231" t="str">
        <f>IF(AND(N68 = Støtteark!$L$29,OR(O68=Støtteark!$B$30,O68=Støtteark!$B$32,O68=Støtteark!$B$33,O68=Støtteark!$B$34,O68=Støtteark!$B$35)),Støtteark!$L$32,"")</f>
        <v/>
      </c>
      <c r="AN68" s="235"/>
      <c r="AO68" s="91"/>
      <c r="AP68" s="170">
        <v>0</v>
      </c>
      <c r="AQ68" s="235"/>
      <c r="AR68" s="64">
        <f t="shared" ca="1" si="44"/>
        <v>44022</v>
      </c>
    </row>
    <row r="69" spans="1:44" hidden="1" x14ac:dyDescent="0.25">
      <c r="A69" s="224"/>
      <c r="B69" s="78"/>
      <c r="C69" s="78"/>
      <c r="D69" s="79"/>
      <c r="E69" s="79"/>
      <c r="F69" s="79"/>
      <c r="G69" s="78"/>
      <c r="H69" s="78"/>
      <c r="I69" s="237"/>
      <c r="J69" s="78"/>
      <c r="K69" s="78"/>
      <c r="L69" s="191"/>
      <c r="M69" s="160"/>
      <c r="N69" s="160"/>
      <c r="O69" s="160"/>
      <c r="P69" s="160"/>
      <c r="Q69" s="160"/>
      <c r="R69" s="237"/>
      <c r="S69" s="160"/>
      <c r="T69" s="160"/>
      <c r="U69" s="242"/>
      <c r="V69" s="242"/>
      <c r="W69" s="241"/>
      <c r="X69" s="241"/>
      <c r="Y69" s="241"/>
      <c r="Z69" s="241"/>
      <c r="AA69" s="241"/>
      <c r="AB69" s="241"/>
      <c r="AC69" s="241"/>
      <c r="AD69" s="241"/>
      <c r="AE69" s="241"/>
      <c r="AF69" s="241"/>
      <c r="AG69" s="241"/>
      <c r="AH69" s="241"/>
      <c r="AI69" s="241"/>
      <c r="AJ69" s="241"/>
      <c r="AK69" s="241"/>
      <c r="AL69" s="241"/>
      <c r="AM69" s="241"/>
      <c r="AN69" s="237"/>
      <c r="AO69" s="143"/>
      <c r="AP69" s="173"/>
      <c r="AQ69" s="237"/>
      <c r="AR69" s="144"/>
    </row>
    <row r="70" spans="1:44" s="199" customFormat="1" ht="25.5" hidden="1" x14ac:dyDescent="0.25">
      <c r="A70" s="225" t="str">
        <f>A68</f>
        <v>Kundenr.-Ejendom</v>
      </c>
      <c r="B70" s="61" t="str">
        <f>Ydelser!A70&amp; " - " &amp;Ydelser!C70</f>
        <v>422 - Ukrudtsbekæmpelse befæstede arealer</v>
      </c>
      <c r="C70" s="61" t="str">
        <f>Ydelser!D70</f>
        <v>Bekæmpelse af ukrudt på arealer i henhold til udførelseskrav (se vejledning).</v>
      </c>
      <c r="D70" s="248" t="b">
        <f>'FS Aftale'!D70</f>
        <v>0</v>
      </c>
      <c r="E70" s="156" t="str">
        <f>'FS Aftale'!E70</f>
        <v>1/4-30/9</v>
      </c>
      <c r="F70" s="214" t="str">
        <f>F68</f>
        <v>Team Ansvarlig</v>
      </c>
      <c r="G70" s="214" t="str">
        <f t="shared" ref="G70:M70" si="47">G68</f>
        <v>Ansvarlig</v>
      </c>
      <c r="H70" s="214" t="str">
        <f t="shared" si="47"/>
        <v>Servicemedarb.</v>
      </c>
      <c r="I70" s="235"/>
      <c r="J70" s="214" t="str">
        <f t="shared" ref="J70:K70" si="48">J68</f>
        <v>Fast</v>
      </c>
      <c r="K70" s="214" t="str">
        <f t="shared" si="48"/>
        <v>FS aftale</v>
      </c>
      <c r="L70" s="216">
        <f t="shared" si="47"/>
        <v>1</v>
      </c>
      <c r="M70" s="215" t="str">
        <f t="shared" si="47"/>
        <v>Mangler planlægning</v>
      </c>
      <c r="N70" s="147" t="str">
        <f>IFERROR(VLOOKUP(O70,Støtteark!$B$21:$F$35,MATCH(E70,Støtteark!$B$21:$F$21,0),0),Støtteark!$L$35)</f>
        <v>Ugentligt, i ulige uger</v>
      </c>
      <c r="O70" s="62">
        <f>'FS Aftale'!F70</f>
        <v>13</v>
      </c>
      <c r="P70" s="217" t="str">
        <f>P68</f>
        <v>7:00</v>
      </c>
      <c r="Q70" s="63">
        <f>'FS Aftale'!G70*Støtteark!$Q$15</f>
        <v>90</v>
      </c>
      <c r="R70" s="235"/>
      <c r="S70" s="231" t="str">
        <f>IF(OR(AND(OR(N70 = Støtteark!$L$25,N70 = Støtteark!$L$26,N70 = Støtteark!$L$28),E70&lt;&gt;Støtteark!$U$6,OR(O70=Støtteark!$B$22,O70=Støtteark!$B$23,O70=Støtteark!$B$24,O70=Støtteark!$B$25,O70=Støtteark!$B$26,O70=Støtteark!$B$27,O70=Støtteark!$B$28)),AND(E70=Støtteark!$U$6,OR(O70=Støtteark!$B$24,O70=Støtteark!$B$27,O70=Støtteark!$B$29))),1,"")</f>
        <v/>
      </c>
      <c r="T70" s="232" t="str">
        <f>IF(OR(AND(N70 = Støtteark!$L$25,E70&lt;&gt;Støtteark!$U$6,O70=Støtteark!$B$22),AND(E70=Støtteark!$U$6,O70=Støtteark!$B$24),O70=Støtteark!$B$22),1,"")</f>
        <v/>
      </c>
      <c r="U70" s="232" t="str">
        <f>IF(OR(AND(N70 = Støtteark!$L$25,E70&lt;&gt;Støtteark!$U$6,OR(O70=Støtteark!$B$22,O70=Støtteark!$B$23,O70=Støtteark!$B$24)),AND(E70=Støtteark!$U$6,OR(O70=Støtteark!$B$22,O70=Støtteark!$B$24))),1,"")</f>
        <v/>
      </c>
      <c r="V70" s="232" t="str">
        <f>IF(OR(AND(N70 = Støtteark!$L$25,E70&lt;&gt;Støtteark!$U$6,O70=Støtteark!$B$22),AND(E70=Støtteark!$U$6,OR(O70=Støtteark!$B$22,O70=Støtteark!$B$24))),1,"")</f>
        <v/>
      </c>
      <c r="W70" s="232" t="str">
        <f>IF(OR(AND(N70 = Støtteark!$L$25,E70&lt;&gt;Støtteark!$U$6,OR(O70=Støtteark!$B$22,O70=Støtteark!$B$23,O70=Støtteark!$B$24,O70=Støtteark!$B$25)),AND(E70=Støtteark!$U$6,OR(O70=Støtteark!$B$22,O70=Støtteark!$B$24))),1,"")</f>
        <v/>
      </c>
      <c r="X70" s="231"/>
      <c r="Y70" s="231"/>
      <c r="Z70" s="235"/>
      <c r="AA70" s="231">
        <f>IF(OR(AND(E70&lt;&gt;Støtteark!$U$6,N70 = Støtteark!$L$25),N70 = Støtteark!$L$26,N70 = Støtteark!$L$28,AND(N70 = Støtteark!$L$29,E70&lt;&gt;Støtteark!$U$6,OR(O70=Støtteark!$B$30,O70=Støtteark!$B$32,O70=Støtteark!$B$33,AND(E70&lt;&gt;Støtteark!$U$6,O70=Støtteark!$B$34),O70=Støtteark!$B$35))),1,"")</f>
        <v>1</v>
      </c>
      <c r="AB70" s="231">
        <f>IF(OR(AND(E70&lt;&gt;Støtteark!$U$6,N70 = Støtteark!$L$25),N70 = Støtteark!$L$26,N70 = Støtteark!$L$28,AND(N70 = Støtteark!$L$29,O70=Støtteark!$B$34)),1,"")</f>
        <v>1</v>
      </c>
      <c r="AC70" s="231">
        <f>IF(OR(AND(E70&lt;&gt;Støtteark!$U$6,N70 = Støtteark!$L$25),N70 = Støtteark!$L$26,N70 = Støtteark!$L$28,AND(N70 = Støtteark!$L$29,E70&lt;&gt;Støtteark!$U$6,OR(O70=Støtteark!$B$30,O70 = Støtteark!$B$34))),1,"")</f>
        <v>1</v>
      </c>
      <c r="AD70" s="232">
        <f>IF(OR(N70 = Støtteark!$L$25,N70 = Støtteark!$L$26,N70 = Støtteark!$L$28,AND(N70 = Støtteark!$L$29,OR(O70=Støtteark!$B$34,O70=Støtteark!$B$35)),AND(E70=Støtteark!$U$6,OR(O70=Støtteark!$B$29,O70=Støtteark!$B$30,O70=Støtteark!$B$32,O70=Støtteark!$B$33))),1,"")</f>
        <v>1</v>
      </c>
      <c r="AE70" s="231">
        <f>IF(OR(N70 = Støtteark!$L$25,N70 = Støtteark!$L$26,N70 = Støtteark!$L$28,AND(N70 = Støtteark!$L$29,OR(O70=Støtteark!$B$34,O70 = Støtteark!$B$30)),AND(E70=Støtteark!$U$6,O70=Støtteark!$B$29)),1,"")</f>
        <v>1</v>
      </c>
      <c r="AF70" s="231">
        <f>IF(OR(N70 = Støtteark!$L$25,N70 = Støtteark!$L$26,N70 = Støtteark!$L$28,AND(N70 = Støtteark!$L$29,O70=Støtteark!$B$34),AND(E70=Støtteark!$U$6,O70=Støtteark!$B$30),AND(E70=Støtteark!$U$6,O70=Støtteark!$B$29)),1,"")</f>
        <v>1</v>
      </c>
      <c r="AG70" s="231">
        <f>IF(OR(N70 = Støtteark!$L$25,N70 = Støtteark!$L$26,N70 = Støtteark!$L$28,AND(N70 = Støtteark!$L$29,OR(O70=Støtteark!$B$30,O70 = Støtteark!$B$31,O70=Støtteark!$B$32,O70=Støtteark!$B$34)),AND(E70=Støtteark!$U$6,OR(O70=Støtteark!$B$29,O70=Støtteark!$B$31))),1,"")</f>
        <v>1</v>
      </c>
      <c r="AH70" s="231">
        <f>IF(OR(N70 = Støtteark!$L$25,N70 = Støtteark!$L$26,N70 = Støtteark!$L$28,AND(N70 = Støtteark!$L$29,O70=Støtteark!$B$34),AND(E70=Støtteark!$U$6,OR(O70=Støtteark!$B$29,O70=Støtteark!$B$30))),1,"")</f>
        <v>1</v>
      </c>
      <c r="AI70" s="231">
        <f>IF(OR(N70 = Støtteark!$L$25,N70 = Støtteark!$L$26,N70 = Støtteark!$L$28,AND(N70 = Støtteark!$L$29,OR(O70=Støtteark!$B$34,O70 = Støtteark!$B$30)),AND(E70=Støtteark!$U$6,OR(O70=Støtteark!$B$29,O70=Støtteark!$B$30))),1,"")</f>
        <v>1</v>
      </c>
      <c r="AJ70" s="231">
        <f>IF(OR(AND(E70&lt;&gt;Støtteark!$U$6,N70 = Støtteark!$L$25),N70 = Støtteark!$L$26,N70 = Støtteark!$L$28,AND(N70 = Støtteark!$L$29,OR(O70=Støtteark!$B$34,O70=Støtteark!$B$35),O70&lt;&gt;Støtteark!$B$30)),1,"")</f>
        <v>1</v>
      </c>
      <c r="AK70" s="231">
        <f>IF(OR(AND(E70&lt;&gt;Støtteark!$U$6,N70 = Støtteark!$L$25),N70 = Støtteark!$L$26,N70 = Støtteark!$L$28,AND(N70 = Støtteark!$L$29,E70&lt;&gt;Støtteark!$U$6,OR(O70=Støtteark!$B$34,O70 = Støtteark!$B$30))),1,"")</f>
        <v>1</v>
      </c>
      <c r="AL70" s="231">
        <f>IF(OR(AND(E70&lt;&gt;Støtteark!$U$6,N70 = Støtteark!$L$25),N70 = Støtteark!$L$26,N70 = Støtteark!$L$28,AND(N70 = Støtteark!$L$29,O70=Støtteark!$B$34)),1,"")</f>
        <v>1</v>
      </c>
      <c r="AM70" s="231" t="str">
        <f>IF(AND(N70 = Støtteark!$L$29,OR(O70=Støtteark!$B$30,O70=Støtteark!$B$32,O70=Støtteark!$B$33,O70=Støtteark!$B$34,O70=Støtteark!$B$35)),Støtteark!$L$32,"")</f>
        <v/>
      </c>
      <c r="AN70" s="235"/>
      <c r="AO70" s="91"/>
      <c r="AP70" s="170">
        <v>0</v>
      </c>
      <c r="AQ70" s="235"/>
      <c r="AR70" s="218">
        <f ca="1">AR68</f>
        <v>44022</v>
      </c>
    </row>
    <row r="71" spans="1:44" ht="25.5" hidden="1" x14ac:dyDescent="0.25">
      <c r="A71" s="225" t="str">
        <f t="shared" ref="A71:A73" si="49">A70</f>
        <v>Kundenr.-Ejendom</v>
      </c>
      <c r="B71" s="61" t="str">
        <f>Ydelser!A71&amp; " - " &amp;Ydelser!C71</f>
        <v>423 - Håndbrænding</v>
      </c>
      <c r="C71" s="61" t="str">
        <f>Ydelser!D71</f>
        <v>Brænding med håndholdt gasbrænder.</v>
      </c>
      <c r="D71" s="248" t="b">
        <f>'FS Aftale'!D71</f>
        <v>0</v>
      </c>
      <c r="E71" s="156" t="str">
        <f>'FS Aftale'!E71</f>
        <v>1/4-30/9</v>
      </c>
      <c r="F71" s="214" t="str">
        <f t="shared" ref="F71:H73" si="50">F70</f>
        <v>Team Ansvarlig</v>
      </c>
      <c r="G71" s="214" t="str">
        <f t="shared" si="50"/>
        <v>Ansvarlig</v>
      </c>
      <c r="H71" s="214" t="str">
        <f t="shared" si="50"/>
        <v>Servicemedarb.</v>
      </c>
      <c r="I71" s="235"/>
      <c r="J71" s="214" t="str">
        <f t="shared" ref="J71:M73" si="51">J70</f>
        <v>Fast</v>
      </c>
      <c r="K71" s="214" t="str">
        <f t="shared" si="51"/>
        <v>FS aftale</v>
      </c>
      <c r="L71" s="216">
        <f t="shared" si="51"/>
        <v>1</v>
      </c>
      <c r="M71" s="215" t="str">
        <f t="shared" si="51"/>
        <v>Mangler planlægning</v>
      </c>
      <c r="N71" s="147" t="str">
        <f>IFERROR(VLOOKUP(O71,Støtteark!$B$21:$F$35,MATCH(E71,Støtteark!$B$21:$F$21,0),0),Støtteark!$L$35)</f>
        <v>Ugentligt, i ulige uger</v>
      </c>
      <c r="O71" s="62">
        <f>'FS Aftale'!F71</f>
        <v>13</v>
      </c>
      <c r="P71" s="217" t="str">
        <f t="shared" ref="P71:P73" si="52">P70</f>
        <v>7:00</v>
      </c>
      <c r="Q71" s="63">
        <f>'FS Aftale'!G71*Støtteark!$Q$15</f>
        <v>60</v>
      </c>
      <c r="R71" s="235"/>
      <c r="S71" s="231" t="str">
        <f>IF(OR(AND(OR(N71 = Støtteark!$L$25,N71 = Støtteark!$L$26,N71 = Støtteark!$L$28),E71&lt;&gt;Støtteark!$U$6,OR(O71=Støtteark!$B$22,O71=Støtteark!$B$23,O71=Støtteark!$B$24,O71=Støtteark!$B$25,O71=Støtteark!$B$26,O71=Støtteark!$B$27,O71=Støtteark!$B$28)),AND(E71=Støtteark!$U$6,OR(O71=Støtteark!$B$24,O71=Støtteark!$B$27,O71=Støtteark!$B$29))),1,"")</f>
        <v/>
      </c>
      <c r="T71" s="232" t="str">
        <f>IF(OR(AND(N71 = Støtteark!$L$25,E71&lt;&gt;Støtteark!$U$6,O71=Støtteark!$B$22),AND(E71=Støtteark!$U$6,O71=Støtteark!$B$24),O71=Støtteark!$B$22),1,"")</f>
        <v/>
      </c>
      <c r="U71" s="232" t="str">
        <f>IF(OR(AND(N71 = Støtteark!$L$25,E71&lt;&gt;Støtteark!$U$6,OR(O71=Støtteark!$B$22,O71=Støtteark!$B$23,O71=Støtteark!$B$24)),AND(E71=Støtteark!$U$6,OR(O71=Støtteark!$B$22,O71=Støtteark!$B$24))),1,"")</f>
        <v/>
      </c>
      <c r="V71" s="232" t="str">
        <f>IF(OR(AND(N71 = Støtteark!$L$25,E71&lt;&gt;Støtteark!$U$6,O71=Støtteark!$B$22),AND(E71=Støtteark!$U$6,OR(O71=Støtteark!$B$22,O71=Støtteark!$B$24))),1,"")</f>
        <v/>
      </c>
      <c r="W71" s="232" t="str">
        <f>IF(OR(AND(N71 = Støtteark!$L$25,E71&lt;&gt;Støtteark!$U$6,OR(O71=Støtteark!$B$22,O71=Støtteark!$B$23,O71=Støtteark!$B$24,O71=Støtteark!$B$25)),AND(E71=Støtteark!$U$6,OR(O71=Støtteark!$B$22,O71=Støtteark!$B$24))),1,"")</f>
        <v/>
      </c>
      <c r="X71" s="231"/>
      <c r="Y71" s="231"/>
      <c r="Z71" s="235"/>
      <c r="AA71" s="231">
        <f>IF(OR(AND(E71&lt;&gt;Støtteark!$U$6,N71 = Støtteark!$L$25),N71 = Støtteark!$L$26,N71 = Støtteark!$L$28,AND(N71 = Støtteark!$L$29,E71&lt;&gt;Støtteark!$U$6,OR(O71=Støtteark!$B$30,O71=Støtteark!$B$32,O71=Støtteark!$B$33,AND(E71&lt;&gt;Støtteark!$U$6,O71=Støtteark!$B$34),O71=Støtteark!$B$35))),1,"")</f>
        <v>1</v>
      </c>
      <c r="AB71" s="231">
        <f>IF(OR(AND(E71&lt;&gt;Støtteark!$U$6,N71 = Støtteark!$L$25),N71 = Støtteark!$L$26,N71 = Støtteark!$L$28,AND(N71 = Støtteark!$L$29,O71=Støtteark!$B$34)),1,"")</f>
        <v>1</v>
      </c>
      <c r="AC71" s="231">
        <f>IF(OR(AND(E71&lt;&gt;Støtteark!$U$6,N71 = Støtteark!$L$25),N71 = Støtteark!$L$26,N71 = Støtteark!$L$28,AND(N71 = Støtteark!$L$29,E71&lt;&gt;Støtteark!$U$6,OR(O71=Støtteark!$B$30,O71 = Støtteark!$B$34))),1,"")</f>
        <v>1</v>
      </c>
      <c r="AD71" s="232">
        <f>IF(OR(N71 = Støtteark!$L$25,N71 = Støtteark!$L$26,N71 = Støtteark!$L$28,AND(N71 = Støtteark!$L$29,OR(O71=Støtteark!$B$34,O71=Støtteark!$B$35)),AND(E71=Støtteark!$U$6,OR(O71=Støtteark!$B$29,O71=Støtteark!$B$30,O71=Støtteark!$B$32,O71=Støtteark!$B$33))),1,"")</f>
        <v>1</v>
      </c>
      <c r="AE71" s="231">
        <f>IF(OR(N71 = Støtteark!$L$25,N71 = Støtteark!$L$26,N71 = Støtteark!$L$28,AND(N71 = Støtteark!$L$29,OR(O71=Støtteark!$B$34,O71 = Støtteark!$B$30)),AND(E71=Støtteark!$U$6,O71=Støtteark!$B$29)),1,"")</f>
        <v>1</v>
      </c>
      <c r="AF71" s="231">
        <f>IF(OR(N71 = Støtteark!$L$25,N71 = Støtteark!$L$26,N71 = Støtteark!$L$28,AND(N71 = Støtteark!$L$29,O71=Støtteark!$B$34),AND(E71=Støtteark!$U$6,O71=Støtteark!$B$30),AND(E71=Støtteark!$U$6,O71=Støtteark!$B$29)),1,"")</f>
        <v>1</v>
      </c>
      <c r="AG71" s="231">
        <f>IF(OR(N71 = Støtteark!$L$25,N71 = Støtteark!$L$26,N71 = Støtteark!$L$28,AND(N71 = Støtteark!$L$29,OR(O71=Støtteark!$B$30,O71 = Støtteark!$B$31,O71=Støtteark!$B$32,O71=Støtteark!$B$34)),AND(E71=Støtteark!$U$6,OR(O71=Støtteark!$B$29,O71=Støtteark!$B$31))),1,"")</f>
        <v>1</v>
      </c>
      <c r="AH71" s="231">
        <f>IF(OR(N71 = Støtteark!$L$25,N71 = Støtteark!$L$26,N71 = Støtteark!$L$28,AND(N71 = Støtteark!$L$29,O71=Støtteark!$B$34),AND(E71=Støtteark!$U$6,OR(O71=Støtteark!$B$29,O71=Støtteark!$B$30))),1,"")</f>
        <v>1</v>
      </c>
      <c r="AI71" s="231">
        <f>IF(OR(N71 = Støtteark!$L$25,N71 = Støtteark!$L$26,N71 = Støtteark!$L$28,AND(N71 = Støtteark!$L$29,OR(O71=Støtteark!$B$34,O71 = Støtteark!$B$30)),AND(E71=Støtteark!$U$6,OR(O71=Støtteark!$B$29,O71=Støtteark!$B$30))),1,"")</f>
        <v>1</v>
      </c>
      <c r="AJ71" s="231">
        <f>IF(OR(AND(E71&lt;&gt;Støtteark!$U$6,N71 = Støtteark!$L$25),N71 = Støtteark!$L$26,N71 = Støtteark!$L$28,AND(N71 = Støtteark!$L$29,OR(O71=Støtteark!$B$34,O71=Støtteark!$B$35),O71&lt;&gt;Støtteark!$B$30)),1,"")</f>
        <v>1</v>
      </c>
      <c r="AK71" s="231">
        <f>IF(OR(AND(E71&lt;&gt;Støtteark!$U$6,N71 = Støtteark!$L$25),N71 = Støtteark!$L$26,N71 = Støtteark!$L$28,AND(N71 = Støtteark!$L$29,E71&lt;&gt;Støtteark!$U$6,OR(O71=Støtteark!$B$34,O71 = Støtteark!$B$30))),1,"")</f>
        <v>1</v>
      </c>
      <c r="AL71" s="231">
        <f>IF(OR(AND(E71&lt;&gt;Støtteark!$U$6,N71 = Støtteark!$L$25),N71 = Støtteark!$L$26,N71 = Støtteark!$L$28,AND(N71 = Støtteark!$L$29,O71=Støtteark!$B$34)),1,"")</f>
        <v>1</v>
      </c>
      <c r="AM71" s="231" t="str">
        <f>IF(AND(N71 = Støtteark!$L$29,OR(O71=Støtteark!$B$30,O71=Støtteark!$B$32,O71=Støtteark!$B$33,O71=Støtteark!$B$34,O71=Støtteark!$B$35)),Støtteark!$L$32,"")</f>
        <v/>
      </c>
      <c r="AN71" s="235"/>
      <c r="AO71" s="91"/>
      <c r="AP71" s="170">
        <v>0</v>
      </c>
      <c r="AQ71" s="235"/>
      <c r="AR71" s="218">
        <f t="shared" ref="AR71:AR73" ca="1" si="53">AR70</f>
        <v>44022</v>
      </c>
    </row>
    <row r="72" spans="1:44" ht="25.5" hidden="1" x14ac:dyDescent="0.25">
      <c r="A72" s="225" t="str">
        <f t="shared" si="49"/>
        <v>Kundenr.-Ejendom</v>
      </c>
      <c r="B72" s="61" t="str">
        <f>Ydelser!A72&amp; " - " &amp;Ydelser!C72</f>
        <v>424 - Maskine med manuel fremføring</v>
      </c>
      <c r="C72" s="61" t="str">
        <f>Ydelser!D72</f>
        <v>Brænding med mindre fladebrænder.</v>
      </c>
      <c r="D72" s="248" t="b">
        <f>'FS Aftale'!D72</f>
        <v>0</v>
      </c>
      <c r="E72" s="156" t="str">
        <f>'FS Aftale'!E72</f>
        <v>1/4-30/9</v>
      </c>
      <c r="F72" s="214" t="str">
        <f t="shared" si="50"/>
        <v>Team Ansvarlig</v>
      </c>
      <c r="G72" s="214" t="str">
        <f t="shared" si="50"/>
        <v>Ansvarlig</v>
      </c>
      <c r="H72" s="214" t="str">
        <f t="shared" si="50"/>
        <v>Servicemedarb.</v>
      </c>
      <c r="I72" s="235"/>
      <c r="J72" s="214" t="str">
        <f t="shared" si="51"/>
        <v>Fast</v>
      </c>
      <c r="K72" s="214" t="str">
        <f t="shared" si="51"/>
        <v>FS aftale</v>
      </c>
      <c r="L72" s="216">
        <f t="shared" si="51"/>
        <v>1</v>
      </c>
      <c r="M72" s="215" t="str">
        <f t="shared" si="51"/>
        <v>Mangler planlægning</v>
      </c>
      <c r="N72" s="147" t="str">
        <f>IFERROR(VLOOKUP(O72,Støtteark!$B$21:$F$35,MATCH(E72,Støtteark!$B$21:$F$21,0),0),Støtteark!$L$35)</f>
        <v>Hver 3. uge (1, 4, 7 ...)</v>
      </c>
      <c r="O72" s="62">
        <f>'FS Aftale'!F72</f>
        <v>9</v>
      </c>
      <c r="P72" s="217" t="str">
        <f t="shared" si="52"/>
        <v>7:00</v>
      </c>
      <c r="Q72" s="63">
        <f>'FS Aftale'!G72*Støtteark!$Q$15</f>
        <v>60</v>
      </c>
      <c r="R72" s="235"/>
      <c r="S72" s="231">
        <f>IF(OR(AND(OR(N72 = Støtteark!$L$25,N72 = Støtteark!$L$26,N72 = Støtteark!$L$28),E72&lt;&gt;Støtteark!$U$6,OR(O72=Støtteark!$B$22,O72=Støtteark!$B$23,O72=Støtteark!$B$24,O72=Støtteark!$B$25,O72=Støtteark!$B$26,O72=Støtteark!$B$27,O72=Støtteark!$B$28)),AND(E72=Støtteark!$U$6,OR(O72=Støtteark!$B$24,O72=Støtteark!$B$27,O72=Støtteark!$B$29))),1,"")</f>
        <v>1</v>
      </c>
      <c r="T72" s="232" t="str">
        <f>IF(OR(AND(N72 = Støtteark!$L$25,E72&lt;&gt;Støtteark!$U$6,O72=Støtteark!$B$22),AND(E72=Støtteark!$U$6,O72=Støtteark!$B$24),O72=Støtteark!$B$22),1,"")</f>
        <v/>
      </c>
      <c r="U72" s="232" t="str">
        <f>IF(OR(AND(N72 = Støtteark!$L$25,E72&lt;&gt;Støtteark!$U$6,OR(O72=Støtteark!$B$22,O72=Støtteark!$B$23,O72=Støtteark!$B$24)),AND(E72=Støtteark!$U$6,OR(O72=Støtteark!$B$22,O72=Støtteark!$B$24))),1,"")</f>
        <v/>
      </c>
      <c r="V72" s="232" t="str">
        <f>IF(OR(AND(N72 = Støtteark!$L$25,E72&lt;&gt;Støtteark!$U$6,O72=Støtteark!$B$22),AND(E72=Støtteark!$U$6,OR(O72=Støtteark!$B$22,O72=Støtteark!$B$24))),1,"")</f>
        <v/>
      </c>
      <c r="W72" s="232" t="str">
        <f>IF(OR(AND(N72 = Støtteark!$L$25,E72&lt;&gt;Støtteark!$U$6,OR(O72=Støtteark!$B$22,O72=Støtteark!$B$23,O72=Støtteark!$B$24,O72=Støtteark!$B$25)),AND(E72=Støtteark!$U$6,OR(O72=Støtteark!$B$22,O72=Støtteark!$B$24))),1,"")</f>
        <v/>
      </c>
      <c r="X72" s="231"/>
      <c r="Y72" s="231"/>
      <c r="Z72" s="235"/>
      <c r="AA72" s="231" t="str">
        <f>IF(OR(AND(E72&lt;&gt;Støtteark!$U$6,N72 = Støtteark!$L$25),N72 = Støtteark!$L$26,N72 = Støtteark!$L$28,AND(N72 = Støtteark!$L$29,E72&lt;&gt;Støtteark!$U$6,OR(O72=Støtteark!$B$30,O72=Støtteark!$B$32,O72=Støtteark!$B$33,AND(E72&lt;&gt;Støtteark!$U$6,O72=Støtteark!$B$34),O72=Støtteark!$B$35))),1,"")</f>
        <v/>
      </c>
      <c r="AB72" s="231" t="str">
        <f>IF(OR(AND(E72&lt;&gt;Støtteark!$U$6,N72 = Støtteark!$L$25),N72 = Støtteark!$L$26,N72 = Støtteark!$L$28,AND(N72 = Støtteark!$L$29,O72=Støtteark!$B$34)),1,"")</f>
        <v/>
      </c>
      <c r="AC72" s="231" t="str">
        <f>IF(OR(AND(E72&lt;&gt;Støtteark!$U$6,N72 = Støtteark!$L$25),N72 = Støtteark!$L$26,N72 = Støtteark!$L$28,AND(N72 = Støtteark!$L$29,E72&lt;&gt;Støtteark!$U$6,OR(O72=Støtteark!$B$30,O72 = Støtteark!$B$34))),1,"")</f>
        <v/>
      </c>
      <c r="AD72" s="232">
        <f>IF(OR(N72 = Støtteark!$L$25,N72 = Støtteark!$L$26,N72 = Støtteark!$L$28,AND(N72 = Støtteark!$L$29,OR(O72=Støtteark!$B$34,O72=Støtteark!$B$35)),AND(E72=Støtteark!$U$6,OR(O72=Støtteark!$B$29,O72=Støtteark!$B$30,O72=Støtteark!$B$32,O72=Støtteark!$B$33))),1,"")</f>
        <v>1</v>
      </c>
      <c r="AE72" s="231">
        <f>IF(OR(N72 = Støtteark!$L$25,N72 = Støtteark!$L$26,N72 = Støtteark!$L$28,AND(N72 = Støtteark!$L$29,OR(O72=Støtteark!$B$34,O72 = Støtteark!$B$30)),AND(E72=Støtteark!$U$6,O72=Støtteark!$B$29)),1,"")</f>
        <v>1</v>
      </c>
      <c r="AF72" s="231">
        <f>IF(OR(N72 = Støtteark!$L$25,N72 = Støtteark!$L$26,N72 = Støtteark!$L$28,AND(N72 = Støtteark!$L$29,O72=Støtteark!$B$34),AND(E72=Støtteark!$U$6,O72=Støtteark!$B$30),AND(E72=Støtteark!$U$6,O72=Støtteark!$B$29)),1,"")</f>
        <v>1</v>
      </c>
      <c r="AG72" s="231">
        <f>IF(OR(N72 = Støtteark!$L$25,N72 = Støtteark!$L$26,N72 = Støtteark!$L$28,AND(N72 = Støtteark!$L$29,OR(O72=Støtteark!$B$30,O72 = Støtteark!$B$31,O72=Støtteark!$B$32,O72=Støtteark!$B$34)),AND(E72=Støtteark!$U$6,OR(O72=Støtteark!$B$29,O72=Støtteark!$B$31))),1,"")</f>
        <v>1</v>
      </c>
      <c r="AH72" s="231">
        <f>IF(OR(N72 = Støtteark!$L$25,N72 = Støtteark!$L$26,N72 = Støtteark!$L$28,AND(N72 = Støtteark!$L$29,O72=Støtteark!$B$34),AND(E72=Støtteark!$U$6,OR(O72=Støtteark!$B$29,O72=Støtteark!$B$30))),1,"")</f>
        <v>1</v>
      </c>
      <c r="AI72" s="231">
        <f>IF(OR(N72 = Støtteark!$L$25,N72 = Støtteark!$L$26,N72 = Støtteark!$L$28,AND(N72 = Støtteark!$L$29,OR(O72=Støtteark!$B$34,O72 = Støtteark!$B$30)),AND(E72=Støtteark!$U$6,OR(O72=Støtteark!$B$29,O72=Støtteark!$B$30))),1,"")</f>
        <v>1</v>
      </c>
      <c r="AJ72" s="231" t="str">
        <f>IF(OR(AND(E72&lt;&gt;Støtteark!$U$6,N72 = Støtteark!$L$25),N72 = Støtteark!$L$26,N72 = Støtteark!$L$28,AND(N72 = Støtteark!$L$29,OR(O72=Støtteark!$B$34,O72=Støtteark!$B$35),O72&lt;&gt;Støtteark!$B$30)),1,"")</f>
        <v/>
      </c>
      <c r="AK72" s="231" t="str">
        <f>IF(OR(AND(E72&lt;&gt;Støtteark!$U$6,N72 = Støtteark!$L$25),N72 = Støtteark!$L$26,N72 = Støtteark!$L$28,AND(N72 = Støtteark!$L$29,E72&lt;&gt;Støtteark!$U$6,OR(O72=Støtteark!$B$34,O72 = Støtteark!$B$30))),1,"")</f>
        <v/>
      </c>
      <c r="AL72" s="231" t="str">
        <f>IF(OR(AND(E72&lt;&gt;Støtteark!$U$6,N72 = Støtteark!$L$25),N72 = Støtteark!$L$26,N72 = Støtteark!$L$28,AND(N72 = Støtteark!$L$29,O72=Støtteark!$B$34)),1,"")</f>
        <v/>
      </c>
      <c r="AM72" s="231" t="str">
        <f>IF(AND(N72 = Støtteark!$L$29,OR(O72=Støtteark!$B$30,O72=Støtteark!$B$32,O72=Støtteark!$B$33,O72=Støtteark!$B$34,O72=Støtteark!$B$35)),Støtteark!$L$32,"")</f>
        <v/>
      </c>
      <c r="AN72" s="235"/>
      <c r="AO72" s="91"/>
      <c r="AP72" s="170">
        <v>0</v>
      </c>
      <c r="AQ72" s="235"/>
      <c r="AR72" s="218">
        <f t="shared" ca="1" si="53"/>
        <v>44022</v>
      </c>
    </row>
    <row r="73" spans="1:44" ht="25.5" hidden="1" x14ac:dyDescent="0.25">
      <c r="A73" s="225" t="str">
        <f t="shared" si="49"/>
        <v>Kundenr.-Ejendom</v>
      </c>
      <c r="B73" s="61" t="str">
        <f>Ydelser!A73&amp; " - " &amp;Ydelser!C73</f>
        <v>425 - Traktor og fladebrænder</v>
      </c>
      <c r="C73" s="61" t="str">
        <f>Ydelser!D73</f>
        <v>Brænding med traktorbåren fladebrænder.</v>
      </c>
      <c r="D73" s="248" t="b">
        <f>'FS Aftale'!D73</f>
        <v>0</v>
      </c>
      <c r="E73" s="156" t="str">
        <f>'FS Aftale'!E73</f>
        <v>1/4-30/9</v>
      </c>
      <c r="F73" s="214" t="str">
        <f t="shared" si="50"/>
        <v>Team Ansvarlig</v>
      </c>
      <c r="G73" s="214" t="str">
        <f t="shared" si="50"/>
        <v>Ansvarlig</v>
      </c>
      <c r="H73" s="214" t="str">
        <f t="shared" si="50"/>
        <v>Servicemedarb.</v>
      </c>
      <c r="I73" s="235"/>
      <c r="J73" s="214" t="str">
        <f t="shared" si="51"/>
        <v>Fast</v>
      </c>
      <c r="K73" s="214" t="str">
        <f t="shared" si="51"/>
        <v>FS aftale</v>
      </c>
      <c r="L73" s="216">
        <f t="shared" si="51"/>
        <v>1</v>
      </c>
      <c r="M73" s="215" t="str">
        <f t="shared" si="51"/>
        <v>Mangler planlægning</v>
      </c>
      <c r="N73" s="147" t="str">
        <f>IFERROR(VLOOKUP(O73,Støtteark!$B$21:$F$35,MATCH(E73,Støtteark!$B$21:$F$21,0),0),Støtteark!$L$35)</f>
        <v>Hver 3. uge (1, 4, 7 ...)</v>
      </c>
      <c r="O73" s="62">
        <f>'FS Aftale'!F73</f>
        <v>9</v>
      </c>
      <c r="P73" s="217" t="str">
        <f t="shared" si="52"/>
        <v>7:00</v>
      </c>
      <c r="Q73" s="63">
        <f>'FS Aftale'!G73*Støtteark!$Q$15</f>
        <v>60</v>
      </c>
      <c r="R73" s="235"/>
      <c r="S73" s="231">
        <f>IF(OR(AND(OR(N73 = Støtteark!$L$25,N73 = Støtteark!$L$26,N73 = Støtteark!$L$28),E73&lt;&gt;Støtteark!$U$6,OR(O73=Støtteark!$B$22,O73=Støtteark!$B$23,O73=Støtteark!$B$24,O73=Støtteark!$B$25,O73=Støtteark!$B$26,O73=Støtteark!$B$27,O73=Støtteark!$B$28)),AND(E73=Støtteark!$U$6,OR(O73=Støtteark!$B$24,O73=Støtteark!$B$27,O73=Støtteark!$B$29))),1,"")</f>
        <v>1</v>
      </c>
      <c r="T73" s="232" t="str">
        <f>IF(OR(AND(N73 = Støtteark!$L$25,E73&lt;&gt;Støtteark!$U$6,O73=Støtteark!$B$22),AND(E73=Støtteark!$U$6,O73=Støtteark!$B$24),O73=Støtteark!$B$22),1,"")</f>
        <v/>
      </c>
      <c r="U73" s="232" t="str">
        <f>IF(OR(AND(N73 = Støtteark!$L$25,E73&lt;&gt;Støtteark!$U$6,OR(O73=Støtteark!$B$22,O73=Støtteark!$B$23,O73=Støtteark!$B$24)),AND(E73=Støtteark!$U$6,OR(O73=Støtteark!$B$22,O73=Støtteark!$B$24))),1,"")</f>
        <v/>
      </c>
      <c r="V73" s="232" t="str">
        <f>IF(OR(AND(N73 = Støtteark!$L$25,E73&lt;&gt;Støtteark!$U$6,O73=Støtteark!$B$22),AND(E73=Støtteark!$U$6,OR(O73=Støtteark!$B$22,O73=Støtteark!$B$24))),1,"")</f>
        <v/>
      </c>
      <c r="W73" s="232" t="str">
        <f>IF(OR(AND(N73 = Støtteark!$L$25,E73&lt;&gt;Støtteark!$U$6,OR(O73=Støtteark!$B$22,O73=Støtteark!$B$23,O73=Støtteark!$B$24,O73=Støtteark!$B$25)),AND(E73=Støtteark!$U$6,OR(O73=Støtteark!$B$22,O73=Støtteark!$B$24))),1,"")</f>
        <v/>
      </c>
      <c r="X73" s="231"/>
      <c r="Y73" s="231"/>
      <c r="Z73" s="235"/>
      <c r="AA73" s="231" t="str">
        <f>IF(OR(AND(E73&lt;&gt;Støtteark!$U$6,N73 = Støtteark!$L$25),N73 = Støtteark!$L$26,N73 = Støtteark!$L$28,AND(N73 = Støtteark!$L$29,E73&lt;&gt;Støtteark!$U$6,OR(O73=Støtteark!$B$30,O73=Støtteark!$B$32,O73=Støtteark!$B$33,AND(E73&lt;&gt;Støtteark!$U$6,O73=Støtteark!$B$34),O73=Støtteark!$B$35))),1,"")</f>
        <v/>
      </c>
      <c r="AB73" s="231" t="str">
        <f>IF(OR(AND(E73&lt;&gt;Støtteark!$U$6,N73 = Støtteark!$L$25),N73 = Støtteark!$L$26,N73 = Støtteark!$L$28,AND(N73 = Støtteark!$L$29,O73=Støtteark!$B$34)),1,"")</f>
        <v/>
      </c>
      <c r="AC73" s="231" t="str">
        <f>IF(OR(AND(E73&lt;&gt;Støtteark!$U$6,N73 = Støtteark!$L$25),N73 = Støtteark!$L$26,N73 = Støtteark!$L$28,AND(N73 = Støtteark!$L$29,E73&lt;&gt;Støtteark!$U$6,OR(O73=Støtteark!$B$30,O73 = Støtteark!$B$34))),1,"")</f>
        <v/>
      </c>
      <c r="AD73" s="232">
        <f>IF(OR(N73 = Støtteark!$L$25,N73 = Støtteark!$L$26,N73 = Støtteark!$L$28,AND(N73 = Støtteark!$L$29,OR(O73=Støtteark!$B$34,O73=Støtteark!$B$35)),AND(E73=Støtteark!$U$6,OR(O73=Støtteark!$B$29,O73=Støtteark!$B$30,O73=Støtteark!$B$32,O73=Støtteark!$B$33))),1,"")</f>
        <v>1</v>
      </c>
      <c r="AE73" s="231">
        <f>IF(OR(N73 = Støtteark!$L$25,N73 = Støtteark!$L$26,N73 = Støtteark!$L$28,AND(N73 = Støtteark!$L$29,OR(O73=Støtteark!$B$34,O73 = Støtteark!$B$30)),AND(E73=Støtteark!$U$6,O73=Støtteark!$B$29)),1,"")</f>
        <v>1</v>
      </c>
      <c r="AF73" s="231">
        <f>IF(OR(N73 = Støtteark!$L$25,N73 = Støtteark!$L$26,N73 = Støtteark!$L$28,AND(N73 = Støtteark!$L$29,O73=Støtteark!$B$34),AND(E73=Støtteark!$U$6,O73=Støtteark!$B$30),AND(E73=Støtteark!$U$6,O73=Støtteark!$B$29)),1,"")</f>
        <v>1</v>
      </c>
      <c r="AG73" s="231">
        <f>IF(OR(N73 = Støtteark!$L$25,N73 = Støtteark!$L$26,N73 = Støtteark!$L$28,AND(N73 = Støtteark!$L$29,OR(O73=Støtteark!$B$30,O73 = Støtteark!$B$31,O73=Støtteark!$B$32,O73=Støtteark!$B$34)),AND(E73=Støtteark!$U$6,OR(O73=Støtteark!$B$29,O73=Støtteark!$B$31))),1,"")</f>
        <v>1</v>
      </c>
      <c r="AH73" s="231">
        <f>IF(OR(N73 = Støtteark!$L$25,N73 = Støtteark!$L$26,N73 = Støtteark!$L$28,AND(N73 = Støtteark!$L$29,O73=Støtteark!$B$34),AND(E73=Støtteark!$U$6,OR(O73=Støtteark!$B$29,O73=Støtteark!$B$30))),1,"")</f>
        <v>1</v>
      </c>
      <c r="AI73" s="231">
        <f>IF(OR(N73 = Støtteark!$L$25,N73 = Støtteark!$L$26,N73 = Støtteark!$L$28,AND(N73 = Støtteark!$L$29,OR(O73=Støtteark!$B$34,O73 = Støtteark!$B$30)),AND(E73=Støtteark!$U$6,OR(O73=Støtteark!$B$29,O73=Støtteark!$B$30))),1,"")</f>
        <v>1</v>
      </c>
      <c r="AJ73" s="231" t="str">
        <f>IF(OR(AND(E73&lt;&gt;Støtteark!$U$6,N73 = Støtteark!$L$25),N73 = Støtteark!$L$26,N73 = Støtteark!$L$28,AND(N73 = Støtteark!$L$29,OR(O73=Støtteark!$B$34,O73=Støtteark!$B$35),O73&lt;&gt;Støtteark!$B$30)),1,"")</f>
        <v/>
      </c>
      <c r="AK73" s="231" t="str">
        <f>IF(OR(AND(E73&lt;&gt;Støtteark!$U$6,N73 = Støtteark!$L$25),N73 = Støtteark!$L$26,N73 = Støtteark!$L$28,AND(N73 = Støtteark!$L$29,E73&lt;&gt;Støtteark!$U$6,OR(O73=Støtteark!$B$34,O73 = Støtteark!$B$30))),1,"")</f>
        <v/>
      </c>
      <c r="AL73" s="231" t="str">
        <f>IF(OR(AND(E73&lt;&gt;Støtteark!$U$6,N73 = Støtteark!$L$25),N73 = Støtteark!$L$26,N73 = Støtteark!$L$28,AND(N73 = Støtteark!$L$29,O73=Støtteark!$B$34)),1,"")</f>
        <v/>
      </c>
      <c r="AM73" s="231" t="str">
        <f>IF(AND(N73 = Støtteark!$L$29,OR(O73=Støtteark!$B$30,O73=Støtteark!$B$32,O73=Støtteark!$B$33,O73=Støtteark!$B$34,O73=Støtteark!$B$35)),Støtteark!$L$32,"")</f>
        <v/>
      </c>
      <c r="AN73" s="235"/>
      <c r="AO73" s="91"/>
      <c r="AP73" s="170">
        <v>0</v>
      </c>
      <c r="AQ73" s="235"/>
      <c r="AR73" s="218">
        <f t="shared" ca="1" si="53"/>
        <v>44022</v>
      </c>
    </row>
    <row r="74" spans="1:44" hidden="1" x14ac:dyDescent="0.25">
      <c r="A74" s="226"/>
      <c r="B74" s="200"/>
      <c r="C74" s="200"/>
      <c r="D74" s="201"/>
      <c r="E74" s="201"/>
      <c r="F74" s="201"/>
      <c r="G74" s="200"/>
      <c r="H74" s="200"/>
      <c r="I74" s="237"/>
      <c r="J74" s="200"/>
      <c r="K74" s="200"/>
      <c r="L74" s="203"/>
      <c r="M74" s="202"/>
      <c r="N74" s="148"/>
      <c r="O74" s="204"/>
      <c r="P74" s="205"/>
      <c r="Q74" s="204"/>
      <c r="R74" s="237"/>
      <c r="S74" s="236"/>
      <c r="T74" s="236"/>
      <c r="U74" s="236"/>
      <c r="V74" s="236"/>
      <c r="W74" s="236"/>
      <c r="X74" s="236"/>
      <c r="Y74" s="236"/>
      <c r="Z74" s="237"/>
      <c r="AA74" s="236"/>
      <c r="AB74" s="236"/>
      <c r="AC74" s="236"/>
      <c r="AD74" s="236"/>
      <c r="AE74" s="236"/>
      <c r="AF74" s="236"/>
      <c r="AG74" s="236"/>
      <c r="AH74" s="236"/>
      <c r="AI74" s="236"/>
      <c r="AJ74" s="236"/>
      <c r="AK74" s="236"/>
      <c r="AL74" s="236"/>
      <c r="AM74" s="236"/>
      <c r="AN74" s="237"/>
      <c r="AO74" s="138"/>
      <c r="AP74" s="171"/>
      <c r="AQ74" s="237"/>
      <c r="AR74" s="206"/>
    </row>
    <row r="75" spans="1:44" hidden="1" x14ac:dyDescent="0.25">
      <c r="A75" s="227"/>
      <c r="B75" s="207"/>
      <c r="C75" s="207"/>
      <c r="D75" s="208"/>
      <c r="E75" s="208"/>
      <c r="F75" s="208"/>
      <c r="G75" s="207"/>
      <c r="H75" s="207"/>
      <c r="I75" s="237"/>
      <c r="J75" s="207"/>
      <c r="K75" s="207"/>
      <c r="L75" s="210"/>
      <c r="M75" s="209"/>
      <c r="N75" s="149"/>
      <c r="O75" s="211"/>
      <c r="P75" s="212"/>
      <c r="Q75" s="211"/>
      <c r="R75" s="237"/>
      <c r="S75" s="239"/>
      <c r="T75" s="239"/>
      <c r="U75" s="239"/>
      <c r="V75" s="239"/>
      <c r="W75" s="239"/>
      <c r="X75" s="239"/>
      <c r="Y75" s="239"/>
      <c r="Z75" s="237"/>
      <c r="AA75" s="239"/>
      <c r="AB75" s="239"/>
      <c r="AC75" s="239"/>
      <c r="AD75" s="239"/>
      <c r="AE75" s="239"/>
      <c r="AF75" s="239"/>
      <c r="AG75" s="239"/>
      <c r="AH75" s="239"/>
      <c r="AI75" s="239"/>
      <c r="AJ75" s="239"/>
      <c r="AK75" s="239"/>
      <c r="AL75" s="239"/>
      <c r="AM75" s="239"/>
      <c r="AN75" s="237"/>
      <c r="AO75" s="141"/>
      <c r="AP75" s="172"/>
      <c r="AQ75" s="237"/>
      <c r="AR75" s="213"/>
    </row>
    <row r="76" spans="1:44" ht="25.5" hidden="1" x14ac:dyDescent="0.25">
      <c r="A76" s="225" t="str">
        <f>A73</f>
        <v>Kundenr.-Ejendom</v>
      </c>
      <c r="B76" s="61" t="str">
        <f>Ydelser!A76&amp;" - "&amp;Ydelser!C76</f>
        <v>501 - Algebekæmpelse</v>
      </c>
      <c r="C76" s="61" t="str">
        <f>Ydelser!D76</f>
        <v>Algebehandling af befæstede arealer, facader, udvendige trapper, tagflader, tagterrasser.</v>
      </c>
      <c r="D76" s="61" t="b">
        <f>'FS Aftale'!D76</f>
        <v>0</v>
      </c>
      <c r="E76" s="156" t="str">
        <f>'FS Aftale'!E76</f>
        <v>1/4-30/9</v>
      </c>
      <c r="F76" s="214" t="str">
        <f t="shared" ref="F76:H76" si="54">F73</f>
        <v>Team Ansvarlig</v>
      </c>
      <c r="G76" s="214" t="str">
        <f t="shared" si="54"/>
        <v>Ansvarlig</v>
      </c>
      <c r="H76" s="214" t="str">
        <f t="shared" si="54"/>
        <v>Servicemedarb.</v>
      </c>
      <c r="I76" s="235"/>
      <c r="J76" s="214" t="str">
        <f t="shared" ref="J76:K76" si="55">J73</f>
        <v>Fast</v>
      </c>
      <c r="K76" s="214" t="str">
        <f t="shared" si="55"/>
        <v>FS aftale</v>
      </c>
      <c r="L76" s="216">
        <f>L73</f>
        <v>1</v>
      </c>
      <c r="M76" s="215" t="str">
        <f>M73</f>
        <v>Mangler planlægning</v>
      </c>
      <c r="N76" s="147" t="str">
        <f>IFERROR(VLOOKUP(O76,Støtteark!$B$21:$F$35,MATCH(E76,Støtteark!$B$21:$F$21,0),0),Støtteark!$L$35)</f>
        <v>Hver 3. uge (1, 4, 7 ...)</v>
      </c>
      <c r="O76" s="62">
        <f>'FS Aftale'!F76</f>
        <v>9</v>
      </c>
      <c r="P76" s="217" t="str">
        <f>P73</f>
        <v>7:00</v>
      </c>
      <c r="Q76" s="124">
        <f>'FS Aftale'!G76*Støtteark!$Q$15</f>
        <v>60</v>
      </c>
      <c r="R76" s="235"/>
      <c r="S76" s="231">
        <f>IF(OR(AND(OR(N76 = Støtteark!$L$25,N76 = Støtteark!$L$26,N76 = Støtteark!$L$28),E76&lt;&gt;Støtteark!$U$6,OR(O76=Støtteark!$B$22,O76=Støtteark!$B$23,O76=Støtteark!$B$24,O76=Støtteark!$B$25,O76=Støtteark!$B$26,O76=Støtteark!$B$27,O76=Støtteark!$B$28)),AND(E76=Støtteark!$U$6,OR(O76=Støtteark!$B$24,O76=Støtteark!$B$27,O76=Støtteark!$B$29))),1,"")</f>
        <v>1</v>
      </c>
      <c r="T76" s="232" t="str">
        <f>IF(OR(AND(N76 = Støtteark!$L$25,E76&lt;&gt;Støtteark!$U$6,O76=Støtteark!$B$22),AND(E76=Støtteark!$U$6,O76=Støtteark!$B$24),O76=Støtteark!$B$22),1,"")</f>
        <v/>
      </c>
      <c r="U76" s="232" t="str">
        <f>IF(OR(AND(N76 = Støtteark!$L$25,E76&lt;&gt;Støtteark!$U$6,OR(O76=Støtteark!$B$22,O76=Støtteark!$B$23,O76=Støtteark!$B$24)),AND(E76=Støtteark!$U$6,OR(O76=Støtteark!$B$22,O76=Støtteark!$B$24))),1,"")</f>
        <v/>
      </c>
      <c r="V76" s="232" t="str">
        <f>IF(OR(AND(N76 = Støtteark!$L$25,E76&lt;&gt;Støtteark!$U$6,O76=Støtteark!$B$22),AND(E76=Støtteark!$U$6,OR(O76=Støtteark!$B$22,O76=Støtteark!$B$24))),1,"")</f>
        <v/>
      </c>
      <c r="W76" s="232" t="str">
        <f>IF(OR(AND(N76 = Støtteark!$L$25,E76&lt;&gt;Støtteark!$U$6,OR(O76=Støtteark!$B$22,O76=Støtteark!$B$23,O76=Støtteark!$B$24,O76=Støtteark!$B$25)),AND(E76=Støtteark!$U$6,OR(O76=Støtteark!$B$22,O76=Støtteark!$B$24))),1,"")</f>
        <v/>
      </c>
      <c r="X76" s="231"/>
      <c r="Y76" s="231"/>
      <c r="Z76" s="235"/>
      <c r="AA76" s="231" t="str">
        <f>IF(OR(AND(E76&lt;&gt;Støtteark!$U$6,N76 = Støtteark!$L$25),N76 = Støtteark!$L$26,N76 = Støtteark!$L$28,AND(N76 = Støtteark!$L$29,E76&lt;&gt;Støtteark!$U$6,OR(O76=Støtteark!$B$30,O76=Støtteark!$B$32,O76=Støtteark!$B$33,AND(E76&lt;&gt;Støtteark!$U$6,O76=Støtteark!$B$34),O76=Støtteark!$B$35))),1,"")</f>
        <v/>
      </c>
      <c r="AB76" s="231" t="str">
        <f>IF(OR(AND(E76&lt;&gt;Støtteark!$U$6,N76 = Støtteark!$L$25),N76 = Støtteark!$L$26,N76 = Støtteark!$L$28,AND(N76 = Støtteark!$L$29,O76=Støtteark!$B$34)),1,"")</f>
        <v/>
      </c>
      <c r="AC76" s="231" t="str">
        <f>IF(OR(AND(E76&lt;&gt;Støtteark!$U$6,N76 = Støtteark!$L$25),N76 = Støtteark!$L$26,N76 = Støtteark!$L$28,AND(N76 = Støtteark!$L$29,E76&lt;&gt;Støtteark!$U$6,OR(O76=Støtteark!$B$30,O76 = Støtteark!$B$34))),1,"")</f>
        <v/>
      </c>
      <c r="AD76" s="232">
        <f>IF(OR(N76 = Støtteark!$L$25,N76 = Støtteark!$L$26,N76 = Støtteark!$L$28,AND(N76 = Støtteark!$L$29,OR(O76=Støtteark!$B$34,O76=Støtteark!$B$35)),AND(E76=Støtteark!$U$6,OR(O76=Støtteark!$B$29,O76=Støtteark!$B$30,O76=Støtteark!$B$32,O76=Støtteark!$B$33))),1,"")</f>
        <v>1</v>
      </c>
      <c r="AE76" s="231">
        <f>IF(OR(N76 = Støtteark!$L$25,N76 = Støtteark!$L$26,N76 = Støtteark!$L$28,AND(N76 = Støtteark!$L$29,OR(O76=Støtteark!$B$34,O76 = Støtteark!$B$30)),AND(E76=Støtteark!$U$6,O76=Støtteark!$B$29)),1,"")</f>
        <v>1</v>
      </c>
      <c r="AF76" s="231">
        <f>IF(OR(N76 = Støtteark!$L$25,N76 = Støtteark!$L$26,N76 = Støtteark!$L$28,AND(N76 = Støtteark!$L$29,O76=Støtteark!$B$34),AND(E76=Støtteark!$U$6,O76=Støtteark!$B$30),AND(E76=Støtteark!$U$6,O76=Støtteark!$B$29)),1,"")</f>
        <v>1</v>
      </c>
      <c r="AG76" s="231">
        <f>IF(OR(N76 = Støtteark!$L$25,N76 = Støtteark!$L$26,N76 = Støtteark!$L$28,AND(N76 = Støtteark!$L$29,OR(O76=Støtteark!$B$30,O76 = Støtteark!$B$31,O76=Støtteark!$B$32,O76=Støtteark!$B$34)),AND(E76=Støtteark!$U$6,OR(O76=Støtteark!$B$29,O76=Støtteark!$B$31))),1,"")</f>
        <v>1</v>
      </c>
      <c r="AH76" s="231">
        <f>IF(OR(N76 = Støtteark!$L$25,N76 = Støtteark!$L$26,N76 = Støtteark!$L$28,AND(N76 = Støtteark!$L$29,O76=Støtteark!$B$34),AND(E76=Støtteark!$U$6,OR(O76=Støtteark!$B$29,O76=Støtteark!$B$30))),1,"")</f>
        <v>1</v>
      </c>
      <c r="AI76" s="231">
        <f>IF(OR(N76 = Støtteark!$L$25,N76 = Støtteark!$L$26,N76 = Støtteark!$L$28,AND(N76 = Støtteark!$L$29,OR(O76=Støtteark!$B$34,O76 = Støtteark!$B$30)),AND(E76=Støtteark!$U$6,OR(O76=Støtteark!$B$29,O76=Støtteark!$B$30))),1,"")</f>
        <v>1</v>
      </c>
      <c r="AJ76" s="231" t="str">
        <f>IF(OR(AND(E76&lt;&gt;Støtteark!$U$6,N76 = Støtteark!$L$25),N76 = Støtteark!$L$26,N76 = Støtteark!$L$28,AND(N76 = Støtteark!$L$29,OR(O76=Støtteark!$B$34,O76=Støtteark!$B$35),O76&lt;&gt;Støtteark!$B$30)),1,"")</f>
        <v/>
      </c>
      <c r="AK76" s="231" t="str">
        <f>IF(OR(AND(E76&lt;&gt;Støtteark!$U$6,N76 = Støtteark!$L$25),N76 = Støtteark!$L$26,N76 = Støtteark!$L$28,AND(N76 = Støtteark!$L$29,E76&lt;&gt;Støtteark!$U$6,OR(O76=Støtteark!$B$34,O76 = Støtteark!$B$30))),1,"")</f>
        <v/>
      </c>
      <c r="AL76" s="231" t="str">
        <f>IF(OR(AND(E76&lt;&gt;Støtteark!$U$6,N76 = Støtteark!$L$25),N76 = Støtteark!$L$26,N76 = Støtteark!$L$28,AND(N76 = Støtteark!$L$29,O76=Støtteark!$B$34)),1,"")</f>
        <v/>
      </c>
      <c r="AM76" s="231" t="str">
        <f>IF(AND(N76 = Støtteark!$L$29,OR(O76=Støtteark!$B$30,O76=Støtteark!$B$32,O76=Støtteark!$B$33,O76=Støtteark!$B$34,O76=Støtteark!$B$35)),Støtteark!$L$32,"")</f>
        <v/>
      </c>
      <c r="AN76" s="235"/>
      <c r="AO76" s="91"/>
      <c r="AP76" s="170">
        <f>AP73</f>
        <v>0</v>
      </c>
      <c r="AQ76" s="235"/>
      <c r="AR76" s="218">
        <f ca="1">AR73</f>
        <v>44022</v>
      </c>
    </row>
    <row r="77" spans="1:44" ht="25.5" hidden="1" x14ac:dyDescent="0.25">
      <c r="A77" s="225" t="str">
        <f t="shared" ref="A77:A79" si="56">A76</f>
        <v>Kundenr.-Ejendom</v>
      </c>
      <c r="B77" s="61" t="str">
        <f>Ydelser!A77&amp;" - "&amp;Ydelser!C77</f>
        <v>502 - Tilbageskæring af hække/pur</v>
      </c>
      <c r="C77" s="61" t="str">
        <f>Ydelser!D77</f>
        <v>I henhold til opmåling og tilbud.</v>
      </c>
      <c r="D77" s="61" t="b">
        <f>'FS Aftale'!D77</f>
        <v>0</v>
      </c>
      <c r="E77" s="156" t="str">
        <f>'FS Aftale'!E77</f>
        <v>1/4-30/9</v>
      </c>
      <c r="F77" s="214" t="str">
        <f t="shared" ref="F77:H79" si="57">F76</f>
        <v>Team Ansvarlig</v>
      </c>
      <c r="G77" s="214" t="str">
        <f t="shared" si="57"/>
        <v>Ansvarlig</v>
      </c>
      <c r="H77" s="214" t="str">
        <f t="shared" si="57"/>
        <v>Servicemedarb.</v>
      </c>
      <c r="I77" s="235"/>
      <c r="J77" s="214" t="str">
        <f t="shared" ref="J77:M79" si="58">J76</f>
        <v>Fast</v>
      </c>
      <c r="K77" s="214" t="str">
        <f t="shared" si="58"/>
        <v>FS aftale</v>
      </c>
      <c r="L77" s="216">
        <f t="shared" si="58"/>
        <v>1</v>
      </c>
      <c r="M77" s="215" t="str">
        <f t="shared" si="58"/>
        <v>Mangler planlægning</v>
      </c>
      <c r="N77" s="147" t="str">
        <f>IFERROR(VLOOKUP(O77,Støtteark!$B$21:$F$35,MATCH(E77,Støtteark!$B$21:$F$21,0),0),Støtteark!$L$35)</f>
        <v>Hver 3. uge (1, 4, 7 ...)</v>
      </c>
      <c r="O77" s="62">
        <f>'FS Aftale'!F77</f>
        <v>9</v>
      </c>
      <c r="P77" s="217" t="str">
        <f t="shared" ref="P77:P79" si="59">P76</f>
        <v>7:00</v>
      </c>
      <c r="Q77" s="124">
        <f>'FS Aftale'!G77*Støtteark!$Q$15</f>
        <v>60</v>
      </c>
      <c r="R77" s="235"/>
      <c r="S77" s="231">
        <f>IF(OR(AND(OR(N77 = Støtteark!$L$25,N77 = Støtteark!$L$26,N77 = Støtteark!$L$28),E77&lt;&gt;Støtteark!$U$6,OR(O77=Støtteark!$B$22,O77=Støtteark!$B$23,O77=Støtteark!$B$24,O77=Støtteark!$B$25,O77=Støtteark!$B$26,O77=Støtteark!$B$27,O77=Støtteark!$B$28)),AND(E77=Støtteark!$U$6,OR(O77=Støtteark!$B$24,O77=Støtteark!$B$27,O77=Støtteark!$B$29))),1,"")</f>
        <v>1</v>
      </c>
      <c r="T77" s="232" t="str">
        <f>IF(OR(AND(N77 = Støtteark!$L$25,E77&lt;&gt;Støtteark!$U$6,O77=Støtteark!$B$22),AND(E77=Støtteark!$U$6,O77=Støtteark!$B$24),O77=Støtteark!$B$22),1,"")</f>
        <v/>
      </c>
      <c r="U77" s="232" t="str">
        <f>IF(OR(AND(N77 = Støtteark!$L$25,E77&lt;&gt;Støtteark!$U$6,OR(O77=Støtteark!$B$22,O77=Støtteark!$B$23,O77=Støtteark!$B$24)),AND(E77=Støtteark!$U$6,OR(O77=Støtteark!$B$22,O77=Støtteark!$B$24))),1,"")</f>
        <v/>
      </c>
      <c r="V77" s="232" t="str">
        <f>IF(OR(AND(N77 = Støtteark!$L$25,E77&lt;&gt;Støtteark!$U$6,O77=Støtteark!$B$22),AND(E77=Støtteark!$U$6,OR(O77=Støtteark!$B$22,O77=Støtteark!$B$24))),1,"")</f>
        <v/>
      </c>
      <c r="W77" s="232" t="str">
        <f>IF(OR(AND(N77 = Støtteark!$L$25,E77&lt;&gt;Støtteark!$U$6,OR(O77=Støtteark!$B$22,O77=Støtteark!$B$23,O77=Støtteark!$B$24,O77=Støtteark!$B$25)),AND(E77=Støtteark!$U$6,OR(O77=Støtteark!$B$22,O77=Støtteark!$B$24))),1,"")</f>
        <v/>
      </c>
      <c r="X77" s="231"/>
      <c r="Y77" s="231"/>
      <c r="Z77" s="235"/>
      <c r="AA77" s="231" t="str">
        <f>IF(OR(AND(E77&lt;&gt;Støtteark!$U$6,N77 = Støtteark!$L$25),N77 = Støtteark!$L$26,N77 = Støtteark!$L$28,AND(N77 = Støtteark!$L$29,E77&lt;&gt;Støtteark!$U$6,OR(O77=Støtteark!$B$30,O77=Støtteark!$B$32,O77=Støtteark!$B$33,AND(E77&lt;&gt;Støtteark!$U$6,O77=Støtteark!$B$34),O77=Støtteark!$B$35))),1,"")</f>
        <v/>
      </c>
      <c r="AB77" s="231" t="str">
        <f>IF(OR(AND(E77&lt;&gt;Støtteark!$U$6,N77 = Støtteark!$L$25),N77 = Støtteark!$L$26,N77 = Støtteark!$L$28,AND(N77 = Støtteark!$L$29,O77=Støtteark!$B$34)),1,"")</f>
        <v/>
      </c>
      <c r="AC77" s="231" t="str">
        <f>IF(OR(AND(E77&lt;&gt;Støtteark!$U$6,N77 = Støtteark!$L$25),N77 = Støtteark!$L$26,N77 = Støtteark!$L$28,AND(N77 = Støtteark!$L$29,E77&lt;&gt;Støtteark!$U$6,OR(O77=Støtteark!$B$30,O77 = Støtteark!$B$34))),1,"")</f>
        <v/>
      </c>
      <c r="AD77" s="232">
        <f>IF(OR(N77 = Støtteark!$L$25,N77 = Støtteark!$L$26,N77 = Støtteark!$L$28,AND(N77 = Støtteark!$L$29,OR(O77=Støtteark!$B$34,O77=Støtteark!$B$35)),AND(E77=Støtteark!$U$6,OR(O77=Støtteark!$B$29,O77=Støtteark!$B$30,O77=Støtteark!$B$32,O77=Støtteark!$B$33))),1,"")</f>
        <v>1</v>
      </c>
      <c r="AE77" s="231">
        <f>IF(OR(N77 = Støtteark!$L$25,N77 = Støtteark!$L$26,N77 = Støtteark!$L$28,AND(N77 = Støtteark!$L$29,OR(O77=Støtteark!$B$34,O77 = Støtteark!$B$30)),AND(E77=Støtteark!$U$6,O77=Støtteark!$B$29)),1,"")</f>
        <v>1</v>
      </c>
      <c r="AF77" s="231">
        <f>IF(OR(N77 = Støtteark!$L$25,N77 = Støtteark!$L$26,N77 = Støtteark!$L$28,AND(N77 = Støtteark!$L$29,O77=Støtteark!$B$34),AND(E77=Støtteark!$U$6,O77=Støtteark!$B$30),AND(E77=Støtteark!$U$6,O77=Støtteark!$B$29)),1,"")</f>
        <v>1</v>
      </c>
      <c r="AG77" s="231">
        <f>IF(OR(N77 = Støtteark!$L$25,N77 = Støtteark!$L$26,N77 = Støtteark!$L$28,AND(N77 = Støtteark!$L$29,OR(O77=Støtteark!$B$30,O77 = Støtteark!$B$31,O77=Støtteark!$B$32,O77=Støtteark!$B$34)),AND(E77=Støtteark!$U$6,OR(O77=Støtteark!$B$29,O77=Støtteark!$B$31))),1,"")</f>
        <v>1</v>
      </c>
      <c r="AH77" s="231">
        <f>IF(OR(N77 = Støtteark!$L$25,N77 = Støtteark!$L$26,N77 = Støtteark!$L$28,AND(N77 = Støtteark!$L$29,O77=Støtteark!$B$34),AND(E77=Støtteark!$U$6,OR(O77=Støtteark!$B$29,O77=Støtteark!$B$30))),1,"")</f>
        <v>1</v>
      </c>
      <c r="AI77" s="231">
        <f>IF(OR(N77 = Støtteark!$L$25,N77 = Støtteark!$L$26,N77 = Støtteark!$L$28,AND(N77 = Støtteark!$L$29,OR(O77=Støtteark!$B$34,O77 = Støtteark!$B$30)),AND(E77=Støtteark!$U$6,OR(O77=Støtteark!$B$29,O77=Støtteark!$B$30))),1,"")</f>
        <v>1</v>
      </c>
      <c r="AJ77" s="231" t="str">
        <f>IF(OR(AND(E77&lt;&gt;Støtteark!$U$6,N77 = Støtteark!$L$25),N77 = Støtteark!$L$26,N77 = Støtteark!$L$28,AND(N77 = Støtteark!$L$29,OR(O77=Støtteark!$B$34,O77=Støtteark!$B$35),O77&lt;&gt;Støtteark!$B$30)),1,"")</f>
        <v/>
      </c>
      <c r="AK77" s="231" t="str">
        <f>IF(OR(AND(E77&lt;&gt;Støtteark!$U$6,N77 = Støtteark!$L$25),N77 = Støtteark!$L$26,N77 = Støtteark!$L$28,AND(N77 = Støtteark!$L$29,E77&lt;&gt;Støtteark!$U$6,OR(O77=Støtteark!$B$34,O77 = Støtteark!$B$30))),1,"")</f>
        <v/>
      </c>
      <c r="AL77" s="231" t="str">
        <f>IF(OR(AND(E77&lt;&gt;Støtteark!$U$6,N77 = Støtteark!$L$25),N77 = Støtteark!$L$26,N77 = Støtteark!$L$28,AND(N77 = Støtteark!$L$29,O77=Støtteark!$B$34)),1,"")</f>
        <v/>
      </c>
      <c r="AM77" s="231" t="str">
        <f>IF(AND(N77 = Støtteark!$L$29,OR(O77=Støtteark!$B$30,O77=Støtteark!$B$32,O77=Støtteark!$B$33,O77=Støtteark!$B$34,O77=Støtteark!$B$35)),Støtteark!$L$32,"")</f>
        <v/>
      </c>
      <c r="AN77" s="235"/>
      <c r="AO77" s="91"/>
      <c r="AP77" s="170">
        <v>0</v>
      </c>
      <c r="AQ77" s="235"/>
      <c r="AR77" s="218">
        <f t="shared" ref="AR77:AR79" ca="1" si="60">AR76</f>
        <v>44022</v>
      </c>
    </row>
    <row r="78" spans="1:44" ht="25.5" hidden="1" x14ac:dyDescent="0.25">
      <c r="A78" s="225" t="str">
        <f t="shared" si="56"/>
        <v>Kundenr.-Ejendom</v>
      </c>
      <c r="B78" s="61" t="str">
        <f>Ydelser!A78&amp;" - "&amp;Ydelser!C78</f>
        <v>503 - Fældninger, kronereduktion og stubfræsning</v>
      </c>
      <c r="C78" s="61" t="str">
        <f>Ydelser!D78</f>
        <v>I henhold til opmåling og tilbud.</v>
      </c>
      <c r="D78" s="61" t="b">
        <f>'FS Aftale'!D78</f>
        <v>0</v>
      </c>
      <c r="E78" s="156" t="str">
        <f>'FS Aftale'!E78</f>
        <v>1/4-30/9</v>
      </c>
      <c r="F78" s="214" t="str">
        <f t="shared" si="57"/>
        <v>Team Ansvarlig</v>
      </c>
      <c r="G78" s="214" t="str">
        <f t="shared" si="57"/>
        <v>Ansvarlig</v>
      </c>
      <c r="H78" s="214" t="str">
        <f t="shared" si="57"/>
        <v>Servicemedarb.</v>
      </c>
      <c r="I78" s="235"/>
      <c r="J78" s="214" t="str">
        <f t="shared" si="58"/>
        <v>Fast</v>
      </c>
      <c r="K78" s="214" t="str">
        <f t="shared" si="58"/>
        <v>FS aftale</v>
      </c>
      <c r="L78" s="216">
        <f t="shared" si="58"/>
        <v>1</v>
      </c>
      <c r="M78" s="215" t="str">
        <f t="shared" si="58"/>
        <v>Mangler planlægning</v>
      </c>
      <c r="N78" s="147" t="str">
        <f>IFERROR(VLOOKUP(O78,Støtteark!$B$21:$F$35,MATCH(E78,Støtteark!$B$21:$F$21,0),0),Støtteark!$L$35)</f>
        <v>Hver 3. uge (1, 4, 7 ...)</v>
      </c>
      <c r="O78" s="62">
        <f>'FS Aftale'!F78</f>
        <v>9</v>
      </c>
      <c r="P78" s="217" t="str">
        <f t="shared" si="59"/>
        <v>7:00</v>
      </c>
      <c r="Q78" s="124">
        <f>'FS Aftale'!G78*Støtteark!$Q$15</f>
        <v>60</v>
      </c>
      <c r="R78" s="235"/>
      <c r="S78" s="231">
        <f>IF(OR(AND(OR(N78 = Støtteark!$L$25,N78 = Støtteark!$L$26,N78 = Støtteark!$L$28),E78&lt;&gt;Støtteark!$U$6,OR(O78=Støtteark!$B$22,O78=Støtteark!$B$23,O78=Støtteark!$B$24,O78=Støtteark!$B$25,O78=Støtteark!$B$26,O78=Støtteark!$B$27,O78=Støtteark!$B$28)),AND(E78=Støtteark!$U$6,OR(O78=Støtteark!$B$24,O78=Støtteark!$B$27,O78=Støtteark!$B$29))),1,"")</f>
        <v>1</v>
      </c>
      <c r="T78" s="232" t="str">
        <f>IF(OR(AND(N78 = Støtteark!$L$25,E78&lt;&gt;Støtteark!$U$6,O78=Støtteark!$B$22),AND(E78=Støtteark!$U$6,O78=Støtteark!$B$24),O78=Støtteark!$B$22),1,"")</f>
        <v/>
      </c>
      <c r="U78" s="232" t="str">
        <f>IF(OR(AND(N78 = Støtteark!$L$25,E78&lt;&gt;Støtteark!$U$6,OR(O78=Støtteark!$B$22,O78=Støtteark!$B$23,O78=Støtteark!$B$24)),AND(E78=Støtteark!$U$6,OR(O78=Støtteark!$B$22,O78=Støtteark!$B$24))),1,"")</f>
        <v/>
      </c>
      <c r="V78" s="232" t="str">
        <f>IF(OR(AND(N78 = Støtteark!$L$25,E78&lt;&gt;Støtteark!$U$6,O78=Støtteark!$B$22),AND(E78=Støtteark!$U$6,OR(O78=Støtteark!$B$22,O78=Støtteark!$B$24))),1,"")</f>
        <v/>
      </c>
      <c r="W78" s="232" t="str">
        <f>IF(OR(AND(N78 = Støtteark!$L$25,E78&lt;&gt;Støtteark!$U$6,OR(O78=Støtteark!$B$22,O78=Støtteark!$B$23,O78=Støtteark!$B$24,O78=Støtteark!$B$25)),AND(E78=Støtteark!$U$6,OR(O78=Støtteark!$B$22,O78=Støtteark!$B$24))),1,"")</f>
        <v/>
      </c>
      <c r="X78" s="231"/>
      <c r="Y78" s="231"/>
      <c r="Z78" s="235"/>
      <c r="AA78" s="231" t="str">
        <f>IF(OR(AND(E78&lt;&gt;Støtteark!$U$6,N78 = Støtteark!$L$25),N78 = Støtteark!$L$26,N78 = Støtteark!$L$28,AND(N78 = Støtteark!$L$29,E78&lt;&gt;Støtteark!$U$6,OR(O78=Støtteark!$B$30,O78=Støtteark!$B$32,O78=Støtteark!$B$33,AND(E78&lt;&gt;Støtteark!$U$6,O78=Støtteark!$B$34),O78=Støtteark!$B$35))),1,"")</f>
        <v/>
      </c>
      <c r="AB78" s="231" t="str">
        <f>IF(OR(AND(E78&lt;&gt;Støtteark!$U$6,N78 = Støtteark!$L$25),N78 = Støtteark!$L$26,N78 = Støtteark!$L$28,AND(N78 = Støtteark!$L$29,O78=Støtteark!$B$34)),1,"")</f>
        <v/>
      </c>
      <c r="AC78" s="231" t="str">
        <f>IF(OR(AND(E78&lt;&gt;Støtteark!$U$6,N78 = Støtteark!$L$25),N78 = Støtteark!$L$26,N78 = Støtteark!$L$28,AND(N78 = Støtteark!$L$29,E78&lt;&gt;Støtteark!$U$6,OR(O78=Støtteark!$B$30,O78 = Støtteark!$B$34))),1,"")</f>
        <v/>
      </c>
      <c r="AD78" s="232">
        <f>IF(OR(N78 = Støtteark!$L$25,N78 = Støtteark!$L$26,N78 = Støtteark!$L$28,AND(N78 = Støtteark!$L$29,OR(O78=Støtteark!$B$34,O78=Støtteark!$B$35)),AND(E78=Støtteark!$U$6,OR(O78=Støtteark!$B$29,O78=Støtteark!$B$30,O78=Støtteark!$B$32,O78=Støtteark!$B$33))),1,"")</f>
        <v>1</v>
      </c>
      <c r="AE78" s="231">
        <f>IF(OR(N78 = Støtteark!$L$25,N78 = Støtteark!$L$26,N78 = Støtteark!$L$28,AND(N78 = Støtteark!$L$29,OR(O78=Støtteark!$B$34,O78 = Støtteark!$B$30)),AND(E78=Støtteark!$U$6,O78=Støtteark!$B$29)),1,"")</f>
        <v>1</v>
      </c>
      <c r="AF78" s="231">
        <f>IF(OR(N78 = Støtteark!$L$25,N78 = Støtteark!$L$26,N78 = Støtteark!$L$28,AND(N78 = Støtteark!$L$29,O78=Støtteark!$B$34),AND(E78=Støtteark!$U$6,O78=Støtteark!$B$30),AND(E78=Støtteark!$U$6,O78=Støtteark!$B$29)),1,"")</f>
        <v>1</v>
      </c>
      <c r="AG78" s="231">
        <f>IF(OR(N78 = Støtteark!$L$25,N78 = Støtteark!$L$26,N78 = Støtteark!$L$28,AND(N78 = Støtteark!$L$29,OR(O78=Støtteark!$B$30,O78 = Støtteark!$B$31,O78=Støtteark!$B$32,O78=Støtteark!$B$34)),AND(E78=Støtteark!$U$6,OR(O78=Støtteark!$B$29,O78=Støtteark!$B$31))),1,"")</f>
        <v>1</v>
      </c>
      <c r="AH78" s="231">
        <f>IF(OR(N78 = Støtteark!$L$25,N78 = Støtteark!$L$26,N78 = Støtteark!$L$28,AND(N78 = Støtteark!$L$29,O78=Støtteark!$B$34),AND(E78=Støtteark!$U$6,OR(O78=Støtteark!$B$29,O78=Støtteark!$B$30))),1,"")</f>
        <v>1</v>
      </c>
      <c r="AI78" s="231">
        <f>IF(OR(N78 = Støtteark!$L$25,N78 = Støtteark!$L$26,N78 = Støtteark!$L$28,AND(N78 = Støtteark!$L$29,OR(O78=Støtteark!$B$34,O78 = Støtteark!$B$30)),AND(E78=Støtteark!$U$6,OR(O78=Støtteark!$B$29,O78=Støtteark!$B$30))),1,"")</f>
        <v>1</v>
      </c>
      <c r="AJ78" s="231" t="str">
        <f>IF(OR(AND(E78&lt;&gt;Støtteark!$U$6,N78 = Støtteark!$L$25),N78 = Støtteark!$L$26,N78 = Støtteark!$L$28,AND(N78 = Støtteark!$L$29,OR(O78=Støtteark!$B$34,O78=Støtteark!$B$35),O78&lt;&gt;Støtteark!$B$30)),1,"")</f>
        <v/>
      </c>
      <c r="AK78" s="231" t="str">
        <f>IF(OR(AND(E78&lt;&gt;Støtteark!$U$6,N78 = Støtteark!$L$25),N78 = Støtteark!$L$26,N78 = Støtteark!$L$28,AND(N78 = Støtteark!$L$29,E78&lt;&gt;Støtteark!$U$6,OR(O78=Støtteark!$B$34,O78 = Støtteark!$B$30))),1,"")</f>
        <v/>
      </c>
      <c r="AL78" s="231" t="str">
        <f>IF(OR(AND(E78&lt;&gt;Støtteark!$U$6,N78 = Støtteark!$L$25),N78 = Støtteark!$L$26,N78 = Støtteark!$L$28,AND(N78 = Støtteark!$L$29,O78=Støtteark!$B$34)),1,"")</f>
        <v/>
      </c>
      <c r="AM78" s="231" t="str">
        <f>IF(AND(N78 = Støtteark!$L$29,OR(O78=Støtteark!$B$30,O78=Støtteark!$B$32,O78=Støtteark!$B$33,O78=Støtteark!$B$34,O78=Støtteark!$B$35)),Støtteark!$L$32,"")</f>
        <v/>
      </c>
      <c r="AN78" s="235"/>
      <c r="AO78" s="91"/>
      <c r="AP78" s="170">
        <v>0</v>
      </c>
      <c r="AQ78" s="235"/>
      <c r="AR78" s="218">
        <f t="shared" ca="1" si="60"/>
        <v>44022</v>
      </c>
    </row>
    <row r="79" spans="1:44" ht="25.5" hidden="1" x14ac:dyDescent="0.25">
      <c r="A79" s="225" t="str">
        <f t="shared" si="56"/>
        <v>Kundenr.-Ejendom</v>
      </c>
      <c r="B79" s="61" t="str">
        <f>Ydelser!A79&amp;" - "&amp;Ydelser!C79</f>
        <v>504 - Opsætning og nedtagning af snehegn (inkl. leje)</v>
      </c>
      <c r="C79" s="61" t="str">
        <f>Ydelser!D79</f>
        <v>I henhold til opmåling og tilbud.</v>
      </c>
      <c r="D79" s="61" t="b">
        <f>'FS Aftale'!D79</f>
        <v>0</v>
      </c>
      <c r="E79" s="156" t="str">
        <f>'FS Aftale'!E79</f>
        <v>1/4-30/9</v>
      </c>
      <c r="F79" s="214" t="str">
        <f t="shared" si="57"/>
        <v>Team Ansvarlig</v>
      </c>
      <c r="G79" s="214" t="str">
        <f t="shared" si="57"/>
        <v>Ansvarlig</v>
      </c>
      <c r="H79" s="214" t="str">
        <f t="shared" si="57"/>
        <v>Servicemedarb.</v>
      </c>
      <c r="I79" s="235"/>
      <c r="J79" s="214" t="str">
        <f t="shared" si="58"/>
        <v>Fast</v>
      </c>
      <c r="K79" s="214" t="str">
        <f t="shared" si="58"/>
        <v>FS aftale</v>
      </c>
      <c r="L79" s="216">
        <f t="shared" si="58"/>
        <v>1</v>
      </c>
      <c r="M79" s="215" t="str">
        <f t="shared" si="58"/>
        <v>Mangler planlægning</v>
      </c>
      <c r="N79" s="147" t="str">
        <f>IFERROR(VLOOKUP(O79,Støtteark!$B$21:$F$35,MATCH(E79,Støtteark!$B$21:$F$21,0),0),Støtteark!$L$35)</f>
        <v>Hver 3. uge (1, 4, 7 ...)</v>
      </c>
      <c r="O79" s="62">
        <f>'FS Aftale'!F79</f>
        <v>9</v>
      </c>
      <c r="P79" s="217" t="str">
        <f t="shared" si="59"/>
        <v>7:00</v>
      </c>
      <c r="Q79" s="124">
        <f>'FS Aftale'!G79*Støtteark!$Q$15</f>
        <v>60</v>
      </c>
      <c r="R79" s="235"/>
      <c r="S79" s="231">
        <f>IF(OR(AND(OR(N79 = Støtteark!$L$25,N79 = Støtteark!$L$26,N79 = Støtteark!$L$28),E79&lt;&gt;Støtteark!$U$6,OR(O79=Støtteark!$B$22,O79=Støtteark!$B$23,O79=Støtteark!$B$24,O79=Støtteark!$B$25,O79=Støtteark!$B$26,O79=Støtteark!$B$27,O79=Støtteark!$B$28)),AND(E79=Støtteark!$U$6,OR(O79=Støtteark!$B$24,O79=Støtteark!$B$27,O79=Støtteark!$B$29))),1,"")</f>
        <v>1</v>
      </c>
      <c r="T79" s="232" t="str">
        <f>IF(OR(AND(N79 = Støtteark!$L$25,E79&lt;&gt;Støtteark!$U$6,O79=Støtteark!$B$22),AND(E79=Støtteark!$U$6,O79=Støtteark!$B$24),O79=Støtteark!$B$22),1,"")</f>
        <v/>
      </c>
      <c r="U79" s="232" t="str">
        <f>IF(OR(AND(N79 = Støtteark!$L$25,E79&lt;&gt;Støtteark!$U$6,OR(O79=Støtteark!$B$22,O79=Støtteark!$B$23,O79=Støtteark!$B$24)),AND(E79=Støtteark!$U$6,OR(O79=Støtteark!$B$22,O79=Støtteark!$B$24))),1,"")</f>
        <v/>
      </c>
      <c r="V79" s="232" t="str">
        <f>IF(OR(AND(N79 = Støtteark!$L$25,E79&lt;&gt;Støtteark!$U$6,O79=Støtteark!$B$22),AND(E79=Støtteark!$U$6,OR(O79=Støtteark!$B$22,O79=Støtteark!$B$24))),1,"")</f>
        <v/>
      </c>
      <c r="W79" s="232" t="str">
        <f>IF(OR(AND(N79 = Støtteark!$L$25,E79&lt;&gt;Støtteark!$U$6,OR(O79=Støtteark!$B$22,O79=Støtteark!$B$23,O79=Støtteark!$B$24,O79=Støtteark!$B$25)),AND(E79=Støtteark!$U$6,OR(O79=Støtteark!$B$22,O79=Støtteark!$B$24))),1,"")</f>
        <v/>
      </c>
      <c r="X79" s="231"/>
      <c r="Y79" s="231"/>
      <c r="Z79" s="235"/>
      <c r="AA79" s="231" t="str">
        <f>IF(OR(AND(E79&lt;&gt;Støtteark!$U$6,N79 = Støtteark!$L$25),N79 = Støtteark!$L$26,N79 = Støtteark!$L$28,AND(N79 = Støtteark!$L$29,E79&lt;&gt;Støtteark!$U$6,OR(O79=Støtteark!$B$30,O79=Støtteark!$B$32,O79=Støtteark!$B$33,AND(E79&lt;&gt;Støtteark!$U$6,O79=Støtteark!$B$34),O79=Støtteark!$B$35))),1,"")</f>
        <v/>
      </c>
      <c r="AB79" s="231" t="str">
        <f>IF(OR(AND(E79&lt;&gt;Støtteark!$U$6,N79 = Støtteark!$L$25),N79 = Støtteark!$L$26,N79 = Støtteark!$L$28,AND(N79 = Støtteark!$L$29,O79=Støtteark!$B$34)),1,"")</f>
        <v/>
      </c>
      <c r="AC79" s="231" t="str">
        <f>IF(OR(AND(E79&lt;&gt;Støtteark!$U$6,N79 = Støtteark!$L$25),N79 = Støtteark!$L$26,N79 = Støtteark!$L$28,AND(N79 = Støtteark!$L$29,E79&lt;&gt;Støtteark!$U$6,OR(O79=Støtteark!$B$30,O79 = Støtteark!$B$34))),1,"")</f>
        <v/>
      </c>
      <c r="AD79" s="232">
        <f>IF(OR(N79 = Støtteark!$L$25,N79 = Støtteark!$L$26,N79 = Støtteark!$L$28,AND(N79 = Støtteark!$L$29,OR(O79=Støtteark!$B$34,O79=Støtteark!$B$35)),AND(E79=Støtteark!$U$6,OR(O79=Støtteark!$B$29,O79=Støtteark!$B$30,O79=Støtteark!$B$32,O79=Støtteark!$B$33))),1,"")</f>
        <v>1</v>
      </c>
      <c r="AE79" s="231">
        <f>IF(OR(N79 = Støtteark!$L$25,N79 = Støtteark!$L$26,N79 = Støtteark!$L$28,AND(N79 = Støtteark!$L$29,OR(O79=Støtteark!$B$34,O79 = Støtteark!$B$30)),AND(E79=Støtteark!$U$6,O79=Støtteark!$B$29)),1,"")</f>
        <v>1</v>
      </c>
      <c r="AF79" s="231">
        <f>IF(OR(N79 = Støtteark!$L$25,N79 = Støtteark!$L$26,N79 = Støtteark!$L$28,AND(N79 = Støtteark!$L$29,O79=Støtteark!$B$34),AND(E79=Støtteark!$U$6,O79=Støtteark!$B$30),AND(E79=Støtteark!$U$6,O79=Støtteark!$B$29)),1,"")</f>
        <v>1</v>
      </c>
      <c r="AG79" s="231">
        <f>IF(OR(N79 = Støtteark!$L$25,N79 = Støtteark!$L$26,N79 = Støtteark!$L$28,AND(N79 = Støtteark!$L$29,OR(O79=Støtteark!$B$30,O79 = Støtteark!$B$31,O79=Støtteark!$B$32,O79=Støtteark!$B$34)),AND(E79=Støtteark!$U$6,OR(O79=Støtteark!$B$29,O79=Støtteark!$B$31))),1,"")</f>
        <v>1</v>
      </c>
      <c r="AH79" s="231">
        <f>IF(OR(N79 = Støtteark!$L$25,N79 = Støtteark!$L$26,N79 = Støtteark!$L$28,AND(N79 = Støtteark!$L$29,O79=Støtteark!$B$34),AND(E79=Støtteark!$U$6,OR(O79=Støtteark!$B$29,O79=Støtteark!$B$30))),1,"")</f>
        <v>1</v>
      </c>
      <c r="AI79" s="231">
        <f>IF(OR(N79 = Støtteark!$L$25,N79 = Støtteark!$L$26,N79 = Støtteark!$L$28,AND(N79 = Støtteark!$L$29,OR(O79=Støtteark!$B$34,O79 = Støtteark!$B$30)),AND(E79=Støtteark!$U$6,OR(O79=Støtteark!$B$29,O79=Støtteark!$B$30))),1,"")</f>
        <v>1</v>
      </c>
      <c r="AJ79" s="231" t="str">
        <f>IF(OR(AND(E79&lt;&gt;Støtteark!$U$6,N79 = Støtteark!$L$25),N79 = Støtteark!$L$26,N79 = Støtteark!$L$28,AND(N79 = Støtteark!$L$29,OR(O79=Støtteark!$B$34,O79=Støtteark!$B$35),O79&lt;&gt;Støtteark!$B$30)),1,"")</f>
        <v/>
      </c>
      <c r="AK79" s="231" t="str">
        <f>IF(OR(AND(E79&lt;&gt;Støtteark!$U$6,N79 = Støtteark!$L$25),N79 = Støtteark!$L$26,N79 = Støtteark!$L$28,AND(N79 = Støtteark!$L$29,E79&lt;&gt;Støtteark!$U$6,OR(O79=Støtteark!$B$34,O79 = Støtteark!$B$30))),1,"")</f>
        <v/>
      </c>
      <c r="AL79" s="231" t="str">
        <f>IF(OR(AND(E79&lt;&gt;Støtteark!$U$6,N79 = Støtteark!$L$25),N79 = Støtteark!$L$26,N79 = Støtteark!$L$28,AND(N79 = Støtteark!$L$29,O79=Støtteark!$B$34)),1,"")</f>
        <v/>
      </c>
      <c r="AM79" s="231" t="str">
        <f>IF(AND(N79 = Støtteark!$L$29,OR(O79=Støtteark!$B$30,O79=Støtteark!$B$32,O79=Støtteark!$B$33,O79=Støtteark!$B$34,O79=Støtteark!$B$35)),Støtteark!$L$32,"")</f>
        <v/>
      </c>
      <c r="AN79" s="235"/>
      <c r="AO79" s="91"/>
      <c r="AP79" s="170">
        <v>0</v>
      </c>
      <c r="AQ79" s="235"/>
      <c r="AR79" s="218">
        <f t="shared" ca="1" si="60"/>
        <v>44022</v>
      </c>
    </row>
    <row r="80" spans="1:44" hidden="1" x14ac:dyDescent="0.25">
      <c r="A80" s="228"/>
      <c r="B80" s="195"/>
      <c r="C80" s="195"/>
      <c r="D80" s="196"/>
      <c r="E80" s="196"/>
      <c r="F80" s="196"/>
      <c r="G80" s="195"/>
      <c r="H80" s="195"/>
      <c r="I80" s="247"/>
      <c r="J80" s="195"/>
      <c r="K80" s="195"/>
      <c r="L80" s="197"/>
      <c r="M80" s="197"/>
      <c r="N80" s="197"/>
      <c r="O80" s="197"/>
      <c r="P80" s="197"/>
      <c r="Q80" s="197"/>
      <c r="R80" s="247"/>
      <c r="S80" s="197"/>
      <c r="T80" s="243"/>
      <c r="U80" s="243"/>
      <c r="V80" s="243"/>
      <c r="W80" s="243"/>
      <c r="X80" s="243"/>
      <c r="Y80" s="243"/>
      <c r="Z80" s="247"/>
      <c r="AA80" s="243"/>
      <c r="AB80" s="243"/>
      <c r="AC80" s="243"/>
      <c r="AD80" s="243"/>
      <c r="AE80" s="243"/>
      <c r="AF80" s="243"/>
      <c r="AG80" s="243"/>
      <c r="AH80" s="243"/>
      <c r="AI80" s="243"/>
      <c r="AJ80" s="243"/>
      <c r="AK80" s="243"/>
      <c r="AL80" s="243"/>
      <c r="AM80" s="243"/>
      <c r="AN80" s="247"/>
      <c r="AO80" s="143"/>
      <c r="AP80" s="173"/>
      <c r="AQ80" s="247"/>
      <c r="AR80" s="198"/>
    </row>
    <row r="81" spans="1:44" ht="114.75" x14ac:dyDescent="0.25">
      <c r="A81" s="225" t="str">
        <f>A79</f>
        <v>Kundenr.-Ejendom</v>
      </c>
      <c r="B81" s="61" t="s">
        <v>429</v>
      </c>
      <c r="C81" s="61" t="s">
        <v>430</v>
      </c>
      <c r="D81" s="248" t="b">
        <f>'FS Aftale'!D81</f>
        <v>1</v>
      </c>
      <c r="E81" s="156" t="str">
        <f>'FS Aftale'!E81</f>
        <v>1/4-30/9</v>
      </c>
      <c r="F81" s="214" t="str">
        <f>F79</f>
        <v>Team Ansvarlig</v>
      </c>
      <c r="G81" s="214" t="str">
        <f t="shared" ref="G81:M81" si="61">G79</f>
        <v>Ansvarlig</v>
      </c>
      <c r="H81" s="214" t="str">
        <f t="shared" si="61"/>
        <v>Servicemedarb.</v>
      </c>
      <c r="I81" s="235"/>
      <c r="J81" s="214" t="str">
        <f t="shared" ref="J81:K81" si="62">J79</f>
        <v>Fast</v>
      </c>
      <c r="K81" s="214" t="str">
        <f t="shared" si="62"/>
        <v>FS aftale</v>
      </c>
      <c r="L81" s="216">
        <f t="shared" si="61"/>
        <v>1</v>
      </c>
      <c r="M81" s="215" t="str">
        <f t="shared" si="61"/>
        <v>Mangler planlægning</v>
      </c>
      <c r="N81" s="147" t="s">
        <v>369</v>
      </c>
      <c r="O81" s="62">
        <v>9</v>
      </c>
      <c r="P81" s="217" t="str">
        <f>P79</f>
        <v>7:00</v>
      </c>
      <c r="Q81" s="124">
        <v>300</v>
      </c>
      <c r="R81" s="235"/>
      <c r="S81" s="231">
        <f>IF(OR(AND(OR(N81 = Støtteark!$L$25,N81 = Støtteark!$L$26,N81 = Støtteark!$L$28),E81&lt;&gt;Støtteark!$U$6,OR(O81=Støtteark!$B$22,O81=Støtteark!$B$23,O81=Støtteark!$B$24,O81=Støtteark!$B$25,O81=Støtteark!$B$26,O81=Støtteark!$B$27,O81=Støtteark!$B$28)),AND(E81=Støtteark!$U$6,OR(O81=Støtteark!$B$24,O81=Støtteark!$B$27,O81=Støtteark!$B$29))),1,"")</f>
        <v>1</v>
      </c>
      <c r="T81" s="232" t="str">
        <f>IF(OR(AND(N81 = Støtteark!$L$25,E81&lt;&gt;Støtteark!$U$6,O81=Støtteark!$B$22),AND(E81=Støtteark!$U$6,O81=Støtteark!$B$24),O81=Støtteark!$B$22),1,"")</f>
        <v/>
      </c>
      <c r="U81" s="232" t="str">
        <f>IF(OR(AND(N81 = Støtteark!$L$25,E81&lt;&gt;Støtteark!$U$6,OR(O81=Støtteark!$B$22,O81=Støtteark!$B$23,O81=Støtteark!$B$24)),AND(E81=Støtteark!$U$6,OR(O81=Støtteark!$B$22,O81=Støtteark!$B$24))),1,"")</f>
        <v/>
      </c>
      <c r="V81" s="232" t="str">
        <f>IF(OR(AND(N81 = Støtteark!$L$25,E81&lt;&gt;Støtteark!$U$6,O81=Støtteark!$B$22),AND(E81=Støtteark!$U$6,OR(O81=Støtteark!$B$22,O81=Støtteark!$B$24))),1,"")</f>
        <v/>
      </c>
      <c r="W81" s="232" t="str">
        <f>IF(OR(AND(N81 = Støtteark!$L$25,E81&lt;&gt;Støtteark!$U$6,OR(O81=Støtteark!$B$22,O81=Støtteark!$B$23,O81=Støtteark!$B$24,O81=Støtteark!$B$25)),AND(E81=Støtteark!$U$6,OR(O81=Støtteark!$B$22,O81=Støtteark!$B$24))),1,"")</f>
        <v/>
      </c>
      <c r="X81" s="231"/>
      <c r="Y81" s="231"/>
      <c r="Z81" s="235"/>
      <c r="AA81" s="231" t="str">
        <f>IF(OR(AND(E81&lt;&gt;Støtteark!$U$6,N81 = Støtteark!$L$25),N81 = Støtteark!$L$26,N81 = Støtteark!$L$28,AND(N81 = Støtteark!$L$29,E81&lt;&gt;Støtteark!$U$6,OR(O81=Støtteark!$B$30,O81=Støtteark!$B$32,O81=Støtteark!$B$33,AND(E81&lt;&gt;Støtteark!$U$6,O81=Støtteark!$B$34),O81=Støtteark!$B$35))),1,"")</f>
        <v/>
      </c>
      <c r="AB81" s="231" t="str">
        <f>IF(OR(AND(E81&lt;&gt;Støtteark!$U$6,N81 = Støtteark!$L$25),N81 = Støtteark!$L$26,N81 = Støtteark!$L$28,AND(N81 = Støtteark!$L$29,O81=Støtteark!$B$34)),1,"")</f>
        <v/>
      </c>
      <c r="AC81" s="231" t="str">
        <f>IF(OR(AND(E81&lt;&gt;Støtteark!$U$6,N81 = Støtteark!$L$25),N81 = Støtteark!$L$26,N81 = Støtteark!$L$28,AND(N81 = Støtteark!$L$29,E81&lt;&gt;Støtteark!$U$6,OR(O81=Støtteark!$B$30,O81 = Støtteark!$B$34))),1,"")</f>
        <v/>
      </c>
      <c r="AD81" s="232">
        <f>IF(OR(N81 = Støtteark!$L$25,N81 = Støtteark!$L$26,N81 = Støtteark!$L$28,AND(N81 = Støtteark!$L$29,OR(O81=Støtteark!$B$34,O81=Støtteark!$B$35)),AND(E81=Støtteark!$U$6,OR(O81=Støtteark!$B$29,O81=Støtteark!$B$30,O81=Støtteark!$B$32,O81=Støtteark!$B$33))),1,"")</f>
        <v>1</v>
      </c>
      <c r="AE81" s="231">
        <f>IF(OR(N81 = Støtteark!$L$25,N81 = Støtteark!$L$26,N81 = Støtteark!$L$28,AND(N81 = Støtteark!$L$29,OR(O81=Støtteark!$B$34,O81 = Støtteark!$B$30)),AND(E81=Støtteark!$U$6,O81=Støtteark!$B$29)),1,"")</f>
        <v>1</v>
      </c>
      <c r="AF81" s="231">
        <f>IF(OR(N81 = Støtteark!$L$25,N81 = Støtteark!$L$26,N81 = Støtteark!$L$28,AND(N81 = Støtteark!$L$29,O81=Støtteark!$B$34),AND(E81=Støtteark!$U$6,O81=Støtteark!$B$30),AND(E81=Støtteark!$U$6,O81=Støtteark!$B$29)),1,"")</f>
        <v>1</v>
      </c>
      <c r="AG81" s="231">
        <f>IF(OR(N81 = Støtteark!$L$25,N81 = Støtteark!$L$26,N81 = Støtteark!$L$28,AND(N81 = Støtteark!$L$29,OR(O81=Støtteark!$B$30,O81 = Støtteark!$B$31,O81=Støtteark!$B$32,O81=Støtteark!$B$34)),AND(E81=Støtteark!$U$6,OR(O81=Støtteark!$B$29,O81=Støtteark!$B$31))),1,"")</f>
        <v>1</v>
      </c>
      <c r="AH81" s="231">
        <f>IF(OR(N81 = Støtteark!$L$25,N81 = Støtteark!$L$26,N81 = Støtteark!$L$28,AND(N81 = Støtteark!$L$29,O81=Støtteark!$B$34),AND(E81=Støtteark!$U$6,OR(O81=Støtteark!$B$29,O81=Støtteark!$B$30))),1,"")</f>
        <v>1</v>
      </c>
      <c r="AI81" s="231">
        <f>IF(OR(N81 = Støtteark!$L$25,N81 = Støtteark!$L$26,N81 = Støtteark!$L$28,AND(N81 = Støtteark!$L$29,OR(O81=Støtteark!$B$34,O81 = Støtteark!$B$30)),AND(E81=Støtteark!$U$6,OR(O81=Støtteark!$B$29,O81=Støtteark!$B$30))),1,"")</f>
        <v>1</v>
      </c>
      <c r="AJ81" s="231" t="str">
        <f>IF(OR(AND(E81&lt;&gt;Støtteark!$U$6,N81 = Støtteark!$L$25),N81 = Støtteark!$L$26,N81 = Støtteark!$L$28,AND(N81 = Støtteark!$L$29,OR(O81=Støtteark!$B$34,O81=Støtteark!$B$35),O81&lt;&gt;Støtteark!$B$30)),1,"")</f>
        <v/>
      </c>
      <c r="AK81" s="231" t="str">
        <f>IF(OR(AND(E81&lt;&gt;Støtteark!$U$6,N81 = Støtteark!$L$25),N81 = Støtteark!$L$26,N81 = Støtteark!$L$28,AND(N81 = Støtteark!$L$29,E81&lt;&gt;Støtteark!$U$6,OR(O81=Støtteark!$B$34,O81 = Støtteark!$B$30))),1,"")</f>
        <v/>
      </c>
      <c r="AL81" s="231" t="str">
        <f>IF(OR(AND(E81&lt;&gt;Støtteark!$U$6,N81 = Støtteark!$L$25),N81 = Støtteark!$L$26,N81 = Støtteark!$L$28,AND(N81 = Støtteark!$L$29,O81=Støtteark!$B$34)),1,"")</f>
        <v/>
      </c>
      <c r="AM81" s="231" t="str">
        <f>IF(AND(N81 = Støtteark!$L$29,OR(O81=Støtteark!$B$30,O81=Støtteark!$B$32,O81=Støtteark!$B$33,O81=Støtteark!$B$34,O81=Støtteark!$B$35)),Støtteark!$L$32,"")</f>
        <v/>
      </c>
      <c r="AN81" s="235"/>
      <c r="AO81" s="91"/>
      <c r="AP81" s="170">
        <v>0</v>
      </c>
      <c r="AQ81" s="235"/>
      <c r="AR81" s="218">
        <f ca="1">AR79</f>
        <v>44022</v>
      </c>
    </row>
    <row r="82" spans="1:44" ht="25.5" hidden="1" x14ac:dyDescent="0.25">
      <c r="A82" s="225" t="str">
        <f t="shared" ref="A82:A86" si="63">A81</f>
        <v>Kundenr.-Ejendom</v>
      </c>
      <c r="B82" s="61" t="str">
        <f>Ydelser!A82&amp; " - " &amp;Ydelser!C82</f>
        <v>507 - Kultivering</v>
      </c>
      <c r="C82" s="61" t="str">
        <f>Ydelser!D82</f>
        <v>Manuel kultivering i bede.</v>
      </c>
      <c r="D82" s="248" t="b">
        <v>0</v>
      </c>
      <c r="E82" s="156" t="str">
        <f>'FS Aftale'!E82</f>
        <v>1/4-30/9</v>
      </c>
      <c r="F82" s="214" t="str">
        <f t="shared" ref="F82:H86" si="64">F81</f>
        <v>Team Ansvarlig</v>
      </c>
      <c r="G82" s="214" t="str">
        <f t="shared" si="64"/>
        <v>Ansvarlig</v>
      </c>
      <c r="H82" s="214" t="str">
        <f t="shared" si="64"/>
        <v>Servicemedarb.</v>
      </c>
      <c r="I82" s="235"/>
      <c r="J82" s="214" t="str">
        <f t="shared" ref="J82:M86" si="65">J81</f>
        <v>Fast</v>
      </c>
      <c r="K82" s="214" t="str">
        <f t="shared" si="65"/>
        <v>FS aftale</v>
      </c>
      <c r="L82" s="216">
        <f t="shared" si="65"/>
        <v>1</v>
      </c>
      <c r="M82" s="215" t="str">
        <f t="shared" si="65"/>
        <v>Mangler planlægning</v>
      </c>
      <c r="N82" s="147" t="str">
        <f>IFERROR(VLOOKUP(O82,Støtteark!$B$21:$F$35,MATCH(E82,Støtteark!$B$21:$F$21,0),0),Støtteark!$L$35)</f>
        <v>Hver 3. uge (1, 4, 7 ...)</v>
      </c>
      <c r="O82" s="62">
        <f>'FS Aftale'!F82</f>
        <v>9</v>
      </c>
      <c r="P82" s="217" t="str">
        <f t="shared" ref="P82:P86" si="66">P81</f>
        <v>7:00</v>
      </c>
      <c r="Q82" s="124">
        <f>'FS Aftale'!G82*Støtteark!$Q$15</f>
        <v>60</v>
      </c>
      <c r="R82" s="235"/>
      <c r="S82" s="231">
        <f>IF(OR(AND(OR(N82 = Støtteark!$L$25,N82 = Støtteark!$L$26,N82 = Støtteark!$L$28),E82&lt;&gt;Støtteark!$U$6,OR(O82=Støtteark!$B$22,O82=Støtteark!$B$23,O82=Støtteark!$B$24,O82=Støtteark!$B$25,O82=Støtteark!$B$26,O82=Støtteark!$B$27,O82=Støtteark!$B$28)),AND(E82=Støtteark!$U$6,OR(O82=Støtteark!$B$24,O82=Støtteark!$B$27,O82=Støtteark!$B$29))),1,"")</f>
        <v>1</v>
      </c>
      <c r="T82" s="232" t="str">
        <f>IF(OR(AND(N82 = Støtteark!$L$25,E82&lt;&gt;Støtteark!$U$6,O82=Støtteark!$B$22),AND(E82=Støtteark!$U$6,O82=Støtteark!$B$24),O82=Støtteark!$B$22),1,"")</f>
        <v/>
      </c>
      <c r="U82" s="232" t="str">
        <f>IF(OR(AND(N82 = Støtteark!$L$25,E82&lt;&gt;Støtteark!$U$6,OR(O82=Støtteark!$B$22,O82=Støtteark!$B$23,O82=Støtteark!$B$24)),AND(E82=Støtteark!$U$6,OR(O82=Støtteark!$B$22,O82=Støtteark!$B$24))),1,"")</f>
        <v/>
      </c>
      <c r="V82" s="232" t="str">
        <f>IF(OR(AND(N82 = Støtteark!$L$25,E82&lt;&gt;Støtteark!$U$6,O82=Støtteark!$B$22),AND(E82=Støtteark!$U$6,OR(O82=Støtteark!$B$22,O82=Støtteark!$B$24))),1,"")</f>
        <v/>
      </c>
      <c r="W82" s="232" t="str">
        <f>IF(OR(AND(N82 = Støtteark!$L$25,E82&lt;&gt;Støtteark!$U$6,OR(O82=Støtteark!$B$22,O82=Støtteark!$B$23,O82=Støtteark!$B$24,O82=Støtteark!$B$25)),AND(E82=Støtteark!$U$6,OR(O82=Støtteark!$B$22,O82=Støtteark!$B$24))),1,"")</f>
        <v/>
      </c>
      <c r="X82" s="231"/>
      <c r="Y82" s="231"/>
      <c r="Z82" s="235"/>
      <c r="AA82" s="231" t="str">
        <f>IF(OR(AND(E82&lt;&gt;Støtteark!$U$6,N82 = Støtteark!$L$25),N82 = Støtteark!$L$26,N82 = Støtteark!$L$28,AND(N82 = Støtteark!$L$29,E82&lt;&gt;Støtteark!$U$6,OR(O82=Støtteark!$B$30,O82=Støtteark!$B$32,O82=Støtteark!$B$33,AND(E82&lt;&gt;Støtteark!$U$6,O82=Støtteark!$B$34),O82=Støtteark!$B$35))),1,"")</f>
        <v/>
      </c>
      <c r="AB82" s="231" t="str">
        <f>IF(OR(AND(E82&lt;&gt;Støtteark!$U$6,N82 = Støtteark!$L$25),N82 = Støtteark!$L$26,N82 = Støtteark!$L$28,AND(N82 = Støtteark!$L$29,O82=Støtteark!$B$34)),1,"")</f>
        <v/>
      </c>
      <c r="AC82" s="231" t="str">
        <f>IF(OR(AND(E82&lt;&gt;Støtteark!$U$6,N82 = Støtteark!$L$25),N82 = Støtteark!$L$26,N82 = Støtteark!$L$28,AND(N82 = Støtteark!$L$29,E82&lt;&gt;Støtteark!$U$6,OR(O82=Støtteark!$B$30,O82 = Støtteark!$B$34))),1,"")</f>
        <v/>
      </c>
      <c r="AD82" s="232">
        <f>IF(OR(N82 = Støtteark!$L$25,N82 = Støtteark!$L$26,N82 = Støtteark!$L$28,AND(N82 = Støtteark!$L$29,OR(O82=Støtteark!$B$34,O82=Støtteark!$B$35)),AND(E82=Støtteark!$U$6,OR(O82=Støtteark!$B$29,O82=Støtteark!$B$30,O82=Støtteark!$B$32,O82=Støtteark!$B$33))),1,"")</f>
        <v>1</v>
      </c>
      <c r="AE82" s="231">
        <f>IF(OR(N82 = Støtteark!$L$25,N82 = Støtteark!$L$26,N82 = Støtteark!$L$28,AND(N82 = Støtteark!$L$29,OR(O82=Støtteark!$B$34,O82 = Støtteark!$B$30)),AND(E82=Støtteark!$U$6,O82=Støtteark!$B$29)),1,"")</f>
        <v>1</v>
      </c>
      <c r="AF82" s="231">
        <f>IF(OR(N82 = Støtteark!$L$25,N82 = Støtteark!$L$26,N82 = Støtteark!$L$28,AND(N82 = Støtteark!$L$29,O82=Støtteark!$B$34),AND(E82=Støtteark!$U$6,O82=Støtteark!$B$30),AND(E82=Støtteark!$U$6,O82=Støtteark!$B$29)),1,"")</f>
        <v>1</v>
      </c>
      <c r="AG82" s="231">
        <f>IF(OR(N82 = Støtteark!$L$25,N82 = Støtteark!$L$26,N82 = Støtteark!$L$28,AND(N82 = Støtteark!$L$29,OR(O82=Støtteark!$B$30,O82 = Støtteark!$B$31,O82=Støtteark!$B$32,O82=Støtteark!$B$34)),AND(E82=Støtteark!$U$6,OR(O82=Støtteark!$B$29,O82=Støtteark!$B$31))),1,"")</f>
        <v>1</v>
      </c>
      <c r="AH82" s="231">
        <f>IF(OR(N82 = Støtteark!$L$25,N82 = Støtteark!$L$26,N82 = Støtteark!$L$28,AND(N82 = Støtteark!$L$29,O82=Støtteark!$B$34),AND(E82=Støtteark!$U$6,OR(O82=Støtteark!$B$29,O82=Støtteark!$B$30))),1,"")</f>
        <v>1</v>
      </c>
      <c r="AI82" s="231">
        <f>IF(OR(N82 = Støtteark!$L$25,N82 = Støtteark!$L$26,N82 = Støtteark!$L$28,AND(N82 = Støtteark!$L$29,OR(O82=Støtteark!$B$34,O82 = Støtteark!$B$30)),AND(E82=Støtteark!$U$6,OR(O82=Støtteark!$B$29,O82=Støtteark!$B$30))),1,"")</f>
        <v>1</v>
      </c>
      <c r="AJ82" s="231" t="str">
        <f>IF(OR(AND(E82&lt;&gt;Støtteark!$U$6,N82 = Støtteark!$L$25),N82 = Støtteark!$L$26,N82 = Støtteark!$L$28,AND(N82 = Støtteark!$L$29,OR(O82=Støtteark!$B$34,O82=Støtteark!$B$35),O82&lt;&gt;Støtteark!$B$30)),1,"")</f>
        <v/>
      </c>
      <c r="AK82" s="231" t="str">
        <f>IF(OR(AND(E82&lt;&gt;Støtteark!$U$6,N82 = Støtteark!$L$25),N82 = Støtteark!$L$26,N82 = Støtteark!$L$28,AND(N82 = Støtteark!$L$29,E82&lt;&gt;Støtteark!$U$6,OR(O82=Støtteark!$B$34,O82 = Støtteark!$B$30))),1,"")</f>
        <v/>
      </c>
      <c r="AL82" s="231" t="str">
        <f>IF(OR(AND(E82&lt;&gt;Støtteark!$U$6,N82 = Støtteark!$L$25),N82 = Støtteark!$L$26,N82 = Støtteark!$L$28,AND(N82 = Støtteark!$L$29,O82=Støtteark!$B$34)),1,"")</f>
        <v/>
      </c>
      <c r="AM82" s="231" t="str">
        <f>IF(AND(N82 = Støtteark!$L$29,OR(O82=Støtteark!$B$30,O82=Støtteark!$B$32,O82=Støtteark!$B$33,O82=Støtteark!$B$34,O82=Støtteark!$B$35)),Støtteark!$L$32,"")</f>
        <v/>
      </c>
      <c r="AN82" s="235"/>
      <c r="AO82" s="91"/>
      <c r="AP82" s="170">
        <v>0</v>
      </c>
      <c r="AQ82" s="235"/>
      <c r="AR82" s="218">
        <f t="shared" ref="AR82:AR86" ca="1" si="67">AR81</f>
        <v>44022</v>
      </c>
    </row>
    <row r="83" spans="1:44" ht="25.5" hidden="1" x14ac:dyDescent="0.25">
      <c r="A83" s="225" t="str">
        <f t="shared" si="63"/>
        <v>Kundenr.-Ejendom</v>
      </c>
      <c r="B83" s="61" t="str">
        <f>Ydelser!A83&amp; " - " &amp;Ydelser!C83</f>
        <v>508 - Fræsning</v>
      </c>
      <c r="C83" s="61" t="str">
        <f>Ydelser!D83</f>
        <v>Maskinel bearbejdning.</v>
      </c>
      <c r="D83" s="248" t="b">
        <v>0</v>
      </c>
      <c r="E83" s="156" t="str">
        <f>'FS Aftale'!E83</f>
        <v>1/4-30/9</v>
      </c>
      <c r="F83" s="214" t="str">
        <f t="shared" si="64"/>
        <v>Team Ansvarlig</v>
      </c>
      <c r="G83" s="214" t="str">
        <f t="shared" si="64"/>
        <v>Ansvarlig</v>
      </c>
      <c r="H83" s="214" t="str">
        <f t="shared" si="64"/>
        <v>Servicemedarb.</v>
      </c>
      <c r="I83" s="235"/>
      <c r="J83" s="214" t="str">
        <f t="shared" si="65"/>
        <v>Fast</v>
      </c>
      <c r="K83" s="214" t="str">
        <f t="shared" si="65"/>
        <v>FS aftale</v>
      </c>
      <c r="L83" s="216">
        <f t="shared" si="65"/>
        <v>1</v>
      </c>
      <c r="M83" s="215" t="str">
        <f t="shared" si="65"/>
        <v>Mangler planlægning</v>
      </c>
      <c r="N83" s="147" t="str">
        <f>IFERROR(VLOOKUP(O83,Støtteark!$B$21:$F$35,MATCH(E83,Støtteark!$B$21:$F$21,0),0),Støtteark!$L$35)</f>
        <v>Hver 3. uge (1, 4, 7 ...)</v>
      </c>
      <c r="O83" s="62">
        <f>'FS Aftale'!F83</f>
        <v>9</v>
      </c>
      <c r="P83" s="217" t="str">
        <f t="shared" si="66"/>
        <v>7:00</v>
      </c>
      <c r="Q83" s="124">
        <f>'FS Aftale'!G83*Støtteark!$Q$15</f>
        <v>60</v>
      </c>
      <c r="R83" s="235"/>
      <c r="S83" s="231">
        <f>IF(OR(AND(OR(N83 = Støtteark!$L$25,N83 = Støtteark!$L$26,N83 = Støtteark!$L$28),E83&lt;&gt;Støtteark!$U$6,OR(O83=Støtteark!$B$22,O83=Støtteark!$B$23,O83=Støtteark!$B$24,O83=Støtteark!$B$25,O83=Støtteark!$B$26,O83=Støtteark!$B$27,O83=Støtteark!$B$28)),AND(E83=Støtteark!$U$6,OR(O83=Støtteark!$B$24,O83=Støtteark!$B$27,O83=Støtteark!$B$29))),1,"")</f>
        <v>1</v>
      </c>
      <c r="T83" s="232" t="str">
        <f>IF(OR(AND(N83 = Støtteark!$L$25,E83&lt;&gt;Støtteark!$U$6,O83=Støtteark!$B$22),AND(E83=Støtteark!$U$6,O83=Støtteark!$B$24),O83=Støtteark!$B$22),1,"")</f>
        <v/>
      </c>
      <c r="U83" s="232" t="str">
        <f>IF(OR(AND(N83 = Støtteark!$L$25,E83&lt;&gt;Støtteark!$U$6,OR(O83=Støtteark!$B$22,O83=Støtteark!$B$23,O83=Støtteark!$B$24)),AND(E83=Støtteark!$U$6,OR(O83=Støtteark!$B$22,O83=Støtteark!$B$24))),1,"")</f>
        <v/>
      </c>
      <c r="V83" s="232" t="str">
        <f>IF(OR(AND(N83 = Støtteark!$L$25,E83&lt;&gt;Støtteark!$U$6,O83=Støtteark!$B$22),AND(E83=Støtteark!$U$6,OR(O83=Støtteark!$B$22,O83=Støtteark!$B$24))),1,"")</f>
        <v/>
      </c>
      <c r="W83" s="232" t="str">
        <f>IF(OR(AND(N83 = Støtteark!$L$25,E83&lt;&gt;Støtteark!$U$6,OR(O83=Støtteark!$B$22,O83=Støtteark!$B$23,O83=Støtteark!$B$24,O83=Støtteark!$B$25)),AND(E83=Støtteark!$U$6,OR(O83=Støtteark!$B$22,O83=Støtteark!$B$24))),1,"")</f>
        <v/>
      </c>
      <c r="X83" s="231"/>
      <c r="Y83" s="231"/>
      <c r="Z83" s="235"/>
      <c r="AA83" s="231" t="str">
        <f>IF(OR(AND(E83&lt;&gt;Støtteark!$U$6,N83 = Støtteark!$L$25),N83 = Støtteark!$L$26,N83 = Støtteark!$L$28,AND(N83 = Støtteark!$L$29,E83&lt;&gt;Støtteark!$U$6,OR(O83=Støtteark!$B$30,O83=Støtteark!$B$32,O83=Støtteark!$B$33,AND(E83&lt;&gt;Støtteark!$U$6,O83=Støtteark!$B$34),O83=Støtteark!$B$35))),1,"")</f>
        <v/>
      </c>
      <c r="AB83" s="231" t="str">
        <f>IF(OR(AND(E83&lt;&gt;Støtteark!$U$6,N83 = Støtteark!$L$25),N83 = Støtteark!$L$26,N83 = Støtteark!$L$28,AND(N83 = Støtteark!$L$29,O83=Støtteark!$B$34)),1,"")</f>
        <v/>
      </c>
      <c r="AC83" s="231" t="str">
        <f>IF(OR(AND(E83&lt;&gt;Støtteark!$U$6,N83 = Støtteark!$L$25),N83 = Støtteark!$L$26,N83 = Støtteark!$L$28,AND(N83 = Støtteark!$L$29,E83&lt;&gt;Støtteark!$U$6,OR(O83=Støtteark!$B$30,O83 = Støtteark!$B$34))),1,"")</f>
        <v/>
      </c>
      <c r="AD83" s="232">
        <f>IF(OR(N83 = Støtteark!$L$25,N83 = Støtteark!$L$26,N83 = Støtteark!$L$28,AND(N83 = Støtteark!$L$29,OR(O83=Støtteark!$B$34,O83=Støtteark!$B$35)),AND(E83=Støtteark!$U$6,OR(O83=Støtteark!$B$29,O83=Støtteark!$B$30,O83=Støtteark!$B$32,O83=Støtteark!$B$33))),1,"")</f>
        <v>1</v>
      </c>
      <c r="AE83" s="231">
        <f>IF(OR(N83 = Støtteark!$L$25,N83 = Støtteark!$L$26,N83 = Støtteark!$L$28,AND(N83 = Støtteark!$L$29,OR(O83=Støtteark!$B$34,O83 = Støtteark!$B$30)),AND(E83=Støtteark!$U$6,O83=Støtteark!$B$29)),1,"")</f>
        <v>1</v>
      </c>
      <c r="AF83" s="231">
        <f>IF(OR(N83 = Støtteark!$L$25,N83 = Støtteark!$L$26,N83 = Støtteark!$L$28,AND(N83 = Støtteark!$L$29,O83=Støtteark!$B$34),AND(E83=Støtteark!$U$6,O83=Støtteark!$B$30),AND(E83=Støtteark!$U$6,O83=Støtteark!$B$29)),1,"")</f>
        <v>1</v>
      </c>
      <c r="AG83" s="231">
        <f>IF(OR(N83 = Støtteark!$L$25,N83 = Støtteark!$L$26,N83 = Støtteark!$L$28,AND(N83 = Støtteark!$L$29,OR(O83=Støtteark!$B$30,O83 = Støtteark!$B$31,O83=Støtteark!$B$32,O83=Støtteark!$B$34)),AND(E83=Støtteark!$U$6,OR(O83=Støtteark!$B$29,O83=Støtteark!$B$31))),1,"")</f>
        <v>1</v>
      </c>
      <c r="AH83" s="231">
        <f>IF(OR(N83 = Støtteark!$L$25,N83 = Støtteark!$L$26,N83 = Støtteark!$L$28,AND(N83 = Støtteark!$L$29,O83=Støtteark!$B$34),AND(E83=Støtteark!$U$6,OR(O83=Støtteark!$B$29,O83=Støtteark!$B$30))),1,"")</f>
        <v>1</v>
      </c>
      <c r="AI83" s="231">
        <f>IF(OR(N83 = Støtteark!$L$25,N83 = Støtteark!$L$26,N83 = Støtteark!$L$28,AND(N83 = Støtteark!$L$29,OR(O83=Støtteark!$B$34,O83 = Støtteark!$B$30)),AND(E83=Støtteark!$U$6,OR(O83=Støtteark!$B$29,O83=Støtteark!$B$30))),1,"")</f>
        <v>1</v>
      </c>
      <c r="AJ83" s="231" t="str">
        <f>IF(OR(AND(E83&lt;&gt;Støtteark!$U$6,N83 = Støtteark!$L$25),N83 = Støtteark!$L$26,N83 = Støtteark!$L$28,AND(N83 = Støtteark!$L$29,OR(O83=Støtteark!$B$34,O83=Støtteark!$B$35),O83&lt;&gt;Støtteark!$B$30)),1,"")</f>
        <v/>
      </c>
      <c r="AK83" s="231" t="str">
        <f>IF(OR(AND(E83&lt;&gt;Støtteark!$U$6,N83 = Støtteark!$L$25),N83 = Støtteark!$L$26,N83 = Støtteark!$L$28,AND(N83 = Støtteark!$L$29,E83&lt;&gt;Støtteark!$U$6,OR(O83=Støtteark!$B$34,O83 = Støtteark!$B$30))),1,"")</f>
        <v/>
      </c>
      <c r="AL83" s="231" t="str">
        <f>IF(OR(AND(E83&lt;&gt;Støtteark!$U$6,N83 = Støtteark!$L$25),N83 = Støtteark!$L$26,N83 = Støtteark!$L$28,AND(N83 = Støtteark!$L$29,O83=Støtteark!$B$34)),1,"")</f>
        <v/>
      </c>
      <c r="AM83" s="231" t="str">
        <f>IF(AND(N83 = Støtteark!$L$29,OR(O83=Støtteark!$B$30,O83=Støtteark!$B$32,O83=Støtteark!$B$33,O83=Støtteark!$B$34,O83=Støtteark!$B$35)),Støtteark!$L$32,"")</f>
        <v/>
      </c>
      <c r="AN83" s="235"/>
      <c r="AO83" s="91"/>
      <c r="AP83" s="170">
        <v>0</v>
      </c>
      <c r="AQ83" s="235"/>
      <c r="AR83" s="218">
        <f t="shared" ca="1" si="67"/>
        <v>44022</v>
      </c>
    </row>
    <row r="84" spans="1:44" ht="25.5" hidden="1" x14ac:dyDescent="0.25">
      <c r="A84" s="225" t="str">
        <f t="shared" si="63"/>
        <v>Kundenr.-Ejendom</v>
      </c>
      <c r="B84" s="61" t="str">
        <f>Ydelser!A84&amp; " - " &amp;Ydelser!C84</f>
        <v>509 - Gødskning</v>
      </c>
      <c r="C84" s="61" t="str">
        <f>Ydelser!D84</f>
        <v/>
      </c>
      <c r="D84" s="248" t="b">
        <v>0</v>
      </c>
      <c r="E84" s="156" t="str">
        <f>'FS Aftale'!E84</f>
        <v>1/4-30/9</v>
      </c>
      <c r="F84" s="214" t="str">
        <f t="shared" si="64"/>
        <v>Team Ansvarlig</v>
      </c>
      <c r="G84" s="214" t="str">
        <f t="shared" si="64"/>
        <v>Ansvarlig</v>
      </c>
      <c r="H84" s="214" t="str">
        <f t="shared" si="64"/>
        <v>Servicemedarb.</v>
      </c>
      <c r="I84" s="235"/>
      <c r="J84" s="214" t="str">
        <f t="shared" si="65"/>
        <v>Fast</v>
      </c>
      <c r="K84" s="214" t="str">
        <f t="shared" si="65"/>
        <v>FS aftale</v>
      </c>
      <c r="L84" s="216">
        <f t="shared" si="65"/>
        <v>1</v>
      </c>
      <c r="M84" s="215" t="str">
        <f t="shared" si="65"/>
        <v>Mangler planlægning</v>
      </c>
      <c r="N84" s="147" t="str">
        <f>IFERROR(VLOOKUP(O84,Støtteark!$B$21:$F$35,MATCH(E84,Støtteark!$B$21:$F$21,0),0),Støtteark!$L$35)</f>
        <v>Hver 3. uge (1, 4, 7 ...)</v>
      </c>
      <c r="O84" s="62">
        <f>'FS Aftale'!F84</f>
        <v>9</v>
      </c>
      <c r="P84" s="217" t="str">
        <f t="shared" si="66"/>
        <v>7:00</v>
      </c>
      <c r="Q84" s="124">
        <f>'FS Aftale'!G84*Støtteark!$Q$15</f>
        <v>60</v>
      </c>
      <c r="R84" s="235"/>
      <c r="S84" s="231">
        <f>IF(OR(AND(OR(N84 = Støtteark!$L$25,N84 = Støtteark!$L$26,N84 = Støtteark!$L$28),E84&lt;&gt;Støtteark!$U$6,OR(O84=Støtteark!$B$22,O84=Støtteark!$B$23,O84=Støtteark!$B$24,O84=Støtteark!$B$25,O84=Støtteark!$B$26,O84=Støtteark!$B$27,O84=Støtteark!$B$28)),AND(E84=Støtteark!$U$6,OR(O84=Støtteark!$B$24,O84=Støtteark!$B$27,O84=Støtteark!$B$29))),1,"")</f>
        <v>1</v>
      </c>
      <c r="T84" s="232" t="str">
        <f>IF(OR(AND(N84 = Støtteark!$L$25,E84&lt;&gt;Støtteark!$U$6,O84=Støtteark!$B$22),AND(E84=Støtteark!$U$6,O84=Støtteark!$B$24),O84=Støtteark!$B$22),1,"")</f>
        <v/>
      </c>
      <c r="U84" s="232" t="str">
        <f>IF(OR(AND(N84 = Støtteark!$L$25,E84&lt;&gt;Støtteark!$U$6,OR(O84=Støtteark!$B$22,O84=Støtteark!$B$23,O84=Støtteark!$B$24)),AND(E84=Støtteark!$U$6,OR(O84=Støtteark!$B$22,O84=Støtteark!$B$24))),1,"")</f>
        <v/>
      </c>
      <c r="V84" s="232" t="str">
        <f>IF(OR(AND(N84 = Støtteark!$L$25,E84&lt;&gt;Støtteark!$U$6,O84=Støtteark!$B$22),AND(E84=Støtteark!$U$6,OR(O84=Støtteark!$B$22,O84=Støtteark!$B$24))),1,"")</f>
        <v/>
      </c>
      <c r="W84" s="232" t="str">
        <f>IF(OR(AND(N84 = Støtteark!$L$25,E84&lt;&gt;Støtteark!$U$6,OR(O84=Støtteark!$B$22,O84=Støtteark!$B$23,O84=Støtteark!$B$24,O84=Støtteark!$B$25)),AND(E84=Støtteark!$U$6,OR(O84=Støtteark!$B$22,O84=Støtteark!$B$24))),1,"")</f>
        <v/>
      </c>
      <c r="X84" s="231"/>
      <c r="Y84" s="231"/>
      <c r="Z84" s="235"/>
      <c r="AA84" s="231" t="str">
        <f>IF(OR(AND(E84&lt;&gt;Støtteark!$U$6,N84 = Støtteark!$L$25),N84 = Støtteark!$L$26,N84 = Støtteark!$L$28,AND(N84 = Støtteark!$L$29,E84&lt;&gt;Støtteark!$U$6,OR(O84=Støtteark!$B$30,O84=Støtteark!$B$32,O84=Støtteark!$B$33,AND(E84&lt;&gt;Støtteark!$U$6,O84=Støtteark!$B$34),O84=Støtteark!$B$35))),1,"")</f>
        <v/>
      </c>
      <c r="AB84" s="231" t="str">
        <f>IF(OR(AND(E84&lt;&gt;Støtteark!$U$6,N84 = Støtteark!$L$25),N84 = Støtteark!$L$26,N84 = Støtteark!$L$28,AND(N84 = Støtteark!$L$29,O84=Støtteark!$B$34)),1,"")</f>
        <v/>
      </c>
      <c r="AC84" s="231" t="str">
        <f>IF(OR(AND(E84&lt;&gt;Støtteark!$U$6,N84 = Støtteark!$L$25),N84 = Støtteark!$L$26,N84 = Støtteark!$L$28,AND(N84 = Støtteark!$L$29,E84&lt;&gt;Støtteark!$U$6,OR(O84=Støtteark!$B$30,O84 = Støtteark!$B$34))),1,"")</f>
        <v/>
      </c>
      <c r="AD84" s="232">
        <f>IF(OR(N84 = Støtteark!$L$25,N84 = Støtteark!$L$26,N84 = Støtteark!$L$28,AND(N84 = Støtteark!$L$29,OR(O84=Støtteark!$B$34,O84=Støtteark!$B$35)),AND(E84=Støtteark!$U$6,OR(O84=Støtteark!$B$29,O84=Støtteark!$B$30,O84=Støtteark!$B$32,O84=Støtteark!$B$33))),1,"")</f>
        <v>1</v>
      </c>
      <c r="AE84" s="231">
        <f>IF(OR(N84 = Støtteark!$L$25,N84 = Støtteark!$L$26,N84 = Støtteark!$L$28,AND(N84 = Støtteark!$L$29,OR(O84=Støtteark!$B$34,O84 = Støtteark!$B$30)),AND(E84=Støtteark!$U$6,O84=Støtteark!$B$29)),1,"")</f>
        <v>1</v>
      </c>
      <c r="AF84" s="231">
        <f>IF(OR(N84 = Støtteark!$L$25,N84 = Støtteark!$L$26,N84 = Støtteark!$L$28,AND(N84 = Støtteark!$L$29,O84=Støtteark!$B$34),AND(E84=Støtteark!$U$6,O84=Støtteark!$B$30),AND(E84=Støtteark!$U$6,O84=Støtteark!$B$29)),1,"")</f>
        <v>1</v>
      </c>
      <c r="AG84" s="231">
        <f>IF(OR(N84 = Støtteark!$L$25,N84 = Støtteark!$L$26,N84 = Støtteark!$L$28,AND(N84 = Støtteark!$L$29,OR(O84=Støtteark!$B$30,O84 = Støtteark!$B$31,O84=Støtteark!$B$32,O84=Støtteark!$B$34)),AND(E84=Støtteark!$U$6,OR(O84=Støtteark!$B$29,O84=Støtteark!$B$31))),1,"")</f>
        <v>1</v>
      </c>
      <c r="AH84" s="231">
        <f>IF(OR(N84 = Støtteark!$L$25,N84 = Støtteark!$L$26,N84 = Støtteark!$L$28,AND(N84 = Støtteark!$L$29,O84=Støtteark!$B$34),AND(E84=Støtteark!$U$6,OR(O84=Støtteark!$B$29,O84=Støtteark!$B$30))),1,"")</f>
        <v>1</v>
      </c>
      <c r="AI84" s="231">
        <f>IF(OR(N84 = Støtteark!$L$25,N84 = Støtteark!$L$26,N84 = Støtteark!$L$28,AND(N84 = Støtteark!$L$29,OR(O84=Støtteark!$B$34,O84 = Støtteark!$B$30)),AND(E84=Støtteark!$U$6,OR(O84=Støtteark!$B$29,O84=Støtteark!$B$30))),1,"")</f>
        <v>1</v>
      </c>
      <c r="AJ84" s="231" t="str">
        <f>IF(OR(AND(E84&lt;&gt;Støtteark!$U$6,N84 = Støtteark!$L$25),N84 = Støtteark!$L$26,N84 = Støtteark!$L$28,AND(N84 = Støtteark!$L$29,OR(O84=Støtteark!$B$34,O84=Støtteark!$B$35),O84&lt;&gt;Støtteark!$B$30)),1,"")</f>
        <v/>
      </c>
      <c r="AK84" s="231" t="str">
        <f>IF(OR(AND(E84&lt;&gt;Støtteark!$U$6,N84 = Støtteark!$L$25),N84 = Støtteark!$L$26,N84 = Støtteark!$L$28,AND(N84 = Støtteark!$L$29,E84&lt;&gt;Støtteark!$U$6,OR(O84=Støtteark!$B$34,O84 = Støtteark!$B$30))),1,"")</f>
        <v/>
      </c>
      <c r="AL84" s="231" t="str">
        <f>IF(OR(AND(E84&lt;&gt;Støtteark!$U$6,N84 = Støtteark!$L$25),N84 = Støtteark!$L$26,N84 = Støtteark!$L$28,AND(N84 = Støtteark!$L$29,O84=Støtteark!$B$34)),1,"")</f>
        <v/>
      </c>
      <c r="AM84" s="231" t="str">
        <f>IF(AND(N84 = Støtteark!$L$29,OR(O84=Støtteark!$B$30,O84=Støtteark!$B$32,O84=Støtteark!$B$33,O84=Støtteark!$B$34,O84=Støtteark!$B$35)),Støtteark!$L$32,"")</f>
        <v/>
      </c>
      <c r="AN84" s="235"/>
      <c r="AO84" s="91"/>
      <c r="AP84" s="170">
        <v>0</v>
      </c>
      <c r="AQ84" s="235"/>
      <c r="AR84" s="218">
        <f t="shared" ca="1" si="67"/>
        <v>44022</v>
      </c>
    </row>
    <row r="85" spans="1:44" ht="25.5" hidden="1" x14ac:dyDescent="0.25">
      <c r="A85" s="225" t="str">
        <f t="shared" si="63"/>
        <v>Kundenr.-Ejendom</v>
      </c>
      <c r="B85" s="61" t="str">
        <f>Ydelser!A85&amp; " - " &amp;Ydelser!C85</f>
        <v>510 - Vanding</v>
      </c>
      <c r="C85" s="61" t="str">
        <f>Ydelser!D85</f>
        <v/>
      </c>
      <c r="D85" s="248" t="b">
        <v>0</v>
      </c>
      <c r="E85" s="156" t="str">
        <f>'FS Aftale'!E85</f>
        <v>1/4-30/9</v>
      </c>
      <c r="F85" s="214" t="str">
        <f t="shared" si="64"/>
        <v>Team Ansvarlig</v>
      </c>
      <c r="G85" s="214" t="str">
        <f t="shared" si="64"/>
        <v>Ansvarlig</v>
      </c>
      <c r="H85" s="214" t="str">
        <f t="shared" si="64"/>
        <v>Servicemedarb.</v>
      </c>
      <c r="I85" s="235"/>
      <c r="J85" s="214" t="str">
        <f t="shared" si="65"/>
        <v>Fast</v>
      </c>
      <c r="K85" s="214" t="str">
        <f t="shared" si="65"/>
        <v>FS aftale</v>
      </c>
      <c r="L85" s="216">
        <f t="shared" si="65"/>
        <v>1</v>
      </c>
      <c r="M85" s="215" t="str">
        <f t="shared" si="65"/>
        <v>Mangler planlægning</v>
      </c>
      <c r="N85" s="147" t="str">
        <f>IFERROR(VLOOKUP(O85,Støtteark!$B$21:$F$35,MATCH(E85,Støtteark!$B$21:$F$21,0),0),Støtteark!$L$35)</f>
        <v>Hver 3. uge (1, 4, 7 ...)</v>
      </c>
      <c r="O85" s="62">
        <f>'FS Aftale'!F85</f>
        <v>9</v>
      </c>
      <c r="P85" s="217" t="str">
        <f t="shared" si="66"/>
        <v>7:00</v>
      </c>
      <c r="Q85" s="124">
        <f>'FS Aftale'!G85*Støtteark!$Q$15</f>
        <v>60</v>
      </c>
      <c r="R85" s="235"/>
      <c r="S85" s="231">
        <f>IF(OR(AND(OR(N85 = Støtteark!$L$25,N85 = Støtteark!$L$26,N85 = Støtteark!$L$28),E85&lt;&gt;Støtteark!$U$6,OR(O85=Støtteark!$B$22,O85=Støtteark!$B$23,O85=Støtteark!$B$24,O85=Støtteark!$B$25,O85=Støtteark!$B$26,O85=Støtteark!$B$27,O85=Støtteark!$B$28)),AND(E85=Støtteark!$U$6,OR(O85=Støtteark!$B$24,O85=Støtteark!$B$27,O85=Støtteark!$B$29))),1,"")</f>
        <v>1</v>
      </c>
      <c r="T85" s="232" t="str">
        <f>IF(OR(AND(N85 = Støtteark!$L$25,E85&lt;&gt;Støtteark!$U$6,O85=Støtteark!$B$22),AND(E85=Støtteark!$U$6,O85=Støtteark!$B$24),O85=Støtteark!$B$22),1,"")</f>
        <v/>
      </c>
      <c r="U85" s="232" t="str">
        <f>IF(OR(AND(N85 = Støtteark!$L$25,E85&lt;&gt;Støtteark!$U$6,OR(O85=Støtteark!$B$22,O85=Støtteark!$B$23,O85=Støtteark!$B$24)),AND(E85=Støtteark!$U$6,OR(O85=Støtteark!$B$22,O85=Støtteark!$B$24))),1,"")</f>
        <v/>
      </c>
      <c r="V85" s="232" t="str">
        <f>IF(OR(AND(N85 = Støtteark!$L$25,E85&lt;&gt;Støtteark!$U$6,O85=Støtteark!$B$22),AND(E85=Støtteark!$U$6,OR(O85=Støtteark!$B$22,O85=Støtteark!$B$24))),1,"")</f>
        <v/>
      </c>
      <c r="W85" s="232" t="str">
        <f>IF(OR(AND(N85 = Støtteark!$L$25,E85&lt;&gt;Støtteark!$U$6,OR(O85=Støtteark!$B$22,O85=Støtteark!$B$23,O85=Støtteark!$B$24,O85=Støtteark!$B$25)),AND(E85=Støtteark!$U$6,OR(O85=Støtteark!$B$22,O85=Støtteark!$B$24))),1,"")</f>
        <v/>
      </c>
      <c r="X85" s="231"/>
      <c r="Y85" s="231"/>
      <c r="Z85" s="235"/>
      <c r="AA85" s="231" t="str">
        <f>IF(OR(AND(E85&lt;&gt;Støtteark!$U$6,N85 = Støtteark!$L$25),N85 = Støtteark!$L$26,N85 = Støtteark!$L$28,AND(N85 = Støtteark!$L$29,E85&lt;&gt;Støtteark!$U$6,OR(O85=Støtteark!$B$30,O85=Støtteark!$B$32,O85=Støtteark!$B$33,AND(E85&lt;&gt;Støtteark!$U$6,O85=Støtteark!$B$34),O85=Støtteark!$B$35))),1,"")</f>
        <v/>
      </c>
      <c r="AB85" s="231" t="str">
        <f>IF(OR(AND(E85&lt;&gt;Støtteark!$U$6,N85 = Støtteark!$L$25),N85 = Støtteark!$L$26,N85 = Støtteark!$L$28,AND(N85 = Støtteark!$L$29,O85=Støtteark!$B$34)),1,"")</f>
        <v/>
      </c>
      <c r="AC85" s="231" t="str">
        <f>IF(OR(AND(E85&lt;&gt;Støtteark!$U$6,N85 = Støtteark!$L$25),N85 = Støtteark!$L$26,N85 = Støtteark!$L$28,AND(N85 = Støtteark!$L$29,E85&lt;&gt;Støtteark!$U$6,OR(O85=Støtteark!$B$30,O85 = Støtteark!$B$34))),1,"")</f>
        <v/>
      </c>
      <c r="AD85" s="232">
        <f>IF(OR(N85 = Støtteark!$L$25,N85 = Støtteark!$L$26,N85 = Støtteark!$L$28,AND(N85 = Støtteark!$L$29,OR(O85=Støtteark!$B$34,O85=Støtteark!$B$35)),AND(E85=Støtteark!$U$6,OR(O85=Støtteark!$B$29,O85=Støtteark!$B$30,O85=Støtteark!$B$32,O85=Støtteark!$B$33))),1,"")</f>
        <v>1</v>
      </c>
      <c r="AE85" s="231">
        <f>IF(OR(N85 = Støtteark!$L$25,N85 = Støtteark!$L$26,N85 = Støtteark!$L$28,AND(N85 = Støtteark!$L$29,OR(O85=Støtteark!$B$34,O85 = Støtteark!$B$30)),AND(E85=Støtteark!$U$6,O85=Støtteark!$B$29)),1,"")</f>
        <v>1</v>
      </c>
      <c r="AF85" s="231">
        <f>IF(OR(N85 = Støtteark!$L$25,N85 = Støtteark!$L$26,N85 = Støtteark!$L$28,AND(N85 = Støtteark!$L$29,O85=Støtteark!$B$34),AND(E85=Støtteark!$U$6,O85=Støtteark!$B$30),AND(E85=Støtteark!$U$6,O85=Støtteark!$B$29)),1,"")</f>
        <v>1</v>
      </c>
      <c r="AG85" s="231">
        <f>IF(OR(N85 = Støtteark!$L$25,N85 = Støtteark!$L$26,N85 = Støtteark!$L$28,AND(N85 = Støtteark!$L$29,OR(O85=Støtteark!$B$30,O85 = Støtteark!$B$31,O85=Støtteark!$B$32,O85=Støtteark!$B$34)),AND(E85=Støtteark!$U$6,OR(O85=Støtteark!$B$29,O85=Støtteark!$B$31))),1,"")</f>
        <v>1</v>
      </c>
      <c r="AH85" s="231">
        <f>IF(OR(N85 = Støtteark!$L$25,N85 = Støtteark!$L$26,N85 = Støtteark!$L$28,AND(N85 = Støtteark!$L$29,O85=Støtteark!$B$34),AND(E85=Støtteark!$U$6,OR(O85=Støtteark!$B$29,O85=Støtteark!$B$30))),1,"")</f>
        <v>1</v>
      </c>
      <c r="AI85" s="231">
        <f>IF(OR(N85 = Støtteark!$L$25,N85 = Støtteark!$L$26,N85 = Støtteark!$L$28,AND(N85 = Støtteark!$L$29,OR(O85=Støtteark!$B$34,O85 = Støtteark!$B$30)),AND(E85=Støtteark!$U$6,OR(O85=Støtteark!$B$29,O85=Støtteark!$B$30))),1,"")</f>
        <v>1</v>
      </c>
      <c r="AJ85" s="231" t="str">
        <f>IF(OR(AND(E85&lt;&gt;Støtteark!$U$6,N85 = Støtteark!$L$25),N85 = Støtteark!$L$26,N85 = Støtteark!$L$28,AND(N85 = Støtteark!$L$29,OR(O85=Støtteark!$B$34,O85=Støtteark!$B$35),O85&lt;&gt;Støtteark!$B$30)),1,"")</f>
        <v/>
      </c>
      <c r="AK85" s="231" t="str">
        <f>IF(OR(AND(E85&lt;&gt;Støtteark!$U$6,N85 = Støtteark!$L$25),N85 = Støtteark!$L$26,N85 = Støtteark!$L$28,AND(N85 = Støtteark!$L$29,E85&lt;&gt;Støtteark!$U$6,OR(O85=Støtteark!$B$34,O85 = Støtteark!$B$30))),1,"")</f>
        <v/>
      </c>
      <c r="AL85" s="231" t="str">
        <f>IF(OR(AND(E85&lt;&gt;Støtteark!$U$6,N85 = Støtteark!$L$25),N85 = Støtteark!$L$26,N85 = Støtteark!$L$28,AND(N85 = Støtteark!$L$29,O85=Støtteark!$B$34)),1,"")</f>
        <v/>
      </c>
      <c r="AM85" s="231" t="str">
        <f>IF(AND(N85 = Støtteark!$L$29,OR(O85=Støtteark!$B$30,O85=Støtteark!$B$32,O85=Støtteark!$B$33,O85=Støtteark!$B$34,O85=Støtteark!$B$35)),Støtteark!$L$32,"")</f>
        <v/>
      </c>
      <c r="AN85" s="235"/>
      <c r="AO85" s="91"/>
      <c r="AP85" s="170">
        <v>0</v>
      </c>
      <c r="AQ85" s="235"/>
      <c r="AR85" s="218">
        <f t="shared" ca="1" si="67"/>
        <v>44022</v>
      </c>
    </row>
    <row r="86" spans="1:44" ht="25.5" hidden="1" x14ac:dyDescent="0.25">
      <c r="A86" s="225" t="str">
        <f t="shared" si="63"/>
        <v>Kundenr.-Ejendom</v>
      </c>
      <c r="B86" s="61" t="str">
        <f>Ydelser!A86&amp; " - " &amp;Ydelser!C86</f>
        <v>511 - Planter og stauder</v>
      </c>
      <c r="C86" s="61" t="str">
        <f>Ydelser!D86</f>
        <v>Beskæring af planter, stauder, roser og lign. i op til 2 meters højde inkl. bortskaffelse.</v>
      </c>
      <c r="D86" s="248" t="b">
        <f>'FS Aftale'!D86</f>
        <v>0</v>
      </c>
      <c r="E86" s="156" t="str">
        <f>'FS Aftale'!E86</f>
        <v>1/4-30/9</v>
      </c>
      <c r="F86" s="214" t="str">
        <f t="shared" si="64"/>
        <v>Team Ansvarlig</v>
      </c>
      <c r="G86" s="214" t="str">
        <f t="shared" si="64"/>
        <v>Ansvarlig</v>
      </c>
      <c r="H86" s="214" t="str">
        <f t="shared" si="64"/>
        <v>Servicemedarb.</v>
      </c>
      <c r="I86" s="235"/>
      <c r="J86" s="214" t="str">
        <f t="shared" si="65"/>
        <v>Fast</v>
      </c>
      <c r="K86" s="214" t="str">
        <f t="shared" si="65"/>
        <v>FS aftale</v>
      </c>
      <c r="L86" s="216">
        <f t="shared" si="65"/>
        <v>1</v>
      </c>
      <c r="M86" s="215" t="str">
        <f t="shared" si="65"/>
        <v>Mangler planlægning</v>
      </c>
      <c r="N86" s="147" t="str">
        <f>IFERROR(VLOOKUP(O86,Støtteark!$B$21:$F$35,MATCH(E86,Støtteark!$B$21:$F$21,0),0),Støtteark!$L$35)</f>
        <v>Hver 3. uge (1, 4, 7 ...)</v>
      </c>
      <c r="O86" s="62">
        <f>'FS Aftale'!F86</f>
        <v>9</v>
      </c>
      <c r="P86" s="217" t="str">
        <f t="shared" si="66"/>
        <v>7:00</v>
      </c>
      <c r="Q86" s="124">
        <f>'FS Aftale'!G86*Støtteark!$Q$15</f>
        <v>60</v>
      </c>
      <c r="R86" s="235"/>
      <c r="S86" s="231">
        <f>IF(OR(AND(OR(N86 = Støtteark!$L$25,N86 = Støtteark!$L$26,N86 = Støtteark!$L$28),E86&lt;&gt;Støtteark!$U$6,OR(O86=Støtteark!$B$22,O86=Støtteark!$B$23,O86=Støtteark!$B$24,O86=Støtteark!$B$25,O86=Støtteark!$B$26,O86=Støtteark!$B$27,O86=Støtteark!$B$28)),AND(E86=Støtteark!$U$6,OR(O86=Støtteark!$B$24,O86=Støtteark!$B$27,O86=Støtteark!$B$29))),1,"")</f>
        <v>1</v>
      </c>
      <c r="T86" s="232" t="str">
        <f>IF(OR(AND(N86 = Støtteark!$L$25,E86&lt;&gt;Støtteark!$U$6,O86=Støtteark!$B$22),AND(E86=Støtteark!$U$6,O86=Støtteark!$B$24),O86=Støtteark!$B$22),1,"")</f>
        <v/>
      </c>
      <c r="U86" s="232" t="str">
        <f>IF(OR(AND(N86 = Støtteark!$L$25,E86&lt;&gt;Støtteark!$U$6,OR(O86=Støtteark!$B$22,O86=Støtteark!$B$23,O86=Støtteark!$B$24)),AND(E86=Støtteark!$U$6,OR(O86=Støtteark!$B$22,O86=Støtteark!$B$24))),1,"")</f>
        <v/>
      </c>
      <c r="V86" s="232" t="str">
        <f>IF(OR(AND(N86 = Støtteark!$L$25,E86&lt;&gt;Støtteark!$U$6,O86=Støtteark!$B$22),AND(E86=Støtteark!$U$6,OR(O86=Støtteark!$B$22,O86=Støtteark!$B$24))),1,"")</f>
        <v/>
      </c>
      <c r="W86" s="232" t="str">
        <f>IF(OR(AND(N86 = Støtteark!$L$25,E86&lt;&gt;Støtteark!$U$6,OR(O86=Støtteark!$B$22,O86=Støtteark!$B$23,O86=Støtteark!$B$24,O86=Støtteark!$B$25)),AND(E86=Støtteark!$U$6,OR(O86=Støtteark!$B$22,O86=Støtteark!$B$24))),1,"")</f>
        <v/>
      </c>
      <c r="X86" s="231"/>
      <c r="Y86" s="231"/>
      <c r="Z86" s="235"/>
      <c r="AA86" s="231" t="str">
        <f>IF(OR(AND(E86&lt;&gt;Støtteark!$U$6,N86 = Støtteark!$L$25),N86 = Støtteark!$L$26,N86 = Støtteark!$L$28,AND(N86 = Støtteark!$L$29,E86&lt;&gt;Støtteark!$U$6,OR(O86=Støtteark!$B$30,O86=Støtteark!$B$32,O86=Støtteark!$B$33,AND(E86&lt;&gt;Støtteark!$U$6,O86=Støtteark!$B$34),O86=Støtteark!$B$35))),1,"")</f>
        <v/>
      </c>
      <c r="AB86" s="231" t="str">
        <f>IF(OR(AND(E86&lt;&gt;Støtteark!$U$6,N86 = Støtteark!$L$25),N86 = Støtteark!$L$26,N86 = Støtteark!$L$28,AND(N86 = Støtteark!$L$29,O86=Støtteark!$B$34)),1,"")</f>
        <v/>
      </c>
      <c r="AC86" s="231" t="str">
        <f>IF(OR(AND(E86&lt;&gt;Støtteark!$U$6,N86 = Støtteark!$L$25),N86 = Støtteark!$L$26,N86 = Støtteark!$L$28,AND(N86 = Støtteark!$L$29,E86&lt;&gt;Støtteark!$U$6,OR(O86=Støtteark!$B$30,O86 = Støtteark!$B$34))),1,"")</f>
        <v/>
      </c>
      <c r="AD86" s="232">
        <f>IF(OR(N86 = Støtteark!$L$25,N86 = Støtteark!$L$26,N86 = Støtteark!$L$28,AND(N86 = Støtteark!$L$29,OR(O86=Støtteark!$B$34,O86=Støtteark!$B$35)),AND(E86=Støtteark!$U$6,OR(O86=Støtteark!$B$29,O86=Støtteark!$B$30,O86=Støtteark!$B$32,O86=Støtteark!$B$33))),1,"")</f>
        <v>1</v>
      </c>
      <c r="AE86" s="231">
        <f>IF(OR(N86 = Støtteark!$L$25,N86 = Støtteark!$L$26,N86 = Støtteark!$L$28,AND(N86 = Støtteark!$L$29,OR(O86=Støtteark!$B$34,O86 = Støtteark!$B$30)),AND(E86=Støtteark!$U$6,O86=Støtteark!$B$29)),1,"")</f>
        <v>1</v>
      </c>
      <c r="AF86" s="231">
        <f>IF(OR(N86 = Støtteark!$L$25,N86 = Støtteark!$L$26,N86 = Støtteark!$L$28,AND(N86 = Støtteark!$L$29,O86=Støtteark!$B$34),AND(E86=Støtteark!$U$6,O86=Støtteark!$B$30),AND(E86=Støtteark!$U$6,O86=Støtteark!$B$29)),1,"")</f>
        <v>1</v>
      </c>
      <c r="AG86" s="231">
        <f>IF(OR(N86 = Støtteark!$L$25,N86 = Støtteark!$L$26,N86 = Støtteark!$L$28,AND(N86 = Støtteark!$L$29,OR(O86=Støtteark!$B$30,O86 = Støtteark!$B$31,O86=Støtteark!$B$32,O86=Støtteark!$B$34)),AND(E86=Støtteark!$U$6,OR(O86=Støtteark!$B$29,O86=Støtteark!$B$31))),1,"")</f>
        <v>1</v>
      </c>
      <c r="AH86" s="231">
        <f>IF(OR(N86 = Støtteark!$L$25,N86 = Støtteark!$L$26,N86 = Støtteark!$L$28,AND(N86 = Støtteark!$L$29,O86=Støtteark!$B$34),AND(E86=Støtteark!$U$6,OR(O86=Støtteark!$B$29,O86=Støtteark!$B$30))),1,"")</f>
        <v>1</v>
      </c>
      <c r="AI86" s="231">
        <f>IF(OR(N86 = Støtteark!$L$25,N86 = Støtteark!$L$26,N86 = Støtteark!$L$28,AND(N86 = Støtteark!$L$29,OR(O86=Støtteark!$B$34,O86 = Støtteark!$B$30)),AND(E86=Støtteark!$U$6,OR(O86=Støtteark!$B$29,O86=Støtteark!$B$30))),1,"")</f>
        <v>1</v>
      </c>
      <c r="AJ86" s="231" t="str">
        <f>IF(OR(AND(E86&lt;&gt;Støtteark!$U$6,N86 = Støtteark!$L$25),N86 = Støtteark!$L$26,N86 = Støtteark!$L$28,AND(N86 = Støtteark!$L$29,OR(O86=Støtteark!$B$34,O86=Støtteark!$B$35),O86&lt;&gt;Støtteark!$B$30)),1,"")</f>
        <v/>
      </c>
      <c r="AK86" s="231" t="str">
        <f>IF(OR(AND(E86&lt;&gt;Støtteark!$U$6,N86 = Støtteark!$L$25),N86 = Støtteark!$L$26,N86 = Støtteark!$L$28,AND(N86 = Støtteark!$L$29,E86&lt;&gt;Støtteark!$U$6,OR(O86=Støtteark!$B$34,O86 = Støtteark!$B$30))),1,"")</f>
        <v/>
      </c>
      <c r="AL86" s="231" t="str">
        <f>IF(OR(AND(E86&lt;&gt;Støtteark!$U$6,N86 = Støtteark!$L$25),N86 = Støtteark!$L$26,N86 = Støtteark!$L$28,AND(N86 = Støtteark!$L$29,O86=Støtteark!$B$34)),1,"")</f>
        <v/>
      </c>
      <c r="AM86" s="231" t="str">
        <f>IF(AND(N86 = Støtteark!$L$29,OR(O86=Støtteark!$B$30,O86=Støtteark!$B$32,O86=Støtteark!$B$33,O86=Støtteark!$B$34,O86=Støtteark!$B$35)),Støtteark!$L$32,"")</f>
        <v/>
      </c>
      <c r="AN86" s="235"/>
      <c r="AO86" s="91"/>
      <c r="AP86" s="170">
        <v>0</v>
      </c>
      <c r="AQ86" s="235"/>
      <c r="AR86" s="218">
        <f t="shared" ca="1" si="67"/>
        <v>44022</v>
      </c>
    </row>
    <row r="87" spans="1:44" hidden="1" x14ac:dyDescent="0.25">
      <c r="A87" s="224"/>
      <c r="B87" s="78"/>
      <c r="C87" s="78"/>
      <c r="D87" s="79"/>
      <c r="E87" s="79"/>
      <c r="F87" s="79"/>
      <c r="G87" s="78"/>
      <c r="H87" s="78"/>
      <c r="I87" s="237"/>
      <c r="J87" s="78"/>
      <c r="K87" s="78"/>
      <c r="L87" s="191"/>
      <c r="M87" s="160"/>
      <c r="N87" s="160"/>
      <c r="O87" s="160"/>
      <c r="P87" s="144"/>
      <c r="Q87" s="160"/>
      <c r="R87" s="237"/>
      <c r="S87" s="244"/>
      <c r="T87" s="244"/>
      <c r="U87" s="244"/>
      <c r="V87" s="244"/>
      <c r="W87" s="244"/>
      <c r="X87" s="244"/>
      <c r="Y87" s="244"/>
      <c r="Z87" s="237"/>
      <c r="AA87" s="244"/>
      <c r="AB87" s="244"/>
      <c r="AC87" s="244"/>
      <c r="AD87" s="244"/>
      <c r="AE87" s="244"/>
      <c r="AF87" s="244"/>
      <c r="AG87" s="244"/>
      <c r="AH87" s="244"/>
      <c r="AI87" s="244"/>
      <c r="AJ87" s="244"/>
      <c r="AK87" s="244"/>
      <c r="AL87" s="244"/>
      <c r="AM87" s="244"/>
      <c r="AN87" s="237"/>
      <c r="AO87" s="143"/>
      <c r="AP87" s="173"/>
      <c r="AQ87" s="237"/>
      <c r="AR87" s="144"/>
    </row>
    <row r="88" spans="1:44" ht="25.5" hidden="1" x14ac:dyDescent="0.25">
      <c r="A88" s="225" t="str">
        <f>A86</f>
        <v>Kundenr.-Ejendom</v>
      </c>
      <c r="B88" s="61" t="str">
        <f>Ydelser!A88&amp; " - " &amp;Ydelser!C88</f>
        <v>513 - Græsslåning</v>
      </c>
      <c r="C88" s="61" t="str">
        <f>Ydelser!D88</f>
        <v>Frekvent slåning af græsarealer (i vækstperioden 26-28 gange).</v>
      </c>
      <c r="D88" s="248" t="b">
        <f>'FS Aftale'!D88</f>
        <v>0</v>
      </c>
      <c r="E88" s="156" t="str">
        <f>'FS Aftale'!E88</f>
        <v>1/4-30/9</v>
      </c>
      <c r="F88" s="214" t="str">
        <f t="shared" ref="F88:G88" si="68">F85</f>
        <v>Team Ansvarlig</v>
      </c>
      <c r="G88" s="214" t="str">
        <f t="shared" si="68"/>
        <v>Ansvarlig</v>
      </c>
      <c r="H88" s="214" t="str">
        <f>H85</f>
        <v>Servicemedarb.</v>
      </c>
      <c r="I88" s="235"/>
      <c r="J88" s="214" t="str">
        <f t="shared" ref="J88:K88" si="69">J85</f>
        <v>Fast</v>
      </c>
      <c r="K88" s="214" t="str">
        <f t="shared" si="69"/>
        <v>FS aftale</v>
      </c>
      <c r="L88" s="216">
        <f t="shared" ref="L88:M88" si="70">L86</f>
        <v>1</v>
      </c>
      <c r="M88" s="215" t="str">
        <f t="shared" si="70"/>
        <v>Mangler planlægning</v>
      </c>
      <c r="N88" s="147" t="str">
        <f>IFERROR(VLOOKUP(O88,Støtteark!$B$21:$F$35,MATCH(E88,Støtteark!$B$21:$F$21,0),0),Støtteark!$L$35)</f>
        <v>Ugentligt</v>
      </c>
      <c r="O88" s="62">
        <f>'FS Aftale'!F88</f>
        <v>26</v>
      </c>
      <c r="P88" s="217" t="str">
        <f>P86</f>
        <v>7:00</v>
      </c>
      <c r="Q88" s="124">
        <f>'FS Aftale'!G88*Støtteark!$Q$15</f>
        <v>60</v>
      </c>
      <c r="R88" s="235"/>
      <c r="S88" s="231">
        <f>IF(OR(AND(OR(N88 = Støtteark!$L$25,N88 = Støtteark!$L$26,N88 = Støtteark!$L$28),E88&lt;&gt;Støtteark!$U$6,OR(O88=Støtteark!$B$22,O88=Støtteark!$B$23,O88=Støtteark!$B$24,O88=Støtteark!$B$25,O88=Støtteark!$B$26,O88=Støtteark!$B$27,O88=Støtteark!$B$28)),AND(E88=Støtteark!$U$6,OR(O88=Støtteark!$B$24,O88=Støtteark!$B$27,O88=Støtteark!$B$29))),1,"")</f>
        <v>1</v>
      </c>
      <c r="T88" s="232" t="str">
        <f>IF(OR(AND(N88 = Støtteark!$L$25,E88&lt;&gt;Støtteark!$U$6,O88=Støtteark!$B$22),AND(E88=Støtteark!$U$6,O88=Støtteark!$B$24),O88=Støtteark!$B$22),1,"")</f>
        <v/>
      </c>
      <c r="U88" s="232" t="str">
        <f>IF(OR(AND(N88 = Støtteark!$L$25,E88&lt;&gt;Støtteark!$U$6,OR(O88=Støtteark!$B$22,O88=Støtteark!$B$23,O88=Støtteark!$B$24)),AND(E88=Støtteark!$U$6,OR(O88=Støtteark!$B$22,O88=Støtteark!$B$24))),1,"")</f>
        <v/>
      </c>
      <c r="V88" s="232" t="str">
        <f>IF(OR(AND(N88 = Støtteark!$L$25,E88&lt;&gt;Støtteark!$U$6,O88=Støtteark!$B$22),AND(E88=Støtteark!$U$6,OR(O88=Støtteark!$B$22,O88=Støtteark!$B$24))),1,"")</f>
        <v/>
      </c>
      <c r="W88" s="232" t="str">
        <f>IF(OR(AND(N88 = Støtteark!$L$25,E88&lt;&gt;Støtteark!$U$6,OR(O88=Støtteark!$B$22,O88=Støtteark!$B$23,O88=Støtteark!$B$24,O88=Støtteark!$B$25)),AND(E88=Støtteark!$U$6,OR(O88=Støtteark!$B$22,O88=Støtteark!$B$24))),1,"")</f>
        <v/>
      </c>
      <c r="X88" s="231"/>
      <c r="Y88" s="231"/>
      <c r="Z88" s="235"/>
      <c r="AA88" s="231" t="str">
        <f>IF(OR(AND(E88&lt;&gt;Støtteark!$U$6,N88 = Støtteark!$L$25),N88 = Støtteark!$L$26,N88 = Støtteark!$L$28,AND(N88 = Støtteark!$L$29,E88&lt;&gt;Støtteark!$U$6,OR(O88=Støtteark!$B$30,O88=Støtteark!$B$32,O88=Støtteark!$B$33,AND(E88&lt;&gt;Støtteark!$U$6,O88=Støtteark!$B$34),O88=Støtteark!$B$35))),1,"")</f>
        <v/>
      </c>
      <c r="AB88" s="231" t="str">
        <f>IF(OR(AND(E88&lt;&gt;Støtteark!$U$6,N88 = Støtteark!$L$25),N88 = Støtteark!$L$26,N88 = Støtteark!$L$28,AND(N88 = Støtteark!$L$29,O88=Støtteark!$B$34)),1,"")</f>
        <v/>
      </c>
      <c r="AC88" s="231" t="str">
        <f>IF(OR(AND(E88&lt;&gt;Støtteark!$U$6,N88 = Støtteark!$L$25),N88 = Støtteark!$L$26,N88 = Støtteark!$L$28,AND(N88 = Støtteark!$L$29,E88&lt;&gt;Støtteark!$U$6,OR(O88=Støtteark!$B$30,O88 = Støtteark!$B$34))),1,"")</f>
        <v/>
      </c>
      <c r="AD88" s="232">
        <f>IF(OR(N88 = Støtteark!$L$25,N88 = Støtteark!$L$26,N88 = Støtteark!$L$28,AND(N88 = Støtteark!$L$29,OR(O88=Støtteark!$B$34,O88=Støtteark!$B$35)),AND(E88=Støtteark!$U$6,OR(O88=Støtteark!$B$29,O88=Støtteark!$B$30,O88=Støtteark!$B$32,O88=Støtteark!$B$33))),1,"")</f>
        <v>1</v>
      </c>
      <c r="AE88" s="231">
        <f>IF(OR(N88 = Støtteark!$L$25,N88 = Støtteark!$L$26,N88 = Støtteark!$L$28,AND(N88 = Støtteark!$L$29,OR(O88=Støtteark!$B$34,O88 = Støtteark!$B$30)),AND(E88=Støtteark!$U$6,O88=Støtteark!$B$29)),1,"")</f>
        <v>1</v>
      </c>
      <c r="AF88" s="231">
        <f>IF(OR(N88 = Støtteark!$L$25,N88 = Støtteark!$L$26,N88 = Støtteark!$L$28,AND(N88 = Støtteark!$L$29,O88=Støtteark!$B$34),AND(E88=Støtteark!$U$6,O88=Støtteark!$B$30),AND(E88=Støtteark!$U$6,O88=Støtteark!$B$29)),1,"")</f>
        <v>1</v>
      </c>
      <c r="AG88" s="231">
        <f>IF(OR(N88 = Støtteark!$L$25,N88 = Støtteark!$L$26,N88 = Støtteark!$L$28,AND(N88 = Støtteark!$L$29,OR(O88=Støtteark!$B$30,O88 = Støtteark!$B$31,O88=Støtteark!$B$32,O88=Støtteark!$B$34)),AND(E88=Støtteark!$U$6,OR(O88=Støtteark!$B$29,O88=Støtteark!$B$31))),1,"")</f>
        <v>1</v>
      </c>
      <c r="AH88" s="231">
        <f>IF(OR(N88 = Støtteark!$L$25,N88 = Støtteark!$L$26,N88 = Støtteark!$L$28,AND(N88 = Støtteark!$L$29,O88=Støtteark!$B$34),AND(E88=Støtteark!$U$6,OR(O88=Støtteark!$B$29,O88=Støtteark!$B$30))),1,"")</f>
        <v>1</v>
      </c>
      <c r="AI88" s="231">
        <f>IF(OR(N88 = Støtteark!$L$25,N88 = Støtteark!$L$26,N88 = Støtteark!$L$28,AND(N88 = Støtteark!$L$29,OR(O88=Støtteark!$B$34,O88 = Støtteark!$B$30)),AND(E88=Støtteark!$U$6,OR(O88=Støtteark!$B$29,O88=Støtteark!$B$30))),1,"")</f>
        <v>1</v>
      </c>
      <c r="AJ88" s="231" t="str">
        <f>IF(OR(AND(E88&lt;&gt;Støtteark!$U$6,N88 = Støtteark!$L$25),N88 = Støtteark!$L$26,N88 = Støtteark!$L$28,AND(N88 = Støtteark!$L$29,OR(O88=Støtteark!$B$34,O88=Støtteark!$B$35),O88&lt;&gt;Støtteark!$B$30)),1,"")</f>
        <v/>
      </c>
      <c r="AK88" s="231" t="str">
        <f>IF(OR(AND(E88&lt;&gt;Støtteark!$U$6,N88 = Støtteark!$L$25),N88 = Støtteark!$L$26,N88 = Støtteark!$L$28,AND(N88 = Støtteark!$L$29,E88&lt;&gt;Støtteark!$U$6,OR(O88=Støtteark!$B$34,O88 = Støtteark!$B$30))),1,"")</f>
        <v/>
      </c>
      <c r="AL88" s="231" t="str">
        <f>IF(OR(AND(E88&lt;&gt;Støtteark!$U$6,N88 = Støtteark!$L$25),N88 = Støtteark!$L$26,N88 = Støtteark!$L$28,AND(N88 = Støtteark!$L$29,O88=Støtteark!$B$34)),1,"")</f>
        <v/>
      </c>
      <c r="AM88" s="231" t="str">
        <f>IF(AND(N88 = Støtteark!$L$29,OR(O88=Støtteark!$B$30,O88=Støtteark!$B$32,O88=Støtteark!$B$33,O88=Støtteark!$B$34,O88=Støtteark!$B$35)),Støtteark!$L$32,"")</f>
        <v/>
      </c>
      <c r="AN88" s="235"/>
      <c r="AO88" s="91"/>
      <c r="AP88" s="170">
        <v>0</v>
      </c>
      <c r="AQ88" s="235"/>
      <c r="AR88" s="218">
        <f ca="1">AR86</f>
        <v>44022</v>
      </c>
    </row>
    <row r="89" spans="1:44" ht="25.5" hidden="1" x14ac:dyDescent="0.25">
      <c r="A89" s="225" t="str">
        <f t="shared" ref="A89:A93" si="71">A88</f>
        <v>Kundenr.-Ejendom</v>
      </c>
      <c r="B89" s="61" t="str">
        <f>Ydelser!A89&amp; " - " &amp;Ydelser!C89</f>
        <v>514 - Slåning af græskanter</v>
      </c>
      <c r="C89" s="61" t="str">
        <f>Ydelser!D89</f>
        <v>"Piskning", trimning omkring træer, kanter samt mod facade og lign. (i vækstperioden hver 3. uge).</v>
      </c>
      <c r="D89" s="248" t="b">
        <f>'FS Aftale'!D89</f>
        <v>0</v>
      </c>
      <c r="E89" s="156" t="str">
        <f>'FS Aftale'!E89</f>
        <v>1/4-30/9</v>
      </c>
      <c r="F89" s="214" t="str">
        <f t="shared" ref="F89:H93" si="72">F88</f>
        <v>Team Ansvarlig</v>
      </c>
      <c r="G89" s="214" t="str">
        <f t="shared" si="72"/>
        <v>Ansvarlig</v>
      </c>
      <c r="H89" s="214" t="str">
        <f t="shared" si="72"/>
        <v>Servicemedarb.</v>
      </c>
      <c r="I89" s="235"/>
      <c r="J89" s="214" t="str">
        <f t="shared" ref="J89:M93" si="73">J88</f>
        <v>Fast</v>
      </c>
      <c r="K89" s="214" t="str">
        <f t="shared" si="73"/>
        <v>FS aftale</v>
      </c>
      <c r="L89" s="216">
        <f t="shared" si="73"/>
        <v>1</v>
      </c>
      <c r="M89" s="215" t="str">
        <f t="shared" si="73"/>
        <v>Mangler planlægning</v>
      </c>
      <c r="N89" s="147" t="str">
        <f>IFERROR(VLOOKUP(O89,Støtteark!$B$21:$F$35,MATCH(E89,Støtteark!$B$21:$F$21,0),0),Støtteark!$L$35)</f>
        <v>Hver 3. uge (1, 4, 7 ...)</v>
      </c>
      <c r="O89" s="62">
        <f>'FS Aftale'!F89</f>
        <v>9</v>
      </c>
      <c r="P89" s="217" t="str">
        <f t="shared" ref="P89:P93" si="74">P88</f>
        <v>7:00</v>
      </c>
      <c r="Q89" s="124">
        <f>'FS Aftale'!G89*Støtteark!$Q$15</f>
        <v>60</v>
      </c>
      <c r="R89" s="235"/>
      <c r="S89" s="231">
        <f>IF(OR(AND(OR(N89 = Støtteark!$L$25,N89 = Støtteark!$L$26,N89 = Støtteark!$L$28),E89&lt;&gt;Støtteark!$U$6,OR(O89=Støtteark!$B$22,O89=Støtteark!$B$23,O89=Støtteark!$B$24,O89=Støtteark!$B$25,O89=Støtteark!$B$26,O89=Støtteark!$B$27,O89=Støtteark!$B$28)),AND(E89=Støtteark!$U$6,OR(O89=Støtteark!$B$24,O89=Støtteark!$B$27,O89=Støtteark!$B$29))),1,"")</f>
        <v>1</v>
      </c>
      <c r="T89" s="232" t="str">
        <f>IF(OR(AND(N89 = Støtteark!$L$25,E89&lt;&gt;Støtteark!$U$6,O89=Støtteark!$B$22),AND(E89=Støtteark!$U$6,O89=Støtteark!$B$24),O89=Støtteark!$B$22),1,"")</f>
        <v/>
      </c>
      <c r="U89" s="232" t="str">
        <f>IF(OR(AND(N89 = Støtteark!$L$25,E89&lt;&gt;Støtteark!$U$6,OR(O89=Støtteark!$B$22,O89=Støtteark!$B$23,O89=Støtteark!$B$24)),AND(E89=Støtteark!$U$6,OR(O89=Støtteark!$B$22,O89=Støtteark!$B$24))),1,"")</f>
        <v/>
      </c>
      <c r="V89" s="232" t="str">
        <f>IF(OR(AND(N89 = Støtteark!$L$25,E89&lt;&gt;Støtteark!$U$6,O89=Støtteark!$B$22),AND(E89=Støtteark!$U$6,OR(O89=Støtteark!$B$22,O89=Støtteark!$B$24))),1,"")</f>
        <v/>
      </c>
      <c r="W89" s="232" t="str">
        <f>IF(OR(AND(N89 = Støtteark!$L$25,E89&lt;&gt;Støtteark!$U$6,OR(O89=Støtteark!$B$22,O89=Støtteark!$B$23,O89=Støtteark!$B$24,O89=Støtteark!$B$25)),AND(E89=Støtteark!$U$6,OR(O89=Støtteark!$B$22,O89=Støtteark!$B$24))),1,"")</f>
        <v/>
      </c>
      <c r="X89" s="231"/>
      <c r="Y89" s="231"/>
      <c r="Z89" s="235"/>
      <c r="AA89" s="231" t="str">
        <f>IF(OR(AND(E89&lt;&gt;Støtteark!$U$6,N89 = Støtteark!$L$25),N89 = Støtteark!$L$26,N89 = Støtteark!$L$28,AND(N89 = Støtteark!$L$29,E89&lt;&gt;Støtteark!$U$6,OR(O89=Støtteark!$B$30,O89=Støtteark!$B$32,O89=Støtteark!$B$33,AND(E89&lt;&gt;Støtteark!$U$6,O89=Støtteark!$B$34),O89=Støtteark!$B$35))),1,"")</f>
        <v/>
      </c>
      <c r="AB89" s="231" t="str">
        <f>IF(OR(AND(E89&lt;&gt;Støtteark!$U$6,N89 = Støtteark!$L$25),N89 = Støtteark!$L$26,N89 = Støtteark!$L$28,AND(N89 = Støtteark!$L$29,O89=Støtteark!$B$34)),1,"")</f>
        <v/>
      </c>
      <c r="AC89" s="231" t="str">
        <f>IF(OR(AND(E89&lt;&gt;Støtteark!$U$6,N89 = Støtteark!$L$25),N89 = Støtteark!$L$26,N89 = Støtteark!$L$28,AND(N89 = Støtteark!$L$29,E89&lt;&gt;Støtteark!$U$6,OR(O89=Støtteark!$B$30,O89 = Støtteark!$B$34))),1,"")</f>
        <v/>
      </c>
      <c r="AD89" s="232">
        <f>IF(OR(N89 = Støtteark!$L$25,N89 = Støtteark!$L$26,N89 = Støtteark!$L$28,AND(N89 = Støtteark!$L$29,OR(O89=Støtteark!$B$34,O89=Støtteark!$B$35)),AND(E89=Støtteark!$U$6,OR(O89=Støtteark!$B$29,O89=Støtteark!$B$30,O89=Støtteark!$B$32,O89=Støtteark!$B$33))),1,"")</f>
        <v>1</v>
      </c>
      <c r="AE89" s="231">
        <f>IF(OR(N89 = Støtteark!$L$25,N89 = Støtteark!$L$26,N89 = Støtteark!$L$28,AND(N89 = Støtteark!$L$29,OR(O89=Støtteark!$B$34,O89 = Støtteark!$B$30)),AND(E89=Støtteark!$U$6,O89=Støtteark!$B$29)),1,"")</f>
        <v>1</v>
      </c>
      <c r="AF89" s="231">
        <f>IF(OR(N89 = Støtteark!$L$25,N89 = Støtteark!$L$26,N89 = Støtteark!$L$28,AND(N89 = Støtteark!$L$29,O89=Støtteark!$B$34),AND(E89=Støtteark!$U$6,O89=Støtteark!$B$30),AND(E89=Støtteark!$U$6,O89=Støtteark!$B$29)),1,"")</f>
        <v>1</v>
      </c>
      <c r="AG89" s="231">
        <f>IF(OR(N89 = Støtteark!$L$25,N89 = Støtteark!$L$26,N89 = Støtteark!$L$28,AND(N89 = Støtteark!$L$29,OR(O89=Støtteark!$B$30,O89 = Støtteark!$B$31,O89=Støtteark!$B$32,O89=Støtteark!$B$34)),AND(E89=Støtteark!$U$6,OR(O89=Støtteark!$B$29,O89=Støtteark!$B$31))),1,"")</f>
        <v>1</v>
      </c>
      <c r="AH89" s="231">
        <f>IF(OR(N89 = Støtteark!$L$25,N89 = Støtteark!$L$26,N89 = Støtteark!$L$28,AND(N89 = Støtteark!$L$29,O89=Støtteark!$B$34),AND(E89=Støtteark!$U$6,OR(O89=Støtteark!$B$29,O89=Støtteark!$B$30))),1,"")</f>
        <v>1</v>
      </c>
      <c r="AI89" s="231">
        <f>IF(OR(N89 = Støtteark!$L$25,N89 = Støtteark!$L$26,N89 = Støtteark!$L$28,AND(N89 = Støtteark!$L$29,OR(O89=Støtteark!$B$34,O89 = Støtteark!$B$30)),AND(E89=Støtteark!$U$6,OR(O89=Støtteark!$B$29,O89=Støtteark!$B$30))),1,"")</f>
        <v>1</v>
      </c>
      <c r="AJ89" s="231" t="str">
        <f>IF(OR(AND(E89&lt;&gt;Støtteark!$U$6,N89 = Støtteark!$L$25),N89 = Støtteark!$L$26,N89 = Støtteark!$L$28,AND(N89 = Støtteark!$L$29,OR(O89=Støtteark!$B$34,O89=Støtteark!$B$35),O89&lt;&gt;Støtteark!$B$30)),1,"")</f>
        <v/>
      </c>
      <c r="AK89" s="231" t="str">
        <f>IF(OR(AND(E89&lt;&gt;Støtteark!$U$6,N89 = Støtteark!$L$25),N89 = Støtteark!$L$26,N89 = Støtteark!$L$28,AND(N89 = Støtteark!$L$29,E89&lt;&gt;Støtteark!$U$6,OR(O89=Støtteark!$B$34,O89 = Støtteark!$B$30))),1,"")</f>
        <v/>
      </c>
      <c r="AL89" s="231" t="str">
        <f>IF(OR(AND(E89&lt;&gt;Støtteark!$U$6,N89 = Støtteark!$L$25),N89 = Støtteark!$L$26,N89 = Støtteark!$L$28,AND(N89 = Støtteark!$L$29,O89=Støtteark!$B$34)),1,"")</f>
        <v/>
      </c>
      <c r="AM89" s="231" t="str">
        <f>IF(AND(N89 = Støtteark!$L$29,OR(O89=Støtteark!$B$30,O89=Støtteark!$B$32,O89=Støtteark!$B$33,O89=Støtteark!$B$34,O89=Støtteark!$B$35)),Støtteark!$L$32,"")</f>
        <v/>
      </c>
      <c r="AN89" s="235"/>
      <c r="AO89" s="91"/>
      <c r="AP89" s="170">
        <v>0</v>
      </c>
      <c r="AQ89" s="235"/>
      <c r="AR89" s="218">
        <f t="shared" ref="AR89:AR93" ca="1" si="75">AR88</f>
        <v>44022</v>
      </c>
    </row>
    <row r="90" spans="1:44" ht="25.5" hidden="1" x14ac:dyDescent="0.25">
      <c r="A90" s="225" t="str">
        <f t="shared" si="71"/>
        <v>Kundenr.-Ejendom</v>
      </c>
      <c r="B90" s="61" t="str">
        <f>Ydelser!A90&amp; " - " &amp;Ydelser!C90</f>
        <v>515 - Skæring af græskanter</v>
      </c>
      <c r="C90" s="61" t="str">
        <f>Ydelser!D90</f>
        <v xml:space="preserve">Skæring og afretning af græskanter inkl. bortskaffelse. </v>
      </c>
      <c r="D90" s="248" t="b">
        <f>'FS Aftale'!D90</f>
        <v>0</v>
      </c>
      <c r="E90" s="156" t="str">
        <f>'FS Aftale'!E90</f>
        <v>1/4-30/9</v>
      </c>
      <c r="F90" s="214" t="str">
        <f t="shared" si="72"/>
        <v>Team Ansvarlig</v>
      </c>
      <c r="G90" s="214" t="str">
        <f t="shared" si="72"/>
        <v>Ansvarlig</v>
      </c>
      <c r="H90" s="214" t="str">
        <f t="shared" si="72"/>
        <v>Servicemedarb.</v>
      </c>
      <c r="I90" s="235"/>
      <c r="J90" s="214" t="str">
        <f t="shared" si="73"/>
        <v>Fast</v>
      </c>
      <c r="K90" s="214" t="str">
        <f t="shared" si="73"/>
        <v>FS aftale</v>
      </c>
      <c r="L90" s="216">
        <f t="shared" si="73"/>
        <v>1</v>
      </c>
      <c r="M90" s="215" t="str">
        <f t="shared" si="73"/>
        <v>Mangler planlægning</v>
      </c>
      <c r="N90" s="147" t="str">
        <f>IFERROR(VLOOKUP(O90,Støtteark!$B$21:$F$35,MATCH(E90,Støtteark!$B$21:$F$21,0),0),Støtteark!$L$35)</f>
        <v>Månedligt</v>
      </c>
      <c r="O90" s="62">
        <f>'FS Aftale'!F90</f>
        <v>1</v>
      </c>
      <c r="P90" s="217" t="str">
        <f t="shared" si="74"/>
        <v>7:00</v>
      </c>
      <c r="Q90" s="124">
        <f>'FS Aftale'!G90*Støtteark!$Q$15</f>
        <v>360</v>
      </c>
      <c r="R90" s="235"/>
      <c r="S90" s="231" t="str">
        <f>IF(OR(AND(OR(N90 = Støtteark!$L$25,N90 = Støtteark!$L$26,N90 = Støtteark!$L$28),E90&lt;&gt;Støtteark!$U$6,OR(O90=Støtteark!$B$22,O90=Støtteark!$B$23,O90=Støtteark!$B$24,O90=Støtteark!$B$25,O90=Støtteark!$B$26,O90=Støtteark!$B$27,O90=Støtteark!$B$28)),AND(E90=Støtteark!$U$6,OR(O90=Støtteark!$B$24,O90=Støtteark!$B$27,O90=Støtteark!$B$29))),1,"")</f>
        <v/>
      </c>
      <c r="T90" s="232" t="str">
        <f>IF(OR(AND(N90 = Støtteark!$L$25,E90&lt;&gt;Støtteark!$U$6,O90=Støtteark!$B$22),AND(E90=Støtteark!$U$6,O90=Støtteark!$B$24),O90=Støtteark!$B$22),1,"")</f>
        <v/>
      </c>
      <c r="U90" s="232" t="str">
        <f>IF(OR(AND(N90 = Støtteark!$L$25,E90&lt;&gt;Støtteark!$U$6,OR(O90=Støtteark!$B$22,O90=Støtteark!$B$23,O90=Støtteark!$B$24)),AND(E90=Støtteark!$U$6,OR(O90=Støtteark!$B$22,O90=Støtteark!$B$24))),1,"")</f>
        <v/>
      </c>
      <c r="V90" s="232" t="str">
        <f>IF(OR(AND(N90 = Støtteark!$L$25,E90&lt;&gt;Støtteark!$U$6,O90=Støtteark!$B$22),AND(E90=Støtteark!$U$6,OR(O90=Støtteark!$B$22,O90=Støtteark!$B$24))),1,"")</f>
        <v/>
      </c>
      <c r="W90" s="232" t="str">
        <f>IF(OR(AND(N90 = Støtteark!$L$25,E90&lt;&gt;Støtteark!$U$6,OR(O90=Støtteark!$B$22,O90=Støtteark!$B$23,O90=Støtteark!$B$24,O90=Støtteark!$B$25)),AND(E90=Støtteark!$U$6,OR(O90=Støtteark!$B$22,O90=Støtteark!$B$24))),1,"")</f>
        <v/>
      </c>
      <c r="X90" s="231"/>
      <c r="Y90" s="231"/>
      <c r="Z90" s="235"/>
      <c r="AA90" s="231" t="str">
        <f>IF(OR(AND(E90&lt;&gt;Støtteark!$U$6,N90 = Støtteark!$L$25),N90 = Støtteark!$L$26,N90 = Støtteark!$L$28,AND(N90 = Støtteark!$L$29,E90&lt;&gt;Støtteark!$U$6,OR(O90=Støtteark!$B$30,O90=Støtteark!$B$32,O90=Støtteark!$B$33,AND(E90&lt;&gt;Støtteark!$U$6,O90=Støtteark!$B$34),O90=Støtteark!$B$35))),1,"")</f>
        <v/>
      </c>
      <c r="AB90" s="231" t="str">
        <f>IF(OR(AND(E90&lt;&gt;Støtteark!$U$6,N90 = Støtteark!$L$25),N90 = Støtteark!$L$26,N90 = Støtteark!$L$28,AND(N90 = Støtteark!$L$29,O90=Støtteark!$B$34)),1,"")</f>
        <v/>
      </c>
      <c r="AC90" s="231" t="str">
        <f>IF(OR(AND(E90&lt;&gt;Støtteark!$U$6,N90 = Støtteark!$L$25),N90 = Støtteark!$L$26,N90 = Støtteark!$L$28,AND(N90 = Støtteark!$L$29,E90&lt;&gt;Støtteark!$U$6,OR(O90=Støtteark!$B$30,O90 = Støtteark!$B$34))),1,"")</f>
        <v/>
      </c>
      <c r="AD90" s="232">
        <f>IF(OR(N90 = Støtteark!$L$25,N90 = Støtteark!$L$26,N90 = Støtteark!$L$28,AND(N90 = Støtteark!$L$29,OR(O90=Støtteark!$B$34,O90=Støtteark!$B$35)),AND(E90=Støtteark!$U$6,OR(O90=Støtteark!$B$29,O90=Støtteark!$B$30,O90=Støtteark!$B$32,O90=Støtteark!$B$33))),1,"")</f>
        <v>1</v>
      </c>
      <c r="AE90" s="231" t="str">
        <f>IF(OR(N90 = Støtteark!$L$25,N90 = Støtteark!$L$26,N90 = Støtteark!$L$28,AND(N90 = Støtteark!$L$29,OR(O90=Støtteark!$B$34,O90 = Støtteark!$B$30)),AND(E90=Støtteark!$U$6,O90=Støtteark!$B$29)),1,"")</f>
        <v/>
      </c>
      <c r="AF90" s="231" t="str">
        <f>IF(OR(N90 = Støtteark!$L$25,N90 = Støtteark!$L$26,N90 = Støtteark!$L$28,AND(N90 = Støtteark!$L$29,O90=Støtteark!$B$34),AND(E90=Støtteark!$U$6,O90=Støtteark!$B$30),AND(E90=Støtteark!$U$6,O90=Støtteark!$B$29)),1,"")</f>
        <v/>
      </c>
      <c r="AG90" s="231" t="str">
        <f>IF(OR(N90 = Støtteark!$L$25,N90 = Støtteark!$L$26,N90 = Støtteark!$L$28,AND(N90 = Støtteark!$L$29,OR(O90=Støtteark!$B$30,O90 = Støtteark!$B$31,O90=Støtteark!$B$32,O90=Støtteark!$B$34)),AND(E90=Støtteark!$U$6,OR(O90=Støtteark!$B$29,O90=Støtteark!$B$31))),1,"")</f>
        <v/>
      </c>
      <c r="AH90" s="231" t="str">
        <f>IF(OR(N90 = Støtteark!$L$25,N90 = Støtteark!$L$26,N90 = Støtteark!$L$28,AND(N90 = Støtteark!$L$29,O90=Støtteark!$B$34),AND(E90=Støtteark!$U$6,OR(O90=Støtteark!$B$29,O90=Støtteark!$B$30))),1,"")</f>
        <v/>
      </c>
      <c r="AI90" s="231" t="str">
        <f>IF(OR(N90 = Støtteark!$L$25,N90 = Støtteark!$L$26,N90 = Støtteark!$L$28,AND(N90 = Støtteark!$L$29,OR(O90=Støtteark!$B$34,O90 = Støtteark!$B$30)),AND(E90=Støtteark!$U$6,OR(O90=Støtteark!$B$29,O90=Støtteark!$B$30))),1,"")</f>
        <v/>
      </c>
      <c r="AJ90" s="231" t="str">
        <f>IF(OR(AND(E90&lt;&gt;Støtteark!$U$6,N90 = Støtteark!$L$25),N90 = Støtteark!$L$26,N90 = Støtteark!$L$28,AND(N90 = Støtteark!$L$29,OR(O90=Støtteark!$B$34,O90=Støtteark!$B$35),O90&lt;&gt;Støtteark!$B$30)),1,"")</f>
        <v/>
      </c>
      <c r="AK90" s="231" t="str">
        <f>IF(OR(AND(E90&lt;&gt;Støtteark!$U$6,N90 = Støtteark!$L$25),N90 = Støtteark!$L$26,N90 = Støtteark!$L$28,AND(N90 = Støtteark!$L$29,E90&lt;&gt;Støtteark!$U$6,OR(O90=Støtteark!$B$34,O90 = Støtteark!$B$30))),1,"")</f>
        <v/>
      </c>
      <c r="AL90" s="231" t="str">
        <f>IF(OR(AND(E90&lt;&gt;Støtteark!$U$6,N90 = Støtteark!$L$25),N90 = Støtteark!$L$26,N90 = Støtteark!$L$28,AND(N90 = Støtteark!$L$29,O90=Støtteark!$B$34)),1,"")</f>
        <v/>
      </c>
      <c r="AM90" s="231">
        <f>IF(AND(N90 = Støtteark!$L$29,OR(O90=Støtteark!$B$30,O90=Støtteark!$B$32,O90=Støtteark!$B$33,O90=Støtteark!$B$34,O90=Støtteark!$B$35)),Støtteark!$L$32,"")</f>
        <v>801</v>
      </c>
      <c r="AN90" s="235"/>
      <c r="AO90" s="91"/>
      <c r="AP90" s="170">
        <v>0</v>
      </c>
      <c r="AQ90" s="235"/>
      <c r="AR90" s="218">
        <f t="shared" ca="1" si="75"/>
        <v>44022</v>
      </c>
    </row>
    <row r="91" spans="1:44" ht="25.5" hidden="1" x14ac:dyDescent="0.25">
      <c r="A91" s="225" t="str">
        <f t="shared" si="71"/>
        <v>Kundenr.-Ejendom</v>
      </c>
      <c r="B91" s="61" t="str">
        <f>Ydelser!A91&amp; " - " &amp;Ydelser!C91</f>
        <v>516 - Gødskning af plæner</v>
      </c>
      <c r="C91" s="61" t="str">
        <f>Ydelser!D91</f>
        <v/>
      </c>
      <c r="D91" s="248" t="b">
        <f>'FS Aftale'!D91</f>
        <v>0</v>
      </c>
      <c r="E91" s="156" t="str">
        <f>'FS Aftale'!E91</f>
        <v>1/4-30/9</v>
      </c>
      <c r="F91" s="214" t="str">
        <f t="shared" si="72"/>
        <v>Team Ansvarlig</v>
      </c>
      <c r="G91" s="214" t="str">
        <f t="shared" si="72"/>
        <v>Ansvarlig</v>
      </c>
      <c r="H91" s="214" t="str">
        <f t="shared" si="72"/>
        <v>Servicemedarb.</v>
      </c>
      <c r="I91" s="235"/>
      <c r="J91" s="214" t="str">
        <f t="shared" si="73"/>
        <v>Fast</v>
      </c>
      <c r="K91" s="214" t="str">
        <f t="shared" si="73"/>
        <v>FS aftale</v>
      </c>
      <c r="L91" s="216">
        <f t="shared" si="73"/>
        <v>1</v>
      </c>
      <c r="M91" s="215" t="str">
        <f t="shared" si="73"/>
        <v>Mangler planlægning</v>
      </c>
      <c r="N91" s="147" t="str">
        <f>IFERROR(VLOOKUP(O91,Støtteark!$B$21:$F$35,MATCH(E91,Støtteark!$B$21:$F$21,0),0),Støtteark!$L$35)</f>
        <v>Hver 3. uge (1, 4, 7 ...)</v>
      </c>
      <c r="O91" s="62">
        <f>'FS Aftale'!F91</f>
        <v>9</v>
      </c>
      <c r="P91" s="217" t="str">
        <f t="shared" si="74"/>
        <v>7:00</v>
      </c>
      <c r="Q91" s="124">
        <f>'FS Aftale'!G91*Støtteark!$Q$15</f>
        <v>60</v>
      </c>
      <c r="R91" s="235"/>
      <c r="S91" s="231">
        <f>IF(OR(AND(OR(N91 = Støtteark!$L$25,N91 = Støtteark!$L$26,N91 = Støtteark!$L$28),E91&lt;&gt;Støtteark!$U$6,OR(O91=Støtteark!$B$22,O91=Støtteark!$B$23,O91=Støtteark!$B$24,O91=Støtteark!$B$25,O91=Støtteark!$B$26,O91=Støtteark!$B$27,O91=Støtteark!$B$28)),AND(E91=Støtteark!$U$6,OR(O91=Støtteark!$B$24,O91=Støtteark!$B$27,O91=Støtteark!$B$29))),1,"")</f>
        <v>1</v>
      </c>
      <c r="T91" s="232" t="str">
        <f>IF(OR(AND(N91 = Støtteark!$L$25,E91&lt;&gt;Støtteark!$U$6,O91=Støtteark!$B$22),AND(E91=Støtteark!$U$6,O91=Støtteark!$B$24),O91=Støtteark!$B$22),1,"")</f>
        <v/>
      </c>
      <c r="U91" s="232" t="str">
        <f>IF(OR(AND(N91 = Støtteark!$L$25,E91&lt;&gt;Støtteark!$U$6,OR(O91=Støtteark!$B$22,O91=Støtteark!$B$23,O91=Støtteark!$B$24)),AND(E91=Støtteark!$U$6,OR(O91=Støtteark!$B$22,O91=Støtteark!$B$24))),1,"")</f>
        <v/>
      </c>
      <c r="V91" s="232" t="str">
        <f>IF(OR(AND(N91 = Støtteark!$L$25,E91&lt;&gt;Støtteark!$U$6,O91=Støtteark!$B$22),AND(E91=Støtteark!$U$6,OR(O91=Støtteark!$B$22,O91=Støtteark!$B$24))),1,"")</f>
        <v/>
      </c>
      <c r="W91" s="232" t="str">
        <f>IF(OR(AND(N91 = Støtteark!$L$25,E91&lt;&gt;Støtteark!$U$6,OR(O91=Støtteark!$B$22,O91=Støtteark!$B$23,O91=Støtteark!$B$24,O91=Støtteark!$B$25)),AND(E91=Støtteark!$U$6,OR(O91=Støtteark!$B$22,O91=Støtteark!$B$24))),1,"")</f>
        <v/>
      </c>
      <c r="X91" s="231"/>
      <c r="Y91" s="231"/>
      <c r="Z91" s="235"/>
      <c r="AA91" s="231" t="str">
        <f>IF(OR(AND(E91&lt;&gt;Støtteark!$U$6,N91 = Støtteark!$L$25),N91 = Støtteark!$L$26,N91 = Støtteark!$L$28,AND(N91 = Støtteark!$L$29,E91&lt;&gt;Støtteark!$U$6,OR(O91=Støtteark!$B$30,O91=Støtteark!$B$32,O91=Støtteark!$B$33,AND(E91&lt;&gt;Støtteark!$U$6,O91=Støtteark!$B$34),O91=Støtteark!$B$35))),1,"")</f>
        <v/>
      </c>
      <c r="AB91" s="231" t="str">
        <f>IF(OR(AND(E91&lt;&gt;Støtteark!$U$6,N91 = Støtteark!$L$25),N91 = Støtteark!$L$26,N91 = Støtteark!$L$28,AND(N91 = Støtteark!$L$29,O91=Støtteark!$B$34)),1,"")</f>
        <v/>
      </c>
      <c r="AC91" s="231" t="str">
        <f>IF(OR(AND(E91&lt;&gt;Støtteark!$U$6,N91 = Støtteark!$L$25),N91 = Støtteark!$L$26,N91 = Støtteark!$L$28,AND(N91 = Støtteark!$L$29,E91&lt;&gt;Støtteark!$U$6,OR(O91=Støtteark!$B$30,O91 = Støtteark!$B$34))),1,"")</f>
        <v/>
      </c>
      <c r="AD91" s="232">
        <f>IF(OR(N91 = Støtteark!$L$25,N91 = Støtteark!$L$26,N91 = Støtteark!$L$28,AND(N91 = Støtteark!$L$29,OR(O91=Støtteark!$B$34,O91=Støtteark!$B$35)),AND(E91=Støtteark!$U$6,OR(O91=Støtteark!$B$29,O91=Støtteark!$B$30,O91=Støtteark!$B$32,O91=Støtteark!$B$33))),1,"")</f>
        <v>1</v>
      </c>
      <c r="AE91" s="231">
        <f>IF(OR(N91 = Støtteark!$L$25,N91 = Støtteark!$L$26,N91 = Støtteark!$L$28,AND(N91 = Støtteark!$L$29,OR(O91=Støtteark!$B$34,O91 = Støtteark!$B$30)),AND(E91=Støtteark!$U$6,O91=Støtteark!$B$29)),1,"")</f>
        <v>1</v>
      </c>
      <c r="AF91" s="231">
        <f>IF(OR(N91 = Støtteark!$L$25,N91 = Støtteark!$L$26,N91 = Støtteark!$L$28,AND(N91 = Støtteark!$L$29,O91=Støtteark!$B$34),AND(E91=Støtteark!$U$6,O91=Støtteark!$B$30),AND(E91=Støtteark!$U$6,O91=Støtteark!$B$29)),1,"")</f>
        <v>1</v>
      </c>
      <c r="AG91" s="231">
        <f>IF(OR(N91 = Støtteark!$L$25,N91 = Støtteark!$L$26,N91 = Støtteark!$L$28,AND(N91 = Støtteark!$L$29,OR(O91=Støtteark!$B$30,O91 = Støtteark!$B$31,O91=Støtteark!$B$32,O91=Støtteark!$B$34)),AND(E91=Støtteark!$U$6,OR(O91=Støtteark!$B$29,O91=Støtteark!$B$31))),1,"")</f>
        <v>1</v>
      </c>
      <c r="AH91" s="231">
        <f>IF(OR(N91 = Støtteark!$L$25,N91 = Støtteark!$L$26,N91 = Støtteark!$L$28,AND(N91 = Støtteark!$L$29,O91=Støtteark!$B$34),AND(E91=Støtteark!$U$6,OR(O91=Støtteark!$B$29,O91=Støtteark!$B$30))),1,"")</f>
        <v>1</v>
      </c>
      <c r="AI91" s="231">
        <f>IF(OR(N91 = Støtteark!$L$25,N91 = Støtteark!$L$26,N91 = Støtteark!$L$28,AND(N91 = Støtteark!$L$29,OR(O91=Støtteark!$B$34,O91 = Støtteark!$B$30)),AND(E91=Støtteark!$U$6,OR(O91=Støtteark!$B$29,O91=Støtteark!$B$30))),1,"")</f>
        <v>1</v>
      </c>
      <c r="AJ91" s="231" t="str">
        <f>IF(OR(AND(E91&lt;&gt;Støtteark!$U$6,N91 = Støtteark!$L$25),N91 = Støtteark!$L$26,N91 = Støtteark!$L$28,AND(N91 = Støtteark!$L$29,OR(O91=Støtteark!$B$34,O91=Støtteark!$B$35),O91&lt;&gt;Støtteark!$B$30)),1,"")</f>
        <v/>
      </c>
      <c r="AK91" s="231" t="str">
        <f>IF(OR(AND(E91&lt;&gt;Støtteark!$U$6,N91 = Støtteark!$L$25),N91 = Støtteark!$L$26,N91 = Støtteark!$L$28,AND(N91 = Støtteark!$L$29,E91&lt;&gt;Støtteark!$U$6,OR(O91=Støtteark!$B$34,O91 = Støtteark!$B$30))),1,"")</f>
        <v/>
      </c>
      <c r="AL91" s="231" t="str">
        <f>IF(OR(AND(E91&lt;&gt;Støtteark!$U$6,N91 = Støtteark!$L$25),N91 = Støtteark!$L$26,N91 = Støtteark!$L$28,AND(N91 = Støtteark!$L$29,O91=Støtteark!$B$34)),1,"")</f>
        <v/>
      </c>
      <c r="AM91" s="231" t="str">
        <f>IF(AND(N91 = Støtteark!$L$29,OR(O91=Støtteark!$B$30,O91=Støtteark!$B$32,O91=Støtteark!$B$33,O91=Støtteark!$B$34,O91=Støtteark!$B$35)),Støtteark!$L$32,"")</f>
        <v/>
      </c>
      <c r="AN91" s="235"/>
      <c r="AO91" s="91"/>
      <c r="AP91" s="170">
        <v>0</v>
      </c>
      <c r="AQ91" s="235"/>
      <c r="AR91" s="218">
        <f t="shared" ca="1" si="75"/>
        <v>44022</v>
      </c>
    </row>
    <row r="92" spans="1:44" ht="25.5" hidden="1" x14ac:dyDescent="0.25">
      <c r="A92" s="225" t="str">
        <f t="shared" si="71"/>
        <v>Kundenr.-Ejendom</v>
      </c>
      <c r="B92" s="61" t="str">
        <f>Ydelser!A92&amp; " - " &amp;Ydelser!C92</f>
        <v>517 - Vanding</v>
      </c>
      <c r="C92" s="61" t="str">
        <f>Ydelser!D92</f>
        <v/>
      </c>
      <c r="D92" s="248" t="b">
        <f>'FS Aftale'!D92</f>
        <v>0</v>
      </c>
      <c r="E92" s="156" t="str">
        <f>'FS Aftale'!E92</f>
        <v>1/4-30/9</v>
      </c>
      <c r="F92" s="214" t="str">
        <f t="shared" si="72"/>
        <v>Team Ansvarlig</v>
      </c>
      <c r="G92" s="214" t="str">
        <f t="shared" si="72"/>
        <v>Ansvarlig</v>
      </c>
      <c r="H92" s="214" t="str">
        <f t="shared" si="72"/>
        <v>Servicemedarb.</v>
      </c>
      <c r="I92" s="235"/>
      <c r="J92" s="214" t="str">
        <f t="shared" si="73"/>
        <v>Fast</v>
      </c>
      <c r="K92" s="214" t="str">
        <f t="shared" si="73"/>
        <v>FS aftale</v>
      </c>
      <c r="L92" s="216">
        <f t="shared" si="73"/>
        <v>1</v>
      </c>
      <c r="M92" s="215" t="str">
        <f t="shared" si="73"/>
        <v>Mangler planlægning</v>
      </c>
      <c r="N92" s="147" t="str">
        <f>IFERROR(VLOOKUP(O92,Støtteark!$B$21:$F$35,MATCH(E92,Støtteark!$B$21:$F$21,0),0),Støtteark!$L$35)</f>
        <v>Hver 3. uge (1, 4, 7 ...)</v>
      </c>
      <c r="O92" s="62">
        <f>'FS Aftale'!F92</f>
        <v>9</v>
      </c>
      <c r="P92" s="217" t="str">
        <f t="shared" si="74"/>
        <v>7:00</v>
      </c>
      <c r="Q92" s="124">
        <f>'FS Aftale'!G92*Støtteark!$Q$15</f>
        <v>60</v>
      </c>
      <c r="R92" s="235"/>
      <c r="S92" s="231">
        <f>IF(OR(AND(OR(N92 = Støtteark!$L$25,N92 = Støtteark!$L$26,N92 = Støtteark!$L$28),E92&lt;&gt;Støtteark!$U$6,OR(O92=Støtteark!$B$22,O92=Støtteark!$B$23,O92=Støtteark!$B$24,O92=Støtteark!$B$25,O92=Støtteark!$B$26,O92=Støtteark!$B$27,O92=Støtteark!$B$28)),AND(E92=Støtteark!$U$6,OR(O92=Støtteark!$B$24,O92=Støtteark!$B$27,O92=Støtteark!$B$29))),1,"")</f>
        <v>1</v>
      </c>
      <c r="T92" s="232" t="str">
        <f>IF(OR(AND(N92 = Støtteark!$L$25,E92&lt;&gt;Støtteark!$U$6,O92=Støtteark!$B$22),AND(E92=Støtteark!$U$6,O92=Støtteark!$B$24),O92=Støtteark!$B$22),1,"")</f>
        <v/>
      </c>
      <c r="U92" s="232" t="str">
        <f>IF(OR(AND(N92 = Støtteark!$L$25,E92&lt;&gt;Støtteark!$U$6,OR(O92=Støtteark!$B$22,O92=Støtteark!$B$23,O92=Støtteark!$B$24)),AND(E92=Støtteark!$U$6,OR(O92=Støtteark!$B$22,O92=Støtteark!$B$24))),1,"")</f>
        <v/>
      </c>
      <c r="V92" s="232" t="str">
        <f>IF(OR(AND(N92 = Støtteark!$L$25,E92&lt;&gt;Støtteark!$U$6,O92=Støtteark!$B$22),AND(E92=Støtteark!$U$6,OR(O92=Støtteark!$B$22,O92=Støtteark!$B$24))),1,"")</f>
        <v/>
      </c>
      <c r="W92" s="232" t="str">
        <f>IF(OR(AND(N92 = Støtteark!$L$25,E92&lt;&gt;Støtteark!$U$6,OR(O92=Støtteark!$B$22,O92=Støtteark!$B$23,O92=Støtteark!$B$24,O92=Støtteark!$B$25)),AND(E92=Støtteark!$U$6,OR(O92=Støtteark!$B$22,O92=Støtteark!$B$24))),1,"")</f>
        <v/>
      </c>
      <c r="X92" s="231"/>
      <c r="Y92" s="231"/>
      <c r="Z92" s="235"/>
      <c r="AA92" s="231" t="str">
        <f>IF(OR(AND(E92&lt;&gt;Støtteark!$U$6,N92 = Støtteark!$L$25),N92 = Støtteark!$L$26,N92 = Støtteark!$L$28,AND(N92 = Støtteark!$L$29,E92&lt;&gt;Støtteark!$U$6,OR(O92=Støtteark!$B$30,O92=Støtteark!$B$32,O92=Støtteark!$B$33,AND(E92&lt;&gt;Støtteark!$U$6,O92=Støtteark!$B$34),O92=Støtteark!$B$35))),1,"")</f>
        <v/>
      </c>
      <c r="AB92" s="231" t="str">
        <f>IF(OR(AND(E92&lt;&gt;Støtteark!$U$6,N92 = Støtteark!$L$25),N92 = Støtteark!$L$26,N92 = Støtteark!$L$28,AND(N92 = Støtteark!$L$29,O92=Støtteark!$B$34)),1,"")</f>
        <v/>
      </c>
      <c r="AC92" s="231" t="str">
        <f>IF(OR(AND(E92&lt;&gt;Støtteark!$U$6,N92 = Støtteark!$L$25),N92 = Støtteark!$L$26,N92 = Støtteark!$L$28,AND(N92 = Støtteark!$L$29,E92&lt;&gt;Støtteark!$U$6,OR(O92=Støtteark!$B$30,O92 = Støtteark!$B$34))),1,"")</f>
        <v/>
      </c>
      <c r="AD92" s="232">
        <f>IF(OR(N92 = Støtteark!$L$25,N92 = Støtteark!$L$26,N92 = Støtteark!$L$28,AND(N92 = Støtteark!$L$29,OR(O92=Støtteark!$B$34,O92=Støtteark!$B$35)),AND(E92=Støtteark!$U$6,OR(O92=Støtteark!$B$29,O92=Støtteark!$B$30,O92=Støtteark!$B$32,O92=Støtteark!$B$33))),1,"")</f>
        <v>1</v>
      </c>
      <c r="AE92" s="231">
        <f>IF(OR(N92 = Støtteark!$L$25,N92 = Støtteark!$L$26,N92 = Støtteark!$L$28,AND(N92 = Støtteark!$L$29,OR(O92=Støtteark!$B$34,O92 = Støtteark!$B$30)),AND(E92=Støtteark!$U$6,O92=Støtteark!$B$29)),1,"")</f>
        <v>1</v>
      </c>
      <c r="AF92" s="231">
        <f>IF(OR(N92 = Støtteark!$L$25,N92 = Støtteark!$L$26,N92 = Støtteark!$L$28,AND(N92 = Støtteark!$L$29,O92=Støtteark!$B$34),AND(E92=Støtteark!$U$6,O92=Støtteark!$B$30),AND(E92=Støtteark!$U$6,O92=Støtteark!$B$29)),1,"")</f>
        <v>1</v>
      </c>
      <c r="AG92" s="231">
        <f>IF(OR(N92 = Støtteark!$L$25,N92 = Støtteark!$L$26,N92 = Støtteark!$L$28,AND(N92 = Støtteark!$L$29,OR(O92=Støtteark!$B$30,O92 = Støtteark!$B$31,O92=Støtteark!$B$32,O92=Støtteark!$B$34)),AND(E92=Støtteark!$U$6,OR(O92=Støtteark!$B$29,O92=Støtteark!$B$31))),1,"")</f>
        <v>1</v>
      </c>
      <c r="AH92" s="231">
        <f>IF(OR(N92 = Støtteark!$L$25,N92 = Støtteark!$L$26,N92 = Støtteark!$L$28,AND(N92 = Støtteark!$L$29,O92=Støtteark!$B$34),AND(E92=Støtteark!$U$6,OR(O92=Støtteark!$B$29,O92=Støtteark!$B$30))),1,"")</f>
        <v>1</v>
      </c>
      <c r="AI92" s="231">
        <f>IF(OR(N92 = Støtteark!$L$25,N92 = Støtteark!$L$26,N92 = Støtteark!$L$28,AND(N92 = Støtteark!$L$29,OR(O92=Støtteark!$B$34,O92 = Støtteark!$B$30)),AND(E92=Støtteark!$U$6,OR(O92=Støtteark!$B$29,O92=Støtteark!$B$30))),1,"")</f>
        <v>1</v>
      </c>
      <c r="AJ92" s="231" t="str">
        <f>IF(OR(AND(E92&lt;&gt;Støtteark!$U$6,N92 = Støtteark!$L$25),N92 = Støtteark!$L$26,N92 = Støtteark!$L$28,AND(N92 = Støtteark!$L$29,OR(O92=Støtteark!$B$34,O92=Støtteark!$B$35),O92&lt;&gt;Støtteark!$B$30)),1,"")</f>
        <v/>
      </c>
      <c r="AK92" s="231" t="str">
        <f>IF(OR(AND(E92&lt;&gt;Støtteark!$U$6,N92 = Støtteark!$L$25),N92 = Støtteark!$L$26,N92 = Støtteark!$L$28,AND(N92 = Støtteark!$L$29,E92&lt;&gt;Støtteark!$U$6,OR(O92=Støtteark!$B$34,O92 = Støtteark!$B$30))),1,"")</f>
        <v/>
      </c>
      <c r="AL92" s="231" t="str">
        <f>IF(OR(AND(E92&lt;&gt;Støtteark!$U$6,N92 = Støtteark!$L$25),N92 = Støtteark!$L$26,N92 = Støtteark!$L$28,AND(N92 = Støtteark!$L$29,O92=Støtteark!$B$34)),1,"")</f>
        <v/>
      </c>
      <c r="AM92" s="231" t="str">
        <f>IF(AND(N92 = Støtteark!$L$29,OR(O92=Støtteark!$B$30,O92=Støtteark!$B$32,O92=Støtteark!$B$33,O92=Støtteark!$B$34,O92=Støtteark!$B$35)),Støtteark!$L$32,"")</f>
        <v/>
      </c>
      <c r="AN92" s="235"/>
      <c r="AO92" s="91"/>
      <c r="AP92" s="170">
        <v>0</v>
      </c>
      <c r="AQ92" s="235"/>
      <c r="AR92" s="218">
        <f t="shared" ca="1" si="75"/>
        <v>44022</v>
      </c>
    </row>
    <row r="93" spans="1:44" ht="25.5" hidden="1" x14ac:dyDescent="0.25">
      <c r="A93" s="225" t="str">
        <f t="shared" si="71"/>
        <v>Kundenr.-Ejendom</v>
      </c>
      <c r="B93" s="61" t="str">
        <f>Ydelser!A93&amp; " - " &amp;Ydelser!C93</f>
        <v>518 - Græshøstning</v>
      </c>
      <c r="C93" s="61" t="str">
        <f>Ydelser!D93</f>
        <v xml:space="preserve">Slagleslåning af højt græs på engarealer, skråninger o. lign. inkl. bortskaffelse. </v>
      </c>
      <c r="D93" s="248" t="b">
        <f>'FS Aftale'!D93</f>
        <v>0</v>
      </c>
      <c r="E93" s="156" t="str">
        <f>'FS Aftale'!E93</f>
        <v>1/4-30/9</v>
      </c>
      <c r="F93" s="214" t="str">
        <f t="shared" si="72"/>
        <v>Team Ansvarlig</v>
      </c>
      <c r="G93" s="214" t="str">
        <f t="shared" si="72"/>
        <v>Ansvarlig</v>
      </c>
      <c r="H93" s="214" t="str">
        <f t="shared" si="72"/>
        <v>Servicemedarb.</v>
      </c>
      <c r="I93" s="235"/>
      <c r="J93" s="214" t="str">
        <f t="shared" si="73"/>
        <v>Fast</v>
      </c>
      <c r="K93" s="214" t="str">
        <f t="shared" si="73"/>
        <v>FS aftale</v>
      </c>
      <c r="L93" s="216">
        <f t="shared" si="73"/>
        <v>1</v>
      </c>
      <c r="M93" s="215" t="str">
        <f t="shared" si="73"/>
        <v>Mangler planlægning</v>
      </c>
      <c r="N93" s="147" t="str">
        <f>IFERROR(VLOOKUP(O93,Støtteark!$B$21:$F$35,MATCH(E93,Støtteark!$B$21:$F$21,0),0),Støtteark!$L$35)</f>
        <v>Hver 3. uge (1, 4, 7 ...)</v>
      </c>
      <c r="O93" s="62">
        <f>'FS Aftale'!F93</f>
        <v>9</v>
      </c>
      <c r="P93" s="217" t="str">
        <f t="shared" si="74"/>
        <v>7:00</v>
      </c>
      <c r="Q93" s="124">
        <f>'FS Aftale'!G93*Støtteark!$Q$15</f>
        <v>60</v>
      </c>
      <c r="R93" s="235"/>
      <c r="S93" s="231">
        <f>IF(OR(AND(OR(N93 = Støtteark!$L$25,N93 = Støtteark!$L$26,N93 = Støtteark!$L$28),E93&lt;&gt;Støtteark!$U$6,OR(O93=Støtteark!$B$22,O93=Støtteark!$B$23,O93=Støtteark!$B$24,O93=Støtteark!$B$25,O93=Støtteark!$B$26,O93=Støtteark!$B$27,O93=Støtteark!$B$28)),AND(E93=Støtteark!$U$6,OR(O93=Støtteark!$B$24,O93=Støtteark!$B$27,O93=Støtteark!$B$29))),1,"")</f>
        <v>1</v>
      </c>
      <c r="T93" s="232" t="str">
        <f>IF(OR(AND(N93 = Støtteark!$L$25,E93&lt;&gt;Støtteark!$U$6,O93=Støtteark!$B$22),AND(E93=Støtteark!$U$6,O93=Støtteark!$B$24),O93=Støtteark!$B$22),1,"")</f>
        <v/>
      </c>
      <c r="U93" s="232" t="str">
        <f>IF(OR(AND(N93 = Støtteark!$L$25,E93&lt;&gt;Støtteark!$U$6,OR(O93=Støtteark!$B$22,O93=Støtteark!$B$23,O93=Støtteark!$B$24)),AND(E93=Støtteark!$U$6,OR(O93=Støtteark!$B$22,O93=Støtteark!$B$24))),1,"")</f>
        <v/>
      </c>
      <c r="V93" s="232" t="str">
        <f>IF(OR(AND(N93 = Støtteark!$L$25,E93&lt;&gt;Støtteark!$U$6,O93=Støtteark!$B$22),AND(E93=Støtteark!$U$6,OR(O93=Støtteark!$B$22,O93=Støtteark!$B$24))),1,"")</f>
        <v/>
      </c>
      <c r="W93" s="232" t="str">
        <f>IF(OR(AND(N93 = Støtteark!$L$25,E93&lt;&gt;Støtteark!$U$6,OR(O93=Støtteark!$B$22,O93=Støtteark!$B$23,O93=Støtteark!$B$24,O93=Støtteark!$B$25)),AND(E93=Støtteark!$U$6,OR(O93=Støtteark!$B$22,O93=Støtteark!$B$24))),1,"")</f>
        <v/>
      </c>
      <c r="X93" s="231"/>
      <c r="Y93" s="231"/>
      <c r="Z93" s="235"/>
      <c r="AA93" s="231" t="str">
        <f>IF(OR(AND(E93&lt;&gt;Støtteark!$U$6,N93 = Støtteark!$L$25),N93 = Støtteark!$L$26,N93 = Støtteark!$L$28,AND(N93 = Støtteark!$L$29,E93&lt;&gt;Støtteark!$U$6,OR(O93=Støtteark!$B$30,O93=Støtteark!$B$32,O93=Støtteark!$B$33,AND(E93&lt;&gt;Støtteark!$U$6,O93=Støtteark!$B$34),O93=Støtteark!$B$35))),1,"")</f>
        <v/>
      </c>
      <c r="AB93" s="231" t="str">
        <f>IF(OR(AND(E93&lt;&gt;Støtteark!$U$6,N93 = Støtteark!$L$25),N93 = Støtteark!$L$26,N93 = Støtteark!$L$28,AND(N93 = Støtteark!$L$29,O93=Støtteark!$B$34)),1,"")</f>
        <v/>
      </c>
      <c r="AC93" s="231" t="str">
        <f>IF(OR(AND(E93&lt;&gt;Støtteark!$U$6,N93 = Støtteark!$L$25),N93 = Støtteark!$L$26,N93 = Støtteark!$L$28,AND(N93 = Støtteark!$L$29,E93&lt;&gt;Støtteark!$U$6,OR(O93=Støtteark!$B$30,O93 = Støtteark!$B$34))),1,"")</f>
        <v/>
      </c>
      <c r="AD93" s="232">
        <f>IF(OR(N93 = Støtteark!$L$25,N93 = Støtteark!$L$26,N93 = Støtteark!$L$28,AND(N93 = Støtteark!$L$29,OR(O93=Støtteark!$B$34,O93=Støtteark!$B$35)),AND(E93=Støtteark!$U$6,OR(O93=Støtteark!$B$29,O93=Støtteark!$B$30,O93=Støtteark!$B$32,O93=Støtteark!$B$33))),1,"")</f>
        <v>1</v>
      </c>
      <c r="AE93" s="231">
        <f>IF(OR(N93 = Støtteark!$L$25,N93 = Støtteark!$L$26,N93 = Støtteark!$L$28,AND(N93 = Støtteark!$L$29,OR(O93=Støtteark!$B$34,O93 = Støtteark!$B$30)),AND(E93=Støtteark!$U$6,O93=Støtteark!$B$29)),1,"")</f>
        <v>1</v>
      </c>
      <c r="AF93" s="231">
        <f>IF(OR(N93 = Støtteark!$L$25,N93 = Støtteark!$L$26,N93 = Støtteark!$L$28,AND(N93 = Støtteark!$L$29,O93=Støtteark!$B$34),AND(E93=Støtteark!$U$6,O93=Støtteark!$B$30),AND(E93=Støtteark!$U$6,O93=Støtteark!$B$29)),1,"")</f>
        <v>1</v>
      </c>
      <c r="AG93" s="231">
        <f>IF(OR(N93 = Støtteark!$L$25,N93 = Støtteark!$L$26,N93 = Støtteark!$L$28,AND(N93 = Støtteark!$L$29,OR(O93=Støtteark!$B$30,O93 = Støtteark!$B$31,O93=Støtteark!$B$32,O93=Støtteark!$B$34)),AND(E93=Støtteark!$U$6,OR(O93=Støtteark!$B$29,O93=Støtteark!$B$31))),1,"")</f>
        <v>1</v>
      </c>
      <c r="AH93" s="231">
        <f>IF(OR(N93 = Støtteark!$L$25,N93 = Støtteark!$L$26,N93 = Støtteark!$L$28,AND(N93 = Støtteark!$L$29,O93=Støtteark!$B$34),AND(E93=Støtteark!$U$6,OR(O93=Støtteark!$B$29,O93=Støtteark!$B$30))),1,"")</f>
        <v>1</v>
      </c>
      <c r="AI93" s="231">
        <f>IF(OR(N93 = Støtteark!$L$25,N93 = Støtteark!$L$26,N93 = Støtteark!$L$28,AND(N93 = Støtteark!$L$29,OR(O93=Støtteark!$B$34,O93 = Støtteark!$B$30)),AND(E93=Støtteark!$U$6,OR(O93=Støtteark!$B$29,O93=Støtteark!$B$30))),1,"")</f>
        <v>1</v>
      </c>
      <c r="AJ93" s="231" t="str">
        <f>IF(OR(AND(E93&lt;&gt;Støtteark!$U$6,N93 = Støtteark!$L$25),N93 = Støtteark!$L$26,N93 = Støtteark!$L$28,AND(N93 = Støtteark!$L$29,OR(O93=Støtteark!$B$34,O93=Støtteark!$B$35),O93&lt;&gt;Støtteark!$B$30)),1,"")</f>
        <v/>
      </c>
      <c r="AK93" s="231" t="str">
        <f>IF(OR(AND(E93&lt;&gt;Støtteark!$U$6,N93 = Støtteark!$L$25),N93 = Støtteark!$L$26,N93 = Støtteark!$L$28,AND(N93 = Støtteark!$L$29,E93&lt;&gt;Støtteark!$U$6,OR(O93=Støtteark!$B$34,O93 = Støtteark!$B$30))),1,"")</f>
        <v/>
      </c>
      <c r="AL93" s="231" t="str">
        <f>IF(OR(AND(E93&lt;&gt;Støtteark!$U$6,N93 = Støtteark!$L$25),N93 = Støtteark!$L$26,N93 = Støtteark!$L$28,AND(N93 = Støtteark!$L$29,O93=Støtteark!$B$34)),1,"")</f>
        <v/>
      </c>
      <c r="AM93" s="231" t="str">
        <f>IF(AND(N93 = Støtteark!$L$29,OR(O93=Støtteark!$B$30,O93=Støtteark!$B$32,O93=Støtteark!$B$33,O93=Støtteark!$B$34,O93=Støtteark!$B$35)),Støtteark!$L$32,"")</f>
        <v/>
      </c>
      <c r="AN93" s="235"/>
      <c r="AO93" s="91"/>
      <c r="AP93" s="170">
        <v>0</v>
      </c>
      <c r="AQ93" s="235"/>
      <c r="AR93" s="218">
        <f t="shared" ca="1" si="75"/>
        <v>44022</v>
      </c>
    </row>
    <row r="94" spans="1:44" hidden="1" x14ac:dyDescent="0.25">
      <c r="A94" s="224"/>
      <c r="B94" s="78"/>
      <c r="C94" s="78"/>
      <c r="D94" s="79"/>
      <c r="E94" s="79"/>
      <c r="F94" s="79"/>
      <c r="G94" s="78"/>
      <c r="H94" s="78"/>
      <c r="I94" s="237"/>
      <c r="J94" s="78"/>
      <c r="K94" s="78"/>
      <c r="L94" s="191"/>
      <c r="M94" s="160"/>
      <c r="N94" s="160"/>
      <c r="O94" s="80"/>
      <c r="P94" s="182"/>
      <c r="Q94" s="81"/>
      <c r="R94" s="237"/>
      <c r="S94" s="241"/>
      <c r="T94" s="241"/>
      <c r="U94" s="241"/>
      <c r="V94" s="241"/>
      <c r="W94" s="241"/>
      <c r="X94" s="241"/>
      <c r="Y94" s="241"/>
      <c r="Z94" s="237"/>
      <c r="AA94" s="241"/>
      <c r="AB94" s="241"/>
      <c r="AC94" s="241"/>
      <c r="AD94" s="241"/>
      <c r="AE94" s="241"/>
      <c r="AF94" s="241"/>
      <c r="AG94" s="241"/>
      <c r="AH94" s="241"/>
      <c r="AI94" s="241"/>
      <c r="AJ94" s="241"/>
      <c r="AK94" s="241"/>
      <c r="AL94" s="241"/>
      <c r="AM94" s="241"/>
      <c r="AN94" s="237"/>
      <c r="AO94" s="143"/>
      <c r="AP94" s="173"/>
      <c r="AQ94" s="237"/>
      <c r="AR94" s="144"/>
    </row>
    <row r="95" spans="1:44" ht="25.5" hidden="1" x14ac:dyDescent="0.25">
      <c r="A95" s="225" t="str">
        <f>A93</f>
        <v>Kundenr.-Ejendom</v>
      </c>
      <c r="B95" s="61" t="str">
        <f>Ydelser!A95&amp;" - "&amp;Ydelser!C95</f>
        <v>520 - Hækkeklipning</v>
      </c>
      <c r="C95" s="61" t="str">
        <f>Ydelser!D95</f>
        <v>Klipning af hæk og pur i op til 2 meters højde inkl. bortskaffelse.</v>
      </c>
      <c r="D95" s="61" t="b">
        <f>'FS Aftale'!D95</f>
        <v>0</v>
      </c>
      <c r="E95" s="156" t="str">
        <f>'FS Aftale'!E95</f>
        <v>1/4-30/9</v>
      </c>
      <c r="F95" s="214" t="str">
        <f t="shared" ref="F95:G95" si="76">F92</f>
        <v>Team Ansvarlig</v>
      </c>
      <c r="G95" s="214" t="str">
        <f t="shared" si="76"/>
        <v>Ansvarlig</v>
      </c>
      <c r="H95" s="214" t="str">
        <f>H92</f>
        <v>Servicemedarb.</v>
      </c>
      <c r="I95" s="235"/>
      <c r="J95" s="214" t="str">
        <f t="shared" ref="J95:K95" si="77">J92</f>
        <v>Fast</v>
      </c>
      <c r="K95" s="214" t="str">
        <f t="shared" si="77"/>
        <v>FS aftale</v>
      </c>
      <c r="L95" s="216">
        <f t="shared" ref="L95:M95" si="78">L93</f>
        <v>1</v>
      </c>
      <c r="M95" s="215" t="str">
        <f t="shared" si="78"/>
        <v>Mangler planlægning</v>
      </c>
      <c r="N95" s="147" t="str">
        <f>IFERROR(VLOOKUP(O95,Støtteark!$B$21:$F$35,MATCH(E95,Støtteark!$B$21:$F$21,0),0),Støtteark!$L$35)</f>
        <v>Månedligt</v>
      </c>
      <c r="O95" s="62">
        <f>'FS Aftale'!F95</f>
        <v>2</v>
      </c>
      <c r="P95" s="217" t="str">
        <f>P93</f>
        <v>7:00</v>
      </c>
      <c r="Q95" s="124">
        <f>'FS Aftale'!G95*Støtteark!$Q$15</f>
        <v>1920</v>
      </c>
      <c r="R95" s="235"/>
      <c r="S95" s="231" t="str">
        <f>IF(OR(AND(OR(N95 = Støtteark!$L$25,N95 = Støtteark!$L$26,N95 = Støtteark!$L$28),E95&lt;&gt;Støtteark!$U$6,OR(O95=Støtteark!$B$22,O95=Støtteark!$B$23,O95=Støtteark!$B$24,O95=Støtteark!$B$25,O95=Støtteark!$B$26,O95=Støtteark!$B$27,O95=Støtteark!$B$28)),AND(E95=Støtteark!$U$6,OR(O95=Støtteark!$B$24,O95=Støtteark!$B$27,O95=Støtteark!$B$29))),1,"")</f>
        <v/>
      </c>
      <c r="T95" s="232" t="str">
        <f>IF(OR(AND(N95 = Støtteark!$L$25,E95&lt;&gt;Støtteark!$U$6,O95=Støtteark!$B$22),AND(E95=Støtteark!$U$6,O95=Støtteark!$B$24),O95=Støtteark!$B$22),1,"")</f>
        <v/>
      </c>
      <c r="U95" s="232" t="str">
        <f>IF(OR(AND(N95 = Støtteark!$L$25,E95&lt;&gt;Støtteark!$U$6,OR(O95=Støtteark!$B$22,O95=Støtteark!$B$23,O95=Støtteark!$B$24)),AND(E95=Støtteark!$U$6,OR(O95=Støtteark!$B$22,O95=Støtteark!$B$24))),1,"")</f>
        <v/>
      </c>
      <c r="V95" s="232" t="str">
        <f>IF(OR(AND(N95 = Støtteark!$L$25,E95&lt;&gt;Støtteark!$U$6,O95=Støtteark!$B$22),AND(E95=Støtteark!$U$6,OR(O95=Støtteark!$B$22,O95=Støtteark!$B$24))),1,"")</f>
        <v/>
      </c>
      <c r="W95" s="232" t="str">
        <f>IF(OR(AND(N95 = Støtteark!$L$25,E95&lt;&gt;Støtteark!$U$6,OR(O95=Støtteark!$B$22,O95=Støtteark!$B$23,O95=Støtteark!$B$24,O95=Støtteark!$B$25)),AND(E95=Støtteark!$U$6,OR(O95=Støtteark!$B$22,O95=Støtteark!$B$24))),1,"")</f>
        <v/>
      </c>
      <c r="X95" s="231"/>
      <c r="Y95" s="231"/>
      <c r="Z95" s="235"/>
      <c r="AA95" s="231" t="str">
        <f>IF(OR(AND(E95&lt;&gt;Støtteark!$U$6,N95 = Støtteark!$L$25),N95 = Støtteark!$L$26,N95 = Støtteark!$L$28,AND(N95 = Støtteark!$L$29,E95&lt;&gt;Støtteark!$U$6,OR(O95=Støtteark!$B$30,O95=Støtteark!$B$32,O95=Støtteark!$B$33,AND(E95&lt;&gt;Støtteark!$U$6,O95=Støtteark!$B$34),O95=Støtteark!$B$35))),1,"")</f>
        <v/>
      </c>
      <c r="AB95" s="231" t="str">
        <f>IF(OR(AND(E95&lt;&gt;Støtteark!$U$6,N95 = Støtteark!$L$25),N95 = Støtteark!$L$26,N95 = Støtteark!$L$28,AND(N95 = Støtteark!$L$29,O95=Støtteark!$B$34)),1,"")</f>
        <v/>
      </c>
      <c r="AC95" s="231" t="str">
        <f>IF(OR(AND(E95&lt;&gt;Støtteark!$U$6,N95 = Støtteark!$L$25),N95 = Støtteark!$L$26,N95 = Støtteark!$L$28,AND(N95 = Støtteark!$L$29,E95&lt;&gt;Støtteark!$U$6,OR(O95=Støtteark!$B$30,O95 = Støtteark!$B$34))),1,"")</f>
        <v/>
      </c>
      <c r="AD95" s="232">
        <f>IF(OR(N95 = Støtteark!$L$25,N95 = Støtteark!$L$26,N95 = Støtteark!$L$28,AND(N95 = Støtteark!$L$29,OR(O95=Støtteark!$B$34,O95=Støtteark!$B$35)),AND(E95=Støtteark!$U$6,OR(O95=Støtteark!$B$29,O95=Støtteark!$B$30,O95=Støtteark!$B$32,O95=Støtteark!$B$33))),1,"")</f>
        <v>1</v>
      </c>
      <c r="AE95" s="231" t="str">
        <f>IF(OR(N95 = Støtteark!$L$25,N95 = Støtteark!$L$26,N95 = Støtteark!$L$28,AND(N95 = Støtteark!$L$29,OR(O95=Støtteark!$B$34,O95 = Støtteark!$B$30)),AND(E95=Støtteark!$U$6,O95=Støtteark!$B$29)),1,"")</f>
        <v/>
      </c>
      <c r="AF95" s="231" t="str">
        <f>IF(OR(N95 = Støtteark!$L$25,N95 = Støtteark!$L$26,N95 = Støtteark!$L$28,AND(N95 = Støtteark!$L$29,O95=Støtteark!$B$34),AND(E95=Støtteark!$U$6,O95=Støtteark!$B$30),AND(E95=Støtteark!$U$6,O95=Støtteark!$B$29)),1,"")</f>
        <v/>
      </c>
      <c r="AG95" s="231">
        <f>IF(OR(N95 = Støtteark!$L$25,N95 = Støtteark!$L$26,N95 = Støtteark!$L$28,AND(N95 = Støtteark!$L$29,OR(O95=Støtteark!$B$30,O95 = Støtteark!$B$31,O95=Støtteark!$B$32,O95=Støtteark!$B$34)),AND(E95=Støtteark!$U$6,OR(O95=Støtteark!$B$29,O95=Støtteark!$B$31))),1,"")</f>
        <v>1</v>
      </c>
      <c r="AH95" s="231" t="str">
        <f>IF(OR(N95 = Støtteark!$L$25,N95 = Støtteark!$L$26,N95 = Støtteark!$L$28,AND(N95 = Støtteark!$L$29,O95=Støtteark!$B$34),AND(E95=Støtteark!$U$6,OR(O95=Støtteark!$B$29,O95=Støtteark!$B$30))),1,"")</f>
        <v/>
      </c>
      <c r="AI95" s="231" t="str">
        <f>IF(OR(N95 = Støtteark!$L$25,N95 = Støtteark!$L$26,N95 = Støtteark!$L$28,AND(N95 = Støtteark!$L$29,OR(O95=Støtteark!$B$34,O95 = Støtteark!$B$30)),AND(E95=Støtteark!$U$6,OR(O95=Støtteark!$B$29,O95=Støtteark!$B$30))),1,"")</f>
        <v/>
      </c>
      <c r="AJ95" s="231" t="str">
        <f>IF(OR(AND(E95&lt;&gt;Støtteark!$U$6,N95 = Støtteark!$L$25),N95 = Støtteark!$L$26,N95 = Støtteark!$L$28,AND(N95 = Støtteark!$L$29,OR(O95=Støtteark!$B$34,O95=Støtteark!$B$35),O95&lt;&gt;Støtteark!$B$30)),1,"")</f>
        <v/>
      </c>
      <c r="AK95" s="231" t="str">
        <f>IF(OR(AND(E95&lt;&gt;Støtteark!$U$6,N95 = Støtteark!$L$25),N95 = Støtteark!$L$26,N95 = Støtteark!$L$28,AND(N95 = Støtteark!$L$29,E95&lt;&gt;Støtteark!$U$6,OR(O95=Støtteark!$B$34,O95 = Støtteark!$B$30))),1,"")</f>
        <v/>
      </c>
      <c r="AL95" s="231" t="str">
        <f>IF(OR(AND(E95&lt;&gt;Støtteark!$U$6,N95 = Støtteark!$L$25),N95 = Støtteark!$L$26,N95 = Støtteark!$L$28,AND(N95 = Støtteark!$L$29,O95=Støtteark!$B$34)),1,"")</f>
        <v/>
      </c>
      <c r="AM95" s="231">
        <f>IF(AND(N95 = Støtteark!$L$29,OR(O95=Støtteark!$B$30,O95=Støtteark!$B$32,O95=Støtteark!$B$33,O95=Støtteark!$B$34,O95=Støtteark!$B$35)),Støtteark!$L$32,"")</f>
        <v>801</v>
      </c>
      <c r="AN95" s="235"/>
      <c r="AO95" s="91"/>
      <c r="AP95" s="170">
        <v>0</v>
      </c>
      <c r="AQ95" s="235"/>
      <c r="AR95" s="218">
        <f ca="1">AR93</f>
        <v>44022</v>
      </c>
    </row>
    <row r="96" spans="1:44" ht="25.5" hidden="1" x14ac:dyDescent="0.25">
      <c r="A96" s="225" t="str">
        <f t="shared" ref="A96:A99" si="79">A95</f>
        <v>Kundenr.-Ejendom</v>
      </c>
      <c r="B96" s="61" t="str">
        <f>Ydelser!A96&amp; " - " &amp;Ydelser!C96</f>
        <v>521 - Træer, beskæring</v>
      </c>
      <c r="C96" s="61" t="str">
        <f>Ydelser!D96</f>
        <v>Beskæring af træer i op til 4 meters højde, inkl. bortskaffelse.</v>
      </c>
      <c r="D96" s="248" t="b">
        <f>'FS Aftale'!D96</f>
        <v>0</v>
      </c>
      <c r="E96" s="156" t="str">
        <f>'FS Aftale'!E96</f>
        <v>1/4-30/9</v>
      </c>
      <c r="F96" s="214" t="str">
        <f t="shared" ref="F96:H99" si="80">F95</f>
        <v>Team Ansvarlig</v>
      </c>
      <c r="G96" s="214" t="str">
        <f t="shared" si="80"/>
        <v>Ansvarlig</v>
      </c>
      <c r="H96" s="214" t="str">
        <f t="shared" si="80"/>
        <v>Servicemedarb.</v>
      </c>
      <c r="I96" s="235"/>
      <c r="J96" s="214" t="str">
        <f t="shared" ref="J96:M99" si="81">J95</f>
        <v>Fast</v>
      </c>
      <c r="K96" s="214" t="str">
        <f t="shared" si="81"/>
        <v>FS aftale</v>
      </c>
      <c r="L96" s="216">
        <f t="shared" si="81"/>
        <v>1</v>
      </c>
      <c r="M96" s="215" t="str">
        <f t="shared" si="81"/>
        <v>Mangler planlægning</v>
      </c>
      <c r="N96" s="147" t="str">
        <f>IFERROR(VLOOKUP(O96,Støtteark!$B$21:$F$35,MATCH(E96,Støtteark!$B$21:$F$21,0),0),Støtteark!$L$35)</f>
        <v>Månedligt</v>
      </c>
      <c r="O96" s="62">
        <f>'FS Aftale'!F96</f>
        <v>1</v>
      </c>
      <c r="P96" s="217" t="str">
        <f t="shared" ref="P96:P99" si="82">P95</f>
        <v>7:00</v>
      </c>
      <c r="Q96" s="124">
        <f>'FS Aftale'!G96*Støtteark!$Q$15</f>
        <v>480</v>
      </c>
      <c r="R96" s="235"/>
      <c r="S96" s="231" t="str">
        <f>IF(OR(AND(OR(N96 = Støtteark!$L$25,N96 = Støtteark!$L$26,N96 = Støtteark!$L$28),E96&lt;&gt;Støtteark!$U$6,OR(O96=Støtteark!$B$22,O96=Støtteark!$B$23,O96=Støtteark!$B$24,O96=Støtteark!$B$25,O96=Støtteark!$B$26,O96=Støtteark!$B$27,O96=Støtteark!$B$28)),AND(E96=Støtteark!$U$6,OR(O96=Støtteark!$B$24,O96=Støtteark!$B$27,O96=Støtteark!$B$29))),1,"")</f>
        <v/>
      </c>
      <c r="T96" s="232" t="str">
        <f>IF(OR(AND(N96 = Støtteark!$L$25,E96&lt;&gt;Støtteark!$U$6,O96=Støtteark!$B$22),AND(E96=Støtteark!$U$6,O96=Støtteark!$B$24),O96=Støtteark!$B$22),1,"")</f>
        <v/>
      </c>
      <c r="U96" s="232" t="str">
        <f>IF(OR(AND(N96 = Støtteark!$L$25,E96&lt;&gt;Støtteark!$U$6,OR(O96=Støtteark!$B$22,O96=Støtteark!$B$23,O96=Støtteark!$B$24)),AND(E96=Støtteark!$U$6,OR(O96=Støtteark!$B$22,O96=Støtteark!$B$24))),1,"")</f>
        <v/>
      </c>
      <c r="V96" s="232" t="str">
        <f>IF(OR(AND(N96 = Støtteark!$L$25,E96&lt;&gt;Støtteark!$U$6,O96=Støtteark!$B$22),AND(E96=Støtteark!$U$6,OR(O96=Støtteark!$B$22,O96=Støtteark!$B$24))),1,"")</f>
        <v/>
      </c>
      <c r="W96" s="232" t="str">
        <f>IF(OR(AND(N96 = Støtteark!$L$25,E96&lt;&gt;Støtteark!$U$6,OR(O96=Støtteark!$B$22,O96=Støtteark!$B$23,O96=Støtteark!$B$24,O96=Støtteark!$B$25)),AND(E96=Støtteark!$U$6,OR(O96=Støtteark!$B$22,O96=Støtteark!$B$24))),1,"")</f>
        <v/>
      </c>
      <c r="X96" s="231"/>
      <c r="Y96" s="231"/>
      <c r="Z96" s="235"/>
      <c r="AA96" s="231" t="str">
        <f>IF(OR(AND(E96&lt;&gt;Støtteark!$U$6,N96 = Støtteark!$L$25),N96 = Støtteark!$L$26,N96 = Støtteark!$L$28,AND(N96 = Støtteark!$L$29,E96&lt;&gt;Støtteark!$U$6,OR(O96=Støtteark!$B$30,O96=Støtteark!$B$32,O96=Støtteark!$B$33,AND(E96&lt;&gt;Støtteark!$U$6,O96=Støtteark!$B$34),O96=Støtteark!$B$35))),1,"")</f>
        <v/>
      </c>
      <c r="AB96" s="231" t="str">
        <f>IF(OR(AND(E96&lt;&gt;Støtteark!$U$6,N96 = Støtteark!$L$25),N96 = Støtteark!$L$26,N96 = Støtteark!$L$28,AND(N96 = Støtteark!$L$29,O96=Støtteark!$B$34)),1,"")</f>
        <v/>
      </c>
      <c r="AC96" s="231" t="str">
        <f>IF(OR(AND(E96&lt;&gt;Støtteark!$U$6,N96 = Støtteark!$L$25),N96 = Støtteark!$L$26,N96 = Støtteark!$L$28,AND(N96 = Støtteark!$L$29,E96&lt;&gt;Støtteark!$U$6,OR(O96=Støtteark!$B$30,O96 = Støtteark!$B$34))),1,"")</f>
        <v/>
      </c>
      <c r="AD96" s="232">
        <f>IF(OR(N96 = Støtteark!$L$25,N96 = Støtteark!$L$26,N96 = Støtteark!$L$28,AND(N96 = Støtteark!$L$29,OR(O96=Støtteark!$B$34,O96=Støtteark!$B$35)),AND(E96=Støtteark!$U$6,OR(O96=Støtteark!$B$29,O96=Støtteark!$B$30,O96=Støtteark!$B$32,O96=Støtteark!$B$33))),1,"")</f>
        <v>1</v>
      </c>
      <c r="AE96" s="231" t="str">
        <f>IF(OR(N96 = Støtteark!$L$25,N96 = Støtteark!$L$26,N96 = Støtteark!$L$28,AND(N96 = Støtteark!$L$29,OR(O96=Støtteark!$B$34,O96 = Støtteark!$B$30)),AND(E96=Støtteark!$U$6,O96=Støtteark!$B$29)),1,"")</f>
        <v/>
      </c>
      <c r="AF96" s="231" t="str">
        <f>IF(OR(N96 = Støtteark!$L$25,N96 = Støtteark!$L$26,N96 = Støtteark!$L$28,AND(N96 = Støtteark!$L$29,O96=Støtteark!$B$34),AND(E96=Støtteark!$U$6,O96=Støtteark!$B$30),AND(E96=Støtteark!$U$6,O96=Støtteark!$B$29)),1,"")</f>
        <v/>
      </c>
      <c r="AG96" s="231" t="str">
        <f>IF(OR(N96 = Støtteark!$L$25,N96 = Støtteark!$L$26,N96 = Støtteark!$L$28,AND(N96 = Støtteark!$L$29,OR(O96=Støtteark!$B$30,O96 = Støtteark!$B$31,O96=Støtteark!$B$32,O96=Støtteark!$B$34)),AND(E96=Støtteark!$U$6,OR(O96=Støtteark!$B$29,O96=Støtteark!$B$31))),1,"")</f>
        <v/>
      </c>
      <c r="AH96" s="231" t="str">
        <f>IF(OR(N96 = Støtteark!$L$25,N96 = Støtteark!$L$26,N96 = Støtteark!$L$28,AND(N96 = Støtteark!$L$29,O96=Støtteark!$B$34),AND(E96=Støtteark!$U$6,OR(O96=Støtteark!$B$29,O96=Støtteark!$B$30))),1,"")</f>
        <v/>
      </c>
      <c r="AI96" s="231" t="str">
        <f>IF(OR(N96 = Støtteark!$L$25,N96 = Støtteark!$L$26,N96 = Støtteark!$L$28,AND(N96 = Støtteark!$L$29,OR(O96=Støtteark!$B$34,O96 = Støtteark!$B$30)),AND(E96=Støtteark!$U$6,OR(O96=Støtteark!$B$29,O96=Støtteark!$B$30))),1,"")</f>
        <v/>
      </c>
      <c r="AJ96" s="231" t="str">
        <f>IF(OR(AND(E96&lt;&gt;Støtteark!$U$6,N96 = Støtteark!$L$25),N96 = Støtteark!$L$26,N96 = Støtteark!$L$28,AND(N96 = Støtteark!$L$29,OR(O96=Støtteark!$B$34,O96=Støtteark!$B$35),O96&lt;&gt;Støtteark!$B$30)),1,"")</f>
        <v/>
      </c>
      <c r="AK96" s="231" t="str">
        <f>IF(OR(AND(E96&lt;&gt;Støtteark!$U$6,N96 = Støtteark!$L$25),N96 = Støtteark!$L$26,N96 = Støtteark!$L$28,AND(N96 = Støtteark!$L$29,E96&lt;&gt;Støtteark!$U$6,OR(O96=Støtteark!$B$34,O96 = Støtteark!$B$30))),1,"")</f>
        <v/>
      </c>
      <c r="AL96" s="231" t="str">
        <f>IF(OR(AND(E96&lt;&gt;Støtteark!$U$6,N96 = Støtteark!$L$25),N96 = Støtteark!$L$26,N96 = Støtteark!$L$28,AND(N96 = Støtteark!$L$29,O96=Støtteark!$B$34)),1,"")</f>
        <v/>
      </c>
      <c r="AM96" s="231">
        <f>IF(AND(N96 = Støtteark!$L$29,OR(O96=Støtteark!$B$30,O96=Støtteark!$B$32,O96=Støtteark!$B$33,O96=Støtteark!$B$34,O96=Støtteark!$B$35)),Støtteark!$L$32,"")</f>
        <v>801</v>
      </c>
      <c r="AN96" s="235"/>
      <c r="AO96" s="91"/>
      <c r="AP96" s="170">
        <v>0</v>
      </c>
      <c r="AQ96" s="235"/>
      <c r="AR96" s="218">
        <f t="shared" ref="AR96:AR99" ca="1" si="83">AR95</f>
        <v>44022</v>
      </c>
    </row>
    <row r="97" spans="1:44" ht="25.5" hidden="1" x14ac:dyDescent="0.25">
      <c r="A97" s="225" t="str">
        <f t="shared" si="79"/>
        <v>Kundenr.-Ejendom</v>
      </c>
      <c r="B97" s="61" t="str">
        <f>Ydelser!A97&amp; " - " &amp;Ydelser!C97</f>
        <v>522 - Busket, partiel beskæring</v>
      </c>
      <c r="C97" s="61" t="str">
        <f>Ydelser!D97</f>
        <v>Beskæring af buske i op til 2 meters højde inkl. bortskaffelse.</v>
      </c>
      <c r="D97" s="248" t="b">
        <f>'FS Aftale'!D97</f>
        <v>0</v>
      </c>
      <c r="E97" s="156" t="str">
        <f>'FS Aftale'!E97</f>
        <v>1/4-30/9</v>
      </c>
      <c r="F97" s="214" t="str">
        <f t="shared" si="80"/>
        <v>Team Ansvarlig</v>
      </c>
      <c r="G97" s="214" t="str">
        <f t="shared" si="80"/>
        <v>Ansvarlig</v>
      </c>
      <c r="H97" s="214" t="str">
        <f t="shared" si="80"/>
        <v>Servicemedarb.</v>
      </c>
      <c r="I97" s="235"/>
      <c r="J97" s="214" t="str">
        <f t="shared" si="81"/>
        <v>Fast</v>
      </c>
      <c r="K97" s="214" t="str">
        <f t="shared" si="81"/>
        <v>FS aftale</v>
      </c>
      <c r="L97" s="216">
        <f t="shared" si="81"/>
        <v>1</v>
      </c>
      <c r="M97" s="215" t="str">
        <f t="shared" si="81"/>
        <v>Mangler planlægning</v>
      </c>
      <c r="N97" s="147" t="str">
        <f>IFERROR(VLOOKUP(O97,Støtteark!$B$21:$F$35,MATCH(E97,Støtteark!$B$21:$F$21,0),0),Støtteark!$L$35)</f>
        <v>Månedligt</v>
      </c>
      <c r="O97" s="62">
        <f>'FS Aftale'!F97</f>
        <v>1</v>
      </c>
      <c r="P97" s="217" t="str">
        <f t="shared" si="82"/>
        <v>7:00</v>
      </c>
      <c r="Q97" s="124">
        <f>'FS Aftale'!G97*Støtteark!$Q$15</f>
        <v>240</v>
      </c>
      <c r="R97" s="235"/>
      <c r="S97" s="231" t="str">
        <f>IF(OR(AND(OR(N97 = Støtteark!$L$25,N97 = Støtteark!$L$26,N97 = Støtteark!$L$28),E97&lt;&gt;Støtteark!$U$6,OR(O97=Støtteark!$B$22,O97=Støtteark!$B$23,O97=Støtteark!$B$24,O97=Støtteark!$B$25,O97=Støtteark!$B$26,O97=Støtteark!$B$27,O97=Støtteark!$B$28)),AND(E97=Støtteark!$U$6,OR(O97=Støtteark!$B$24,O97=Støtteark!$B$27,O97=Støtteark!$B$29))),1,"")</f>
        <v/>
      </c>
      <c r="T97" s="232" t="str">
        <f>IF(OR(AND(N97 = Støtteark!$L$25,E97&lt;&gt;Støtteark!$U$6,O97=Støtteark!$B$22),AND(E97=Støtteark!$U$6,O97=Støtteark!$B$24),O97=Støtteark!$B$22),1,"")</f>
        <v/>
      </c>
      <c r="U97" s="232" t="str">
        <f>IF(OR(AND(N97 = Støtteark!$L$25,E97&lt;&gt;Støtteark!$U$6,OR(O97=Støtteark!$B$22,O97=Støtteark!$B$23,O97=Støtteark!$B$24)),AND(E97=Støtteark!$U$6,OR(O97=Støtteark!$B$22,O97=Støtteark!$B$24))),1,"")</f>
        <v/>
      </c>
      <c r="V97" s="232" t="str">
        <f>IF(OR(AND(N97 = Støtteark!$L$25,E97&lt;&gt;Støtteark!$U$6,O97=Støtteark!$B$22),AND(E97=Støtteark!$U$6,OR(O97=Støtteark!$B$22,O97=Støtteark!$B$24))),1,"")</f>
        <v/>
      </c>
      <c r="W97" s="232" t="str">
        <f>IF(OR(AND(N97 = Støtteark!$L$25,E97&lt;&gt;Støtteark!$U$6,OR(O97=Støtteark!$B$22,O97=Støtteark!$B$23,O97=Støtteark!$B$24,O97=Støtteark!$B$25)),AND(E97=Støtteark!$U$6,OR(O97=Støtteark!$B$22,O97=Støtteark!$B$24))),1,"")</f>
        <v/>
      </c>
      <c r="X97" s="231"/>
      <c r="Y97" s="231"/>
      <c r="Z97" s="235"/>
      <c r="AA97" s="231" t="str">
        <f>IF(OR(AND(E97&lt;&gt;Støtteark!$U$6,N97 = Støtteark!$L$25),N97 = Støtteark!$L$26,N97 = Støtteark!$L$28,AND(N97 = Støtteark!$L$29,E97&lt;&gt;Støtteark!$U$6,OR(O97=Støtteark!$B$30,O97=Støtteark!$B$32,O97=Støtteark!$B$33,AND(E97&lt;&gt;Støtteark!$U$6,O97=Støtteark!$B$34),O97=Støtteark!$B$35))),1,"")</f>
        <v/>
      </c>
      <c r="AB97" s="231" t="str">
        <f>IF(OR(AND(E97&lt;&gt;Støtteark!$U$6,N97 = Støtteark!$L$25),N97 = Støtteark!$L$26,N97 = Støtteark!$L$28,AND(N97 = Støtteark!$L$29,O97=Støtteark!$B$34)),1,"")</f>
        <v/>
      </c>
      <c r="AC97" s="231" t="str">
        <f>IF(OR(AND(E97&lt;&gt;Støtteark!$U$6,N97 = Støtteark!$L$25),N97 = Støtteark!$L$26,N97 = Støtteark!$L$28,AND(N97 = Støtteark!$L$29,E97&lt;&gt;Støtteark!$U$6,OR(O97=Støtteark!$B$30,O97 = Støtteark!$B$34))),1,"")</f>
        <v/>
      </c>
      <c r="AD97" s="232">
        <f>IF(OR(N97 = Støtteark!$L$25,N97 = Støtteark!$L$26,N97 = Støtteark!$L$28,AND(N97 = Støtteark!$L$29,OR(O97=Støtteark!$B$34,O97=Støtteark!$B$35)),AND(E97=Støtteark!$U$6,OR(O97=Støtteark!$B$29,O97=Støtteark!$B$30,O97=Støtteark!$B$32,O97=Støtteark!$B$33))),1,"")</f>
        <v>1</v>
      </c>
      <c r="AE97" s="231" t="str">
        <f>IF(OR(N97 = Støtteark!$L$25,N97 = Støtteark!$L$26,N97 = Støtteark!$L$28,AND(N97 = Støtteark!$L$29,OR(O97=Støtteark!$B$34,O97 = Støtteark!$B$30)),AND(E97=Støtteark!$U$6,O97=Støtteark!$B$29)),1,"")</f>
        <v/>
      </c>
      <c r="AF97" s="231" t="str">
        <f>IF(OR(N97 = Støtteark!$L$25,N97 = Støtteark!$L$26,N97 = Støtteark!$L$28,AND(N97 = Støtteark!$L$29,O97=Støtteark!$B$34),AND(E97=Støtteark!$U$6,O97=Støtteark!$B$30),AND(E97=Støtteark!$U$6,O97=Støtteark!$B$29)),1,"")</f>
        <v/>
      </c>
      <c r="AG97" s="231" t="str">
        <f>IF(OR(N97 = Støtteark!$L$25,N97 = Støtteark!$L$26,N97 = Støtteark!$L$28,AND(N97 = Støtteark!$L$29,OR(O97=Støtteark!$B$30,O97 = Støtteark!$B$31,O97=Støtteark!$B$32,O97=Støtteark!$B$34)),AND(E97=Støtteark!$U$6,OR(O97=Støtteark!$B$29,O97=Støtteark!$B$31))),1,"")</f>
        <v/>
      </c>
      <c r="AH97" s="231" t="str">
        <f>IF(OR(N97 = Støtteark!$L$25,N97 = Støtteark!$L$26,N97 = Støtteark!$L$28,AND(N97 = Støtteark!$L$29,O97=Støtteark!$B$34),AND(E97=Støtteark!$U$6,OR(O97=Støtteark!$B$29,O97=Støtteark!$B$30))),1,"")</f>
        <v/>
      </c>
      <c r="AI97" s="231" t="str">
        <f>IF(OR(N97 = Støtteark!$L$25,N97 = Støtteark!$L$26,N97 = Støtteark!$L$28,AND(N97 = Støtteark!$L$29,OR(O97=Støtteark!$B$34,O97 = Støtteark!$B$30)),AND(E97=Støtteark!$U$6,OR(O97=Støtteark!$B$29,O97=Støtteark!$B$30))),1,"")</f>
        <v/>
      </c>
      <c r="AJ97" s="231" t="str">
        <f>IF(OR(AND(E97&lt;&gt;Støtteark!$U$6,N97 = Støtteark!$L$25),N97 = Støtteark!$L$26,N97 = Støtteark!$L$28,AND(N97 = Støtteark!$L$29,OR(O97=Støtteark!$B$34,O97=Støtteark!$B$35),O97&lt;&gt;Støtteark!$B$30)),1,"")</f>
        <v/>
      </c>
      <c r="AK97" s="231" t="str">
        <f>IF(OR(AND(E97&lt;&gt;Støtteark!$U$6,N97 = Støtteark!$L$25),N97 = Støtteark!$L$26,N97 = Støtteark!$L$28,AND(N97 = Støtteark!$L$29,E97&lt;&gt;Støtteark!$U$6,OR(O97=Støtteark!$B$34,O97 = Støtteark!$B$30))),1,"")</f>
        <v/>
      </c>
      <c r="AL97" s="231" t="str">
        <f>IF(OR(AND(E97&lt;&gt;Støtteark!$U$6,N97 = Støtteark!$L$25),N97 = Støtteark!$L$26,N97 = Støtteark!$L$28,AND(N97 = Støtteark!$L$29,O97=Støtteark!$B$34)),1,"")</f>
        <v/>
      </c>
      <c r="AM97" s="231">
        <f>IF(AND(N97 = Støtteark!$L$29,OR(O97=Støtteark!$B$30,O97=Støtteark!$B$32,O97=Støtteark!$B$33,O97=Støtteark!$B$34,O97=Støtteark!$B$35)),Støtteark!$L$32,"")</f>
        <v>801</v>
      </c>
      <c r="AN97" s="235"/>
      <c r="AO97" s="91"/>
      <c r="AP97" s="170">
        <v>0</v>
      </c>
      <c r="AQ97" s="235"/>
      <c r="AR97" s="218">
        <f t="shared" ca="1" si="83"/>
        <v>44022</v>
      </c>
    </row>
    <row r="98" spans="1:44" ht="25.5" hidden="1" x14ac:dyDescent="0.25">
      <c r="A98" s="225" t="str">
        <f t="shared" si="79"/>
        <v>Kundenr.-Ejendom</v>
      </c>
      <c r="B98" s="61" t="str">
        <f>Ydelser!A98&amp; " - " &amp;Ydelser!C98</f>
        <v>523 - Gødskning</v>
      </c>
      <c r="C98" s="61" t="str">
        <f>Ydelser!D98</f>
        <v/>
      </c>
      <c r="D98" s="248" t="b">
        <f>'FS Aftale'!D98</f>
        <v>0</v>
      </c>
      <c r="E98" s="156" t="str">
        <f>'FS Aftale'!E98</f>
        <v>1/4-30/9</v>
      </c>
      <c r="F98" s="214" t="str">
        <f t="shared" si="80"/>
        <v>Team Ansvarlig</v>
      </c>
      <c r="G98" s="214" t="str">
        <f t="shared" si="80"/>
        <v>Ansvarlig</v>
      </c>
      <c r="H98" s="214" t="str">
        <f t="shared" si="80"/>
        <v>Servicemedarb.</v>
      </c>
      <c r="I98" s="235"/>
      <c r="J98" s="214" t="str">
        <f t="shared" si="81"/>
        <v>Fast</v>
      </c>
      <c r="K98" s="214" t="str">
        <f t="shared" si="81"/>
        <v>FS aftale</v>
      </c>
      <c r="L98" s="216">
        <f t="shared" si="81"/>
        <v>1</v>
      </c>
      <c r="M98" s="215" t="str">
        <f t="shared" si="81"/>
        <v>Mangler planlægning</v>
      </c>
      <c r="N98" s="147" t="str">
        <f>IFERROR(VLOOKUP(O98,Støtteark!$B$21:$F$35,MATCH(E98,Støtteark!$B$21:$F$21,0),0),Støtteark!$L$35)</f>
        <v>Hver 3. uge (1, 4, 7 ...)</v>
      </c>
      <c r="O98" s="62">
        <f>'FS Aftale'!F98</f>
        <v>9</v>
      </c>
      <c r="P98" s="217" t="str">
        <f t="shared" si="82"/>
        <v>7:00</v>
      </c>
      <c r="Q98" s="124">
        <f>'FS Aftale'!G98*Støtteark!$Q$15</f>
        <v>60</v>
      </c>
      <c r="R98" s="235"/>
      <c r="S98" s="231">
        <f>IF(OR(AND(OR(N98 = Støtteark!$L$25,N98 = Støtteark!$L$26,N98 = Støtteark!$L$28),E98&lt;&gt;Støtteark!$U$6,OR(O98=Støtteark!$B$22,O98=Støtteark!$B$23,O98=Støtteark!$B$24,O98=Støtteark!$B$25,O98=Støtteark!$B$26,O98=Støtteark!$B$27,O98=Støtteark!$B$28)),AND(E98=Støtteark!$U$6,OR(O98=Støtteark!$B$24,O98=Støtteark!$B$27,O98=Støtteark!$B$29))),1,"")</f>
        <v>1</v>
      </c>
      <c r="T98" s="232" t="str">
        <f>IF(OR(AND(N98 = Støtteark!$L$25,E98&lt;&gt;Støtteark!$U$6,O98=Støtteark!$B$22),AND(E98=Støtteark!$U$6,O98=Støtteark!$B$24),O98=Støtteark!$B$22),1,"")</f>
        <v/>
      </c>
      <c r="U98" s="232" t="str">
        <f>IF(OR(AND(N98 = Støtteark!$L$25,E98&lt;&gt;Støtteark!$U$6,OR(O98=Støtteark!$B$22,O98=Støtteark!$B$23,O98=Støtteark!$B$24)),AND(E98=Støtteark!$U$6,OR(O98=Støtteark!$B$22,O98=Støtteark!$B$24))),1,"")</f>
        <v/>
      </c>
      <c r="V98" s="232" t="str">
        <f>IF(OR(AND(N98 = Støtteark!$L$25,E98&lt;&gt;Støtteark!$U$6,O98=Støtteark!$B$22),AND(E98=Støtteark!$U$6,OR(O98=Støtteark!$B$22,O98=Støtteark!$B$24))),1,"")</f>
        <v/>
      </c>
      <c r="W98" s="232" t="str">
        <f>IF(OR(AND(N98 = Støtteark!$L$25,E98&lt;&gt;Støtteark!$U$6,OR(O98=Støtteark!$B$22,O98=Støtteark!$B$23,O98=Støtteark!$B$24,O98=Støtteark!$B$25)),AND(E98=Støtteark!$U$6,OR(O98=Støtteark!$B$22,O98=Støtteark!$B$24))),1,"")</f>
        <v/>
      </c>
      <c r="X98" s="231"/>
      <c r="Y98" s="231"/>
      <c r="Z98" s="235"/>
      <c r="AA98" s="231" t="str">
        <f>IF(OR(AND(E98&lt;&gt;Støtteark!$U$6,N98 = Støtteark!$L$25),N98 = Støtteark!$L$26,N98 = Støtteark!$L$28,AND(N98 = Støtteark!$L$29,E98&lt;&gt;Støtteark!$U$6,OR(O98=Støtteark!$B$30,O98=Støtteark!$B$32,O98=Støtteark!$B$33,AND(E98&lt;&gt;Støtteark!$U$6,O98=Støtteark!$B$34),O98=Støtteark!$B$35))),1,"")</f>
        <v/>
      </c>
      <c r="AB98" s="231" t="str">
        <f>IF(OR(AND(E98&lt;&gt;Støtteark!$U$6,N98 = Støtteark!$L$25),N98 = Støtteark!$L$26,N98 = Støtteark!$L$28,AND(N98 = Støtteark!$L$29,O98=Støtteark!$B$34)),1,"")</f>
        <v/>
      </c>
      <c r="AC98" s="231" t="str">
        <f>IF(OR(AND(E98&lt;&gt;Støtteark!$U$6,N98 = Støtteark!$L$25),N98 = Støtteark!$L$26,N98 = Støtteark!$L$28,AND(N98 = Støtteark!$L$29,E98&lt;&gt;Støtteark!$U$6,OR(O98=Støtteark!$B$30,O98 = Støtteark!$B$34))),1,"")</f>
        <v/>
      </c>
      <c r="AD98" s="232">
        <f>IF(OR(N98 = Støtteark!$L$25,N98 = Støtteark!$L$26,N98 = Støtteark!$L$28,AND(N98 = Støtteark!$L$29,OR(O98=Støtteark!$B$34,O98=Støtteark!$B$35)),AND(E98=Støtteark!$U$6,OR(O98=Støtteark!$B$29,O98=Støtteark!$B$30,O98=Støtteark!$B$32,O98=Støtteark!$B$33))),1,"")</f>
        <v>1</v>
      </c>
      <c r="AE98" s="231">
        <f>IF(OR(N98 = Støtteark!$L$25,N98 = Støtteark!$L$26,N98 = Støtteark!$L$28,AND(N98 = Støtteark!$L$29,OR(O98=Støtteark!$B$34,O98 = Støtteark!$B$30)),AND(E98=Støtteark!$U$6,O98=Støtteark!$B$29)),1,"")</f>
        <v>1</v>
      </c>
      <c r="AF98" s="231">
        <f>IF(OR(N98 = Støtteark!$L$25,N98 = Støtteark!$L$26,N98 = Støtteark!$L$28,AND(N98 = Støtteark!$L$29,O98=Støtteark!$B$34),AND(E98=Støtteark!$U$6,O98=Støtteark!$B$30),AND(E98=Støtteark!$U$6,O98=Støtteark!$B$29)),1,"")</f>
        <v>1</v>
      </c>
      <c r="AG98" s="231">
        <f>IF(OR(N98 = Støtteark!$L$25,N98 = Støtteark!$L$26,N98 = Støtteark!$L$28,AND(N98 = Støtteark!$L$29,OR(O98=Støtteark!$B$30,O98 = Støtteark!$B$31,O98=Støtteark!$B$32,O98=Støtteark!$B$34)),AND(E98=Støtteark!$U$6,OR(O98=Støtteark!$B$29,O98=Støtteark!$B$31))),1,"")</f>
        <v>1</v>
      </c>
      <c r="AH98" s="231">
        <f>IF(OR(N98 = Støtteark!$L$25,N98 = Støtteark!$L$26,N98 = Støtteark!$L$28,AND(N98 = Støtteark!$L$29,O98=Støtteark!$B$34),AND(E98=Støtteark!$U$6,OR(O98=Støtteark!$B$29,O98=Støtteark!$B$30))),1,"")</f>
        <v>1</v>
      </c>
      <c r="AI98" s="231">
        <f>IF(OR(N98 = Støtteark!$L$25,N98 = Støtteark!$L$26,N98 = Støtteark!$L$28,AND(N98 = Støtteark!$L$29,OR(O98=Støtteark!$B$34,O98 = Støtteark!$B$30)),AND(E98=Støtteark!$U$6,OR(O98=Støtteark!$B$29,O98=Støtteark!$B$30))),1,"")</f>
        <v>1</v>
      </c>
      <c r="AJ98" s="231" t="str">
        <f>IF(OR(AND(E98&lt;&gt;Støtteark!$U$6,N98 = Støtteark!$L$25),N98 = Støtteark!$L$26,N98 = Støtteark!$L$28,AND(N98 = Støtteark!$L$29,OR(O98=Støtteark!$B$34,O98=Støtteark!$B$35),O98&lt;&gt;Støtteark!$B$30)),1,"")</f>
        <v/>
      </c>
      <c r="AK98" s="231" t="str">
        <f>IF(OR(AND(E98&lt;&gt;Støtteark!$U$6,N98 = Støtteark!$L$25),N98 = Støtteark!$L$26,N98 = Støtteark!$L$28,AND(N98 = Støtteark!$L$29,E98&lt;&gt;Støtteark!$U$6,OR(O98=Støtteark!$B$34,O98 = Støtteark!$B$30))),1,"")</f>
        <v/>
      </c>
      <c r="AL98" s="231" t="str">
        <f>IF(OR(AND(E98&lt;&gt;Støtteark!$U$6,N98 = Støtteark!$L$25),N98 = Støtteark!$L$26,N98 = Støtteark!$L$28,AND(N98 = Støtteark!$L$29,O98=Støtteark!$B$34)),1,"")</f>
        <v/>
      </c>
      <c r="AM98" s="231" t="str">
        <f>IF(AND(N98 = Støtteark!$L$29,OR(O98=Støtteark!$B$30,O98=Støtteark!$B$32,O98=Støtteark!$B$33,O98=Støtteark!$B$34,O98=Støtteark!$B$35)),Støtteark!$L$32,"")</f>
        <v/>
      </c>
      <c r="AN98" s="235"/>
      <c r="AO98" s="91"/>
      <c r="AP98" s="170">
        <v>0</v>
      </c>
      <c r="AQ98" s="235"/>
      <c r="AR98" s="218">
        <f t="shared" ca="1" si="83"/>
        <v>44022</v>
      </c>
    </row>
    <row r="99" spans="1:44" ht="25.5" hidden="1" x14ac:dyDescent="0.25">
      <c r="A99" s="225" t="str">
        <f t="shared" si="79"/>
        <v>Kundenr.-Ejendom</v>
      </c>
      <c r="B99" s="61" t="str">
        <f>Ydelser!A99&amp; " - " &amp;Ydelser!C99</f>
        <v>524 - Vanding</v>
      </c>
      <c r="C99" s="61" t="str">
        <f>Ydelser!D99</f>
        <v>Vanding af træer, kummer og lign.</v>
      </c>
      <c r="D99" s="248" t="b">
        <f>'FS Aftale'!D99</f>
        <v>0</v>
      </c>
      <c r="E99" s="156" t="str">
        <f>'FS Aftale'!E99</f>
        <v>1/4-30/9</v>
      </c>
      <c r="F99" s="214" t="str">
        <f t="shared" si="80"/>
        <v>Team Ansvarlig</v>
      </c>
      <c r="G99" s="214" t="str">
        <f t="shared" si="80"/>
        <v>Ansvarlig</v>
      </c>
      <c r="H99" s="214" t="str">
        <f t="shared" si="80"/>
        <v>Servicemedarb.</v>
      </c>
      <c r="I99" s="235"/>
      <c r="J99" s="214" t="str">
        <f t="shared" si="81"/>
        <v>Fast</v>
      </c>
      <c r="K99" s="214" t="str">
        <f t="shared" si="81"/>
        <v>FS aftale</v>
      </c>
      <c r="L99" s="216">
        <f t="shared" si="81"/>
        <v>1</v>
      </c>
      <c r="M99" s="215" t="str">
        <f t="shared" si="81"/>
        <v>Mangler planlægning</v>
      </c>
      <c r="N99" s="147" t="str">
        <f>IFERROR(VLOOKUP(O99,Støtteark!$B$21:$F$35,MATCH(E99,Støtteark!$B$21:$F$21,0),0),Støtteark!$L$35)</f>
        <v>Hver 3. uge (1, 4, 7 ...)</v>
      </c>
      <c r="O99" s="62">
        <f>'FS Aftale'!F99</f>
        <v>9</v>
      </c>
      <c r="P99" s="217" t="str">
        <f t="shared" si="82"/>
        <v>7:00</v>
      </c>
      <c r="Q99" s="124">
        <f>'FS Aftale'!G99*Støtteark!$Q$15</f>
        <v>600</v>
      </c>
      <c r="R99" s="235"/>
      <c r="S99" s="231">
        <f>IF(OR(AND(OR(N99 = Støtteark!$L$25,N99 = Støtteark!$L$26,N99 = Støtteark!$L$28),E99&lt;&gt;Støtteark!$U$6,OR(O99=Støtteark!$B$22,O99=Støtteark!$B$23,O99=Støtteark!$B$24,O99=Støtteark!$B$25,O99=Støtteark!$B$26,O99=Støtteark!$B$27,O99=Støtteark!$B$28)),AND(E99=Støtteark!$U$6,OR(O99=Støtteark!$B$24,O99=Støtteark!$B$27,O99=Støtteark!$B$29))),1,"")</f>
        <v>1</v>
      </c>
      <c r="T99" s="232" t="str">
        <f>IF(OR(AND(N99 = Støtteark!$L$25,E99&lt;&gt;Støtteark!$U$6,O99=Støtteark!$B$22),AND(E99=Støtteark!$U$6,O99=Støtteark!$B$24),O99=Støtteark!$B$22),1,"")</f>
        <v/>
      </c>
      <c r="U99" s="232" t="str">
        <f>IF(OR(AND(N99 = Støtteark!$L$25,E99&lt;&gt;Støtteark!$U$6,OR(O99=Støtteark!$B$22,O99=Støtteark!$B$23,O99=Støtteark!$B$24)),AND(E99=Støtteark!$U$6,OR(O99=Støtteark!$B$22,O99=Støtteark!$B$24))),1,"")</f>
        <v/>
      </c>
      <c r="V99" s="232" t="str">
        <f>IF(OR(AND(N99 = Støtteark!$L$25,E99&lt;&gt;Støtteark!$U$6,O99=Støtteark!$B$22),AND(E99=Støtteark!$U$6,OR(O99=Støtteark!$B$22,O99=Støtteark!$B$24))),1,"")</f>
        <v/>
      </c>
      <c r="W99" s="232" t="str">
        <f>IF(OR(AND(N99 = Støtteark!$L$25,E99&lt;&gt;Støtteark!$U$6,OR(O99=Støtteark!$B$22,O99=Støtteark!$B$23,O99=Støtteark!$B$24,O99=Støtteark!$B$25)),AND(E99=Støtteark!$U$6,OR(O99=Støtteark!$B$22,O99=Støtteark!$B$24))),1,"")</f>
        <v/>
      </c>
      <c r="X99" s="231"/>
      <c r="Y99" s="231"/>
      <c r="Z99" s="235"/>
      <c r="AA99" s="231" t="str">
        <f>IF(OR(AND(E99&lt;&gt;Støtteark!$U$6,N99 = Støtteark!$L$25),N99 = Støtteark!$L$26,N99 = Støtteark!$L$28,AND(N99 = Støtteark!$L$29,E99&lt;&gt;Støtteark!$U$6,OR(O99=Støtteark!$B$30,O99=Støtteark!$B$32,O99=Støtteark!$B$33,AND(E99&lt;&gt;Støtteark!$U$6,O99=Støtteark!$B$34),O99=Støtteark!$B$35))),1,"")</f>
        <v/>
      </c>
      <c r="AB99" s="231" t="str">
        <f>IF(OR(AND(E99&lt;&gt;Støtteark!$U$6,N99 = Støtteark!$L$25),N99 = Støtteark!$L$26,N99 = Støtteark!$L$28,AND(N99 = Støtteark!$L$29,O99=Støtteark!$B$34)),1,"")</f>
        <v/>
      </c>
      <c r="AC99" s="231" t="str">
        <f>IF(OR(AND(E99&lt;&gt;Støtteark!$U$6,N99 = Støtteark!$L$25),N99 = Støtteark!$L$26,N99 = Støtteark!$L$28,AND(N99 = Støtteark!$L$29,E99&lt;&gt;Støtteark!$U$6,OR(O99=Støtteark!$B$30,O99 = Støtteark!$B$34))),1,"")</f>
        <v/>
      </c>
      <c r="AD99" s="232">
        <f>IF(OR(N99 = Støtteark!$L$25,N99 = Støtteark!$L$26,N99 = Støtteark!$L$28,AND(N99 = Støtteark!$L$29,OR(O99=Støtteark!$B$34,O99=Støtteark!$B$35)),AND(E99=Støtteark!$U$6,OR(O99=Støtteark!$B$29,O99=Støtteark!$B$30,O99=Støtteark!$B$32,O99=Støtteark!$B$33))),1,"")</f>
        <v>1</v>
      </c>
      <c r="AE99" s="231">
        <f>IF(OR(N99 = Støtteark!$L$25,N99 = Støtteark!$L$26,N99 = Støtteark!$L$28,AND(N99 = Støtteark!$L$29,OR(O99=Støtteark!$B$34,O99 = Støtteark!$B$30)),AND(E99=Støtteark!$U$6,O99=Støtteark!$B$29)),1,"")</f>
        <v>1</v>
      </c>
      <c r="AF99" s="231">
        <f>IF(OR(N99 = Støtteark!$L$25,N99 = Støtteark!$L$26,N99 = Støtteark!$L$28,AND(N99 = Støtteark!$L$29,O99=Støtteark!$B$34),AND(E99=Støtteark!$U$6,O99=Støtteark!$B$30),AND(E99=Støtteark!$U$6,O99=Støtteark!$B$29)),1,"")</f>
        <v>1</v>
      </c>
      <c r="AG99" s="231">
        <f>IF(OR(N99 = Støtteark!$L$25,N99 = Støtteark!$L$26,N99 = Støtteark!$L$28,AND(N99 = Støtteark!$L$29,OR(O99=Støtteark!$B$30,O99 = Støtteark!$B$31,O99=Støtteark!$B$32,O99=Støtteark!$B$34)),AND(E99=Støtteark!$U$6,OR(O99=Støtteark!$B$29,O99=Støtteark!$B$31))),1,"")</f>
        <v>1</v>
      </c>
      <c r="AH99" s="231">
        <f>IF(OR(N99 = Støtteark!$L$25,N99 = Støtteark!$L$26,N99 = Støtteark!$L$28,AND(N99 = Støtteark!$L$29,O99=Støtteark!$B$34),AND(E99=Støtteark!$U$6,OR(O99=Støtteark!$B$29,O99=Støtteark!$B$30))),1,"")</f>
        <v>1</v>
      </c>
      <c r="AI99" s="231">
        <f>IF(OR(N99 = Støtteark!$L$25,N99 = Støtteark!$L$26,N99 = Støtteark!$L$28,AND(N99 = Støtteark!$L$29,OR(O99=Støtteark!$B$34,O99 = Støtteark!$B$30)),AND(E99=Støtteark!$U$6,OR(O99=Støtteark!$B$29,O99=Støtteark!$B$30))),1,"")</f>
        <v>1</v>
      </c>
      <c r="AJ99" s="231" t="str">
        <f>IF(OR(AND(E99&lt;&gt;Støtteark!$U$6,N99 = Støtteark!$L$25),N99 = Støtteark!$L$26,N99 = Støtteark!$L$28,AND(N99 = Støtteark!$L$29,OR(O99=Støtteark!$B$34,O99=Støtteark!$B$35),O99&lt;&gt;Støtteark!$B$30)),1,"")</f>
        <v/>
      </c>
      <c r="AK99" s="231" t="str">
        <f>IF(OR(AND(E99&lt;&gt;Støtteark!$U$6,N99 = Støtteark!$L$25),N99 = Støtteark!$L$26,N99 = Støtteark!$L$28,AND(N99 = Støtteark!$L$29,E99&lt;&gt;Støtteark!$U$6,OR(O99=Støtteark!$B$34,O99 = Støtteark!$B$30))),1,"")</f>
        <v/>
      </c>
      <c r="AL99" s="231" t="str">
        <f>IF(OR(AND(E99&lt;&gt;Støtteark!$U$6,N99 = Støtteark!$L$25),N99 = Støtteark!$L$26,N99 = Støtteark!$L$28,AND(N99 = Støtteark!$L$29,O99=Støtteark!$B$34)),1,"")</f>
        <v/>
      </c>
      <c r="AM99" s="231" t="str">
        <f>IF(AND(N99 = Støtteark!$L$29,OR(O99=Støtteark!$B$30,O99=Støtteark!$B$32,O99=Støtteark!$B$33,O99=Støtteark!$B$34,O99=Støtteark!$B$35)),Støtteark!$L$32,"")</f>
        <v/>
      </c>
      <c r="AN99" s="235"/>
      <c r="AO99" s="91"/>
      <c r="AP99" s="170">
        <v>0</v>
      </c>
      <c r="AQ99" s="235"/>
      <c r="AR99" s="218">
        <f t="shared" ca="1" si="83"/>
        <v>44022</v>
      </c>
    </row>
    <row r="100" spans="1:44" hidden="1" x14ac:dyDescent="0.25">
      <c r="A100" s="222"/>
      <c r="B100" s="65"/>
      <c r="C100" s="65"/>
      <c r="D100" s="66"/>
      <c r="E100" s="66"/>
      <c r="F100" s="66"/>
      <c r="G100" s="65"/>
      <c r="H100" s="65"/>
      <c r="I100" s="237"/>
      <c r="J100" s="65"/>
      <c r="K100" s="65"/>
      <c r="L100" s="189"/>
      <c r="M100" s="158"/>
      <c r="N100" s="148"/>
      <c r="O100" s="67"/>
      <c r="P100" s="180"/>
      <c r="Q100" s="68"/>
      <c r="R100" s="237"/>
      <c r="S100" s="236"/>
      <c r="T100" s="236"/>
      <c r="U100" s="236"/>
      <c r="V100" s="236"/>
      <c r="W100" s="236"/>
      <c r="X100" s="236"/>
      <c r="Y100" s="236"/>
      <c r="Z100" s="237"/>
      <c r="AA100" s="236"/>
      <c r="AB100" s="236"/>
      <c r="AC100" s="236"/>
      <c r="AD100" s="236"/>
      <c r="AE100" s="236"/>
      <c r="AF100" s="236"/>
      <c r="AG100" s="236"/>
      <c r="AH100" s="236"/>
      <c r="AI100" s="236"/>
      <c r="AJ100" s="236"/>
      <c r="AK100" s="236"/>
      <c r="AL100" s="236"/>
      <c r="AM100" s="236"/>
      <c r="AN100" s="237"/>
      <c r="AO100" s="138"/>
      <c r="AP100" s="171"/>
      <c r="AQ100" s="237"/>
      <c r="AR100" s="139"/>
    </row>
    <row r="101" spans="1:44" hidden="1" x14ac:dyDescent="0.25">
      <c r="A101" s="223"/>
      <c r="B101" s="70"/>
      <c r="C101" s="70"/>
      <c r="D101" s="71"/>
      <c r="E101" s="71"/>
      <c r="F101" s="71"/>
      <c r="G101" s="70"/>
      <c r="H101" s="70"/>
      <c r="I101" s="237"/>
      <c r="J101" s="70"/>
      <c r="K101" s="70"/>
      <c r="L101" s="190"/>
      <c r="M101" s="159"/>
      <c r="N101" s="149"/>
      <c r="O101" s="72"/>
      <c r="P101" s="181"/>
      <c r="Q101" s="73"/>
      <c r="R101" s="237"/>
      <c r="S101" s="239"/>
      <c r="T101" s="239"/>
      <c r="U101" s="239"/>
      <c r="V101" s="239"/>
      <c r="W101" s="239"/>
      <c r="X101" s="239"/>
      <c r="Y101" s="239"/>
      <c r="Z101" s="237"/>
      <c r="AA101" s="239"/>
      <c r="AB101" s="239"/>
      <c r="AC101" s="239"/>
      <c r="AD101" s="239"/>
      <c r="AE101" s="239"/>
      <c r="AF101" s="239"/>
      <c r="AG101" s="239"/>
      <c r="AH101" s="239"/>
      <c r="AI101" s="239"/>
      <c r="AJ101" s="239"/>
      <c r="AK101" s="239"/>
      <c r="AL101" s="239"/>
      <c r="AM101" s="239"/>
      <c r="AN101" s="237"/>
      <c r="AO101" s="141"/>
      <c r="AP101" s="172"/>
      <c r="AQ101" s="237"/>
      <c r="AR101" s="142"/>
    </row>
    <row r="102" spans="1:44" ht="25.5" hidden="1" x14ac:dyDescent="0.25">
      <c r="A102" s="221" t="str">
        <f>A99</f>
        <v>Kundenr.-Ejendom</v>
      </c>
      <c r="B102" s="61" t="str">
        <f>Ydelser!A102&amp;" - "&amp;Ydelser!C102</f>
        <v>601 - Saltning</v>
      </c>
      <c r="C102" s="61" t="str">
        <f>Ydelser!D102</f>
        <v>Saltning af område.</v>
      </c>
      <c r="D102" s="61" t="b">
        <f>'FS Aftale'!D102</f>
        <v>0</v>
      </c>
      <c r="E102" s="156" t="str">
        <f>'FS Aftale'!E102</f>
        <v>Enhedspris</v>
      </c>
      <c r="F102" s="61" t="str">
        <f>F99</f>
        <v>Team Ansvarlig</v>
      </c>
      <c r="G102" s="61" t="str">
        <f t="shared" ref="G102:H102" si="84">G99</f>
        <v>Ansvarlig</v>
      </c>
      <c r="H102" s="61" t="str">
        <f t="shared" si="84"/>
        <v>Servicemedarb.</v>
      </c>
      <c r="I102" s="235"/>
      <c r="J102" s="61" t="str">
        <f t="shared" ref="J102:K102" si="85">J99</f>
        <v>Fast</v>
      </c>
      <c r="K102" s="61" t="str">
        <f t="shared" si="85"/>
        <v>FS aftale</v>
      </c>
      <c r="L102" s="188">
        <f>L99</f>
        <v>1</v>
      </c>
      <c r="M102" s="157" t="str">
        <f t="shared" ref="M102" si="86">M99</f>
        <v>Mangler planlægning</v>
      </c>
      <c r="N102" s="147" t="str">
        <f>IFERROR(VLOOKUP(O102,Støtteark!$B$21:$F$35,MATCH(E102,Støtteark!$B$21:$F$21,0),0),Støtteark!$L$35)</f>
        <v>Vælg en anden kombination</v>
      </c>
      <c r="O102" s="62">
        <f>'FS Aftale'!F102</f>
        <v>0</v>
      </c>
      <c r="P102" s="179" t="str">
        <f>P99</f>
        <v>7:00</v>
      </c>
      <c r="Q102" s="124">
        <f>'FS Aftale'!G102*Støtteark!$Q$15</f>
        <v>0</v>
      </c>
      <c r="R102" s="235"/>
      <c r="S102" s="231" t="str">
        <f>IF(OR(AND(OR(N102 = Støtteark!$L$25,N102 = Støtteark!$L$26,N102 = Støtteark!$L$28),E102&lt;&gt;Støtteark!$U$6,OR(O102=Støtteark!$B$22,O102=Støtteark!$B$23,O102=Støtteark!$B$24,O102=Støtteark!$B$25,O102=Støtteark!$B$26,O102=Støtteark!$B$27,O102=Støtteark!$B$28)),AND(E102=Støtteark!$U$6,OR(O102=Støtteark!$B$24,O102=Støtteark!$B$27,O102=Støtteark!$B$29))),1,"")</f>
        <v/>
      </c>
      <c r="T102" s="232" t="str">
        <f>IF(OR(AND(N102 = Støtteark!$L$25,E102&lt;&gt;Støtteark!$U$6,O102=Støtteark!$B$22),AND(E102=Støtteark!$U$6,O102=Støtteark!$B$24),O102=Støtteark!$B$22),1,"")</f>
        <v/>
      </c>
      <c r="U102" s="232" t="str">
        <f>IF(OR(AND(N102 = Støtteark!$L$25,E102&lt;&gt;Støtteark!$U$6,OR(O102=Støtteark!$B$22,O102=Støtteark!$B$23,O102=Støtteark!$B$24)),AND(E102=Støtteark!$U$6,OR(O102=Støtteark!$B$22,O102=Støtteark!$B$24))),1,"")</f>
        <v/>
      </c>
      <c r="V102" s="232" t="str">
        <f>IF(OR(AND(N102 = Støtteark!$L$25,E102&lt;&gt;Støtteark!$U$6,O102=Støtteark!$B$22),AND(E102=Støtteark!$U$6,OR(O102=Støtteark!$B$22,O102=Støtteark!$B$24))),1,"")</f>
        <v/>
      </c>
      <c r="W102" s="232" t="str">
        <f>IF(OR(AND(N102 = Støtteark!$L$25,E102&lt;&gt;Støtteark!$U$6,OR(O102=Støtteark!$B$22,O102=Støtteark!$B$23,O102=Støtteark!$B$24,O102=Støtteark!$B$25)),AND(E102=Støtteark!$U$6,OR(O102=Støtteark!$B$22,O102=Støtteark!$B$24))),1,"")</f>
        <v/>
      </c>
      <c r="X102" s="231"/>
      <c r="Y102" s="231"/>
      <c r="Z102" s="235"/>
      <c r="AA102" s="231" t="str">
        <f>IF(OR(AND(E102&lt;&gt;Støtteark!$U$6,N102 = Støtteark!$L$25),N102 = Støtteark!$L$26,N102 = Støtteark!$L$28,AND(N102 = Støtteark!$L$29,E102&lt;&gt;Støtteark!$U$6,OR(O102=Støtteark!$B$30,O102=Støtteark!$B$32,O102=Støtteark!$B$33,AND(E102&lt;&gt;Støtteark!$U$6,O102=Støtteark!$B$34),O102=Støtteark!$B$35))),1,"")</f>
        <v/>
      </c>
      <c r="AB102" s="231" t="str">
        <f>IF(OR(AND(E102&lt;&gt;Støtteark!$U$6,N102 = Støtteark!$L$25),N102 = Støtteark!$L$26,N102 = Støtteark!$L$28,AND(N102 = Støtteark!$L$29,O102=Støtteark!$B$34)),1,"")</f>
        <v/>
      </c>
      <c r="AC102" s="231" t="str">
        <f>IF(OR(AND(E102&lt;&gt;Støtteark!$U$6,N102 = Støtteark!$L$25),N102 = Støtteark!$L$26,N102 = Støtteark!$L$28,AND(N102 = Støtteark!$L$29,E102&lt;&gt;Støtteark!$U$6,OR(O102=Støtteark!$B$30,O102 = Støtteark!$B$34))),1,"")</f>
        <v/>
      </c>
      <c r="AD102" s="232" t="str">
        <f>IF(OR(N102 = Støtteark!$L$25,N102 = Støtteark!$L$26,N102 = Støtteark!$L$28,AND(N102 = Støtteark!$L$29,OR(O102=Støtteark!$B$34,O102=Støtteark!$B$35)),AND(E102=Støtteark!$U$6,OR(O102=Støtteark!$B$29,O102=Støtteark!$B$30,O102=Støtteark!$B$32,O102=Støtteark!$B$33))),1,"")</f>
        <v/>
      </c>
      <c r="AE102" s="231" t="str">
        <f>IF(OR(N102 = Støtteark!$L$25,N102 = Støtteark!$L$26,N102 = Støtteark!$L$28,AND(N102 = Støtteark!$L$29,OR(O102=Støtteark!$B$34,O102 = Støtteark!$B$30)),AND(E102=Støtteark!$U$6,O102=Støtteark!$B$29)),1,"")</f>
        <v/>
      </c>
      <c r="AF102" s="231" t="str">
        <f>IF(OR(N102 = Støtteark!$L$25,N102 = Støtteark!$L$26,N102 = Støtteark!$L$28,AND(N102 = Støtteark!$L$29,O102=Støtteark!$B$34),AND(E102=Støtteark!$U$6,O102=Støtteark!$B$30),AND(E102=Støtteark!$U$6,O102=Støtteark!$B$29)),1,"")</f>
        <v/>
      </c>
      <c r="AG102" s="231" t="str">
        <f>IF(OR(N102 = Støtteark!$L$25,N102 = Støtteark!$L$26,N102 = Støtteark!$L$28,AND(N102 = Støtteark!$L$29,OR(O102=Støtteark!$B$30,O102 = Støtteark!$B$31,O102=Støtteark!$B$32,O102=Støtteark!$B$34)),AND(E102=Støtteark!$U$6,OR(O102=Støtteark!$B$29,O102=Støtteark!$B$31))),1,"")</f>
        <v/>
      </c>
      <c r="AH102" s="231" t="str">
        <f>IF(OR(N102 = Støtteark!$L$25,N102 = Støtteark!$L$26,N102 = Støtteark!$L$28,AND(N102 = Støtteark!$L$29,O102=Støtteark!$B$34),AND(E102=Støtteark!$U$6,OR(O102=Støtteark!$B$29,O102=Støtteark!$B$30))),1,"")</f>
        <v/>
      </c>
      <c r="AI102" s="231" t="str">
        <f>IF(OR(N102 = Støtteark!$L$25,N102 = Støtteark!$L$26,N102 = Støtteark!$L$28,AND(N102 = Støtteark!$L$29,OR(O102=Støtteark!$B$34,O102 = Støtteark!$B$30)),AND(E102=Støtteark!$U$6,OR(O102=Støtteark!$B$29,O102=Støtteark!$B$30))),1,"")</f>
        <v/>
      </c>
      <c r="AJ102" s="231" t="str">
        <f>IF(OR(AND(E102&lt;&gt;Støtteark!$U$6,N102 = Støtteark!$L$25),N102 = Støtteark!$L$26,N102 = Støtteark!$L$28,AND(N102 = Støtteark!$L$29,OR(O102=Støtteark!$B$34,O102=Støtteark!$B$35),O102&lt;&gt;Støtteark!$B$30)),1,"")</f>
        <v/>
      </c>
      <c r="AK102" s="231" t="str">
        <f>IF(OR(AND(E102&lt;&gt;Støtteark!$U$6,N102 = Støtteark!$L$25),N102 = Støtteark!$L$26,N102 = Støtteark!$L$28,AND(N102 = Støtteark!$L$29,E102&lt;&gt;Støtteark!$U$6,OR(O102=Støtteark!$B$34,O102 = Støtteark!$B$30))),1,"")</f>
        <v/>
      </c>
      <c r="AL102" s="231" t="str">
        <f>IF(OR(AND(E102&lt;&gt;Støtteark!$U$6,N102 = Støtteark!$L$25),N102 = Støtteark!$L$26,N102 = Støtteark!$L$28,AND(N102 = Støtteark!$L$29,O102=Støtteark!$B$34)),1,"")</f>
        <v/>
      </c>
      <c r="AM102" s="231" t="str">
        <f>IF(AND(N102 = Støtteark!$L$29,OR(O102=Støtteark!$B$30,O102=Støtteark!$B$32,O102=Støtteark!$B$33,O102=Støtteark!$B$34,O102=Støtteark!$B$35)),Støtteark!$L$32,"")</f>
        <v/>
      </c>
      <c r="AN102" s="235"/>
      <c r="AO102" s="91"/>
      <c r="AP102" s="170">
        <v>0</v>
      </c>
      <c r="AQ102" s="235"/>
      <c r="AR102" s="64">
        <f ca="1">AR99</f>
        <v>44022</v>
      </c>
    </row>
    <row r="103" spans="1:44" ht="25.5" hidden="1" x14ac:dyDescent="0.25">
      <c r="A103" s="221" t="str">
        <f t="shared" ref="A103:A104" si="87">A102</f>
        <v>Kundenr.-Ejendom</v>
      </c>
      <c r="B103" s="61" t="str">
        <f>Ydelser!A103&amp;" - "&amp;Ydelser!C103</f>
        <v>602 - Snerydning inkl. saltning</v>
      </c>
      <c r="C103" s="61" t="str">
        <f>Ydelser!D103</f>
        <v>Snerydning inkl. saltning af område.</v>
      </c>
      <c r="D103" s="61" t="b">
        <f>'FS Aftale'!D103</f>
        <v>0</v>
      </c>
      <c r="E103" s="156" t="str">
        <f>'FS Aftale'!E103</f>
        <v>Enhedspris</v>
      </c>
      <c r="F103" s="61" t="str">
        <f t="shared" ref="F103:H104" si="88">F102</f>
        <v>Team Ansvarlig</v>
      </c>
      <c r="G103" s="61" t="str">
        <f t="shared" si="88"/>
        <v>Ansvarlig</v>
      </c>
      <c r="H103" s="61" t="str">
        <f t="shared" si="88"/>
        <v>Servicemedarb.</v>
      </c>
      <c r="I103" s="235"/>
      <c r="J103" s="61" t="str">
        <f t="shared" ref="J103:M104" si="89">J102</f>
        <v>Fast</v>
      </c>
      <c r="K103" s="61" t="str">
        <f t="shared" si="89"/>
        <v>FS aftale</v>
      </c>
      <c r="L103" s="188">
        <f t="shared" si="89"/>
        <v>1</v>
      </c>
      <c r="M103" s="157" t="str">
        <f t="shared" si="89"/>
        <v>Mangler planlægning</v>
      </c>
      <c r="N103" s="147" t="str">
        <f>IFERROR(VLOOKUP(O103,Støtteark!$B$21:$F$35,MATCH(E103,Støtteark!$B$21:$F$21,0),0),Støtteark!$L$35)</f>
        <v>Vælg en anden kombination</v>
      </c>
      <c r="O103" s="62">
        <f>'FS Aftale'!F103</f>
        <v>0</v>
      </c>
      <c r="P103" s="179" t="str">
        <f t="shared" ref="P103:P104" si="90">P102</f>
        <v>7:00</v>
      </c>
      <c r="Q103" s="124">
        <f>'FS Aftale'!G103*Støtteark!$Q$15</f>
        <v>0</v>
      </c>
      <c r="R103" s="235"/>
      <c r="S103" s="231" t="str">
        <f>IF(OR(AND(OR(N103 = Støtteark!$L$25,N103 = Støtteark!$L$26,N103 = Støtteark!$L$28),E103&lt;&gt;Støtteark!$U$6,OR(O103=Støtteark!$B$22,O103=Støtteark!$B$23,O103=Støtteark!$B$24,O103=Støtteark!$B$25,O103=Støtteark!$B$26,O103=Støtteark!$B$27,O103=Støtteark!$B$28)),AND(E103=Støtteark!$U$6,OR(O103=Støtteark!$B$24,O103=Støtteark!$B$27,O103=Støtteark!$B$29))),1,"")</f>
        <v/>
      </c>
      <c r="T103" s="232" t="str">
        <f>IF(OR(AND(N103 = Støtteark!$L$25,E103&lt;&gt;Støtteark!$U$6,O103=Støtteark!$B$22),AND(E103=Støtteark!$U$6,O103=Støtteark!$B$24),O103=Støtteark!$B$22),1,"")</f>
        <v/>
      </c>
      <c r="U103" s="232" t="str">
        <f>IF(OR(AND(N103 = Støtteark!$L$25,E103&lt;&gt;Støtteark!$U$6,OR(O103=Støtteark!$B$22,O103=Støtteark!$B$23,O103=Støtteark!$B$24)),AND(E103=Støtteark!$U$6,OR(O103=Støtteark!$B$22,O103=Støtteark!$B$24))),1,"")</f>
        <v/>
      </c>
      <c r="V103" s="232" t="str">
        <f>IF(OR(AND(N103 = Støtteark!$L$25,E103&lt;&gt;Støtteark!$U$6,O103=Støtteark!$B$22),AND(E103=Støtteark!$U$6,OR(O103=Støtteark!$B$22,O103=Støtteark!$B$24))),1,"")</f>
        <v/>
      </c>
      <c r="W103" s="232" t="str">
        <f>IF(OR(AND(N103 = Støtteark!$L$25,E103&lt;&gt;Støtteark!$U$6,OR(O103=Støtteark!$B$22,O103=Støtteark!$B$23,O103=Støtteark!$B$24,O103=Støtteark!$B$25)),AND(E103=Støtteark!$U$6,OR(O103=Støtteark!$B$22,O103=Støtteark!$B$24))),1,"")</f>
        <v/>
      </c>
      <c r="X103" s="231"/>
      <c r="Y103" s="231"/>
      <c r="Z103" s="235"/>
      <c r="AA103" s="231" t="str">
        <f>IF(OR(AND(E103&lt;&gt;Støtteark!$U$6,N103 = Støtteark!$L$25),N103 = Støtteark!$L$26,N103 = Støtteark!$L$28,AND(N103 = Støtteark!$L$29,E103&lt;&gt;Støtteark!$U$6,OR(O103=Støtteark!$B$30,O103=Støtteark!$B$32,O103=Støtteark!$B$33,AND(E103&lt;&gt;Støtteark!$U$6,O103=Støtteark!$B$34),O103=Støtteark!$B$35))),1,"")</f>
        <v/>
      </c>
      <c r="AB103" s="231" t="str">
        <f>IF(OR(AND(E103&lt;&gt;Støtteark!$U$6,N103 = Støtteark!$L$25),N103 = Støtteark!$L$26,N103 = Støtteark!$L$28,AND(N103 = Støtteark!$L$29,O103=Støtteark!$B$34)),1,"")</f>
        <v/>
      </c>
      <c r="AC103" s="231" t="str">
        <f>IF(OR(AND(E103&lt;&gt;Støtteark!$U$6,N103 = Støtteark!$L$25),N103 = Støtteark!$L$26,N103 = Støtteark!$L$28,AND(N103 = Støtteark!$L$29,E103&lt;&gt;Støtteark!$U$6,OR(O103=Støtteark!$B$30,O103 = Støtteark!$B$34))),1,"")</f>
        <v/>
      </c>
      <c r="AD103" s="232" t="str">
        <f>IF(OR(N103 = Støtteark!$L$25,N103 = Støtteark!$L$26,N103 = Støtteark!$L$28,AND(N103 = Støtteark!$L$29,OR(O103=Støtteark!$B$34,O103=Støtteark!$B$35)),AND(E103=Støtteark!$U$6,OR(O103=Støtteark!$B$29,O103=Støtteark!$B$30,O103=Støtteark!$B$32,O103=Støtteark!$B$33))),1,"")</f>
        <v/>
      </c>
      <c r="AE103" s="231" t="str">
        <f>IF(OR(N103 = Støtteark!$L$25,N103 = Støtteark!$L$26,N103 = Støtteark!$L$28,AND(N103 = Støtteark!$L$29,OR(O103=Støtteark!$B$34,O103 = Støtteark!$B$30)),AND(E103=Støtteark!$U$6,O103=Støtteark!$B$29)),1,"")</f>
        <v/>
      </c>
      <c r="AF103" s="231" t="str">
        <f>IF(OR(N103 = Støtteark!$L$25,N103 = Støtteark!$L$26,N103 = Støtteark!$L$28,AND(N103 = Støtteark!$L$29,O103=Støtteark!$B$34),AND(E103=Støtteark!$U$6,O103=Støtteark!$B$30),AND(E103=Støtteark!$U$6,O103=Støtteark!$B$29)),1,"")</f>
        <v/>
      </c>
      <c r="AG103" s="231" t="str">
        <f>IF(OR(N103 = Støtteark!$L$25,N103 = Støtteark!$L$26,N103 = Støtteark!$L$28,AND(N103 = Støtteark!$L$29,OR(O103=Støtteark!$B$30,O103 = Støtteark!$B$31,O103=Støtteark!$B$32,O103=Støtteark!$B$34)),AND(E103=Støtteark!$U$6,OR(O103=Støtteark!$B$29,O103=Støtteark!$B$31))),1,"")</f>
        <v/>
      </c>
      <c r="AH103" s="231" t="str">
        <f>IF(OR(N103 = Støtteark!$L$25,N103 = Støtteark!$L$26,N103 = Støtteark!$L$28,AND(N103 = Støtteark!$L$29,O103=Støtteark!$B$34),AND(E103=Støtteark!$U$6,OR(O103=Støtteark!$B$29,O103=Støtteark!$B$30))),1,"")</f>
        <v/>
      </c>
      <c r="AI103" s="231" t="str">
        <f>IF(OR(N103 = Støtteark!$L$25,N103 = Støtteark!$L$26,N103 = Støtteark!$L$28,AND(N103 = Støtteark!$L$29,OR(O103=Støtteark!$B$34,O103 = Støtteark!$B$30)),AND(E103=Støtteark!$U$6,OR(O103=Støtteark!$B$29,O103=Støtteark!$B$30))),1,"")</f>
        <v/>
      </c>
      <c r="AJ103" s="231" t="str">
        <f>IF(OR(AND(E103&lt;&gt;Støtteark!$U$6,N103 = Støtteark!$L$25),N103 = Støtteark!$L$26,N103 = Støtteark!$L$28,AND(N103 = Støtteark!$L$29,OR(O103=Støtteark!$B$34,O103=Støtteark!$B$35),O103&lt;&gt;Støtteark!$B$30)),1,"")</f>
        <v/>
      </c>
      <c r="AK103" s="231" t="str">
        <f>IF(OR(AND(E103&lt;&gt;Støtteark!$U$6,N103 = Støtteark!$L$25),N103 = Støtteark!$L$26,N103 = Støtteark!$L$28,AND(N103 = Støtteark!$L$29,E103&lt;&gt;Støtteark!$U$6,OR(O103=Støtteark!$B$34,O103 = Støtteark!$B$30))),1,"")</f>
        <v/>
      </c>
      <c r="AL103" s="231" t="str">
        <f>IF(OR(AND(E103&lt;&gt;Støtteark!$U$6,N103 = Støtteark!$L$25),N103 = Støtteark!$L$26,N103 = Støtteark!$L$28,AND(N103 = Støtteark!$L$29,O103=Støtteark!$B$34)),1,"")</f>
        <v/>
      </c>
      <c r="AM103" s="231" t="str">
        <f>IF(AND(N103 = Støtteark!$L$29,OR(O103=Støtteark!$B$30,O103=Støtteark!$B$32,O103=Støtteark!$B$33,O103=Støtteark!$B$34,O103=Støtteark!$B$35)),Støtteark!$L$32,"")</f>
        <v/>
      </c>
      <c r="AN103" s="235"/>
      <c r="AO103" s="91"/>
      <c r="AP103" s="170">
        <v>0</v>
      </c>
      <c r="AQ103" s="235"/>
      <c r="AR103" s="64">
        <f t="shared" ref="AR103:AR104" ca="1" si="91">AR102</f>
        <v>44022</v>
      </c>
    </row>
    <row r="104" spans="1:44" ht="25.5" hidden="1" x14ac:dyDescent="0.25">
      <c r="A104" s="221" t="str">
        <f t="shared" si="87"/>
        <v>Kundenr.-Ejendom</v>
      </c>
      <c r="B104" s="61" t="str">
        <f>Ydelser!A104&amp;" - "&amp;Ydelser!C104</f>
        <v>603 - Sæsonovervågning</v>
      </c>
      <c r="C104" s="61" t="str">
        <f>Ydelser!D104</f>
        <v>Forestå overvågning af DMI's og vintertjenestens varsler. Effektuere udkald.</v>
      </c>
      <c r="D104" s="61" t="b">
        <f>'FS Aftale'!D104</f>
        <v>0</v>
      </c>
      <c r="E104" s="156" t="str">
        <f>'FS Aftale'!E104</f>
        <v>Enhedspris</v>
      </c>
      <c r="F104" s="61" t="str">
        <f t="shared" si="88"/>
        <v>Team Ansvarlig</v>
      </c>
      <c r="G104" s="61" t="str">
        <f t="shared" si="88"/>
        <v>Ansvarlig</v>
      </c>
      <c r="H104" s="61" t="str">
        <f t="shared" si="88"/>
        <v>Servicemedarb.</v>
      </c>
      <c r="I104" s="235"/>
      <c r="J104" s="61" t="str">
        <f t="shared" si="89"/>
        <v>Fast</v>
      </c>
      <c r="K104" s="61" t="str">
        <f t="shared" si="89"/>
        <v>FS aftale</v>
      </c>
      <c r="L104" s="188">
        <f t="shared" si="89"/>
        <v>1</v>
      </c>
      <c r="M104" s="157" t="str">
        <f t="shared" si="89"/>
        <v>Mangler planlægning</v>
      </c>
      <c r="N104" s="147" t="str">
        <f>IFERROR(VLOOKUP(O104,Støtteark!$B$21:$F$35,MATCH(E104,Støtteark!$B$21:$F$21,0),0),Støtteark!$L$35)</f>
        <v>Vælg en anden kombination</v>
      </c>
      <c r="O104" s="62">
        <f>'FS Aftale'!F104</f>
        <v>0</v>
      </c>
      <c r="P104" s="179" t="str">
        <f t="shared" si="90"/>
        <v>7:00</v>
      </c>
      <c r="Q104" s="124">
        <f>'FS Aftale'!G104*Støtteark!$Q$15</f>
        <v>0</v>
      </c>
      <c r="R104" s="235"/>
      <c r="S104" s="231" t="str">
        <f>IF(OR(AND(OR(N104 = Støtteark!$L$25,N104 = Støtteark!$L$26,N104 = Støtteark!$L$28),E104&lt;&gt;Støtteark!$U$6,OR(O104=Støtteark!$B$22,O104=Støtteark!$B$23,O104=Støtteark!$B$24,O104=Støtteark!$B$25,O104=Støtteark!$B$26,O104=Støtteark!$B$27,O104=Støtteark!$B$28)),AND(E104=Støtteark!$U$6,OR(O104=Støtteark!$B$24,O104=Støtteark!$B$27,O104=Støtteark!$B$29))),1,"")</f>
        <v/>
      </c>
      <c r="T104" s="232" t="str">
        <f>IF(OR(AND(N104 = Støtteark!$L$25,E104&lt;&gt;Støtteark!$U$6,O104=Støtteark!$B$22),AND(E104=Støtteark!$U$6,O104=Støtteark!$B$24),O104=Støtteark!$B$22),1,"")</f>
        <v/>
      </c>
      <c r="U104" s="232" t="str">
        <f>IF(OR(AND(N104 = Støtteark!$L$25,E104&lt;&gt;Støtteark!$U$6,OR(O104=Støtteark!$B$22,O104=Støtteark!$B$23,O104=Støtteark!$B$24)),AND(E104=Støtteark!$U$6,OR(O104=Støtteark!$B$22,O104=Støtteark!$B$24))),1,"")</f>
        <v/>
      </c>
      <c r="V104" s="232" t="str">
        <f>IF(OR(AND(N104 = Støtteark!$L$25,E104&lt;&gt;Støtteark!$U$6,O104=Støtteark!$B$22),AND(E104=Støtteark!$U$6,OR(O104=Støtteark!$B$22,O104=Støtteark!$B$24))),1,"")</f>
        <v/>
      </c>
      <c r="W104" s="232" t="str">
        <f>IF(OR(AND(N104 = Støtteark!$L$25,E104&lt;&gt;Støtteark!$U$6,OR(O104=Støtteark!$B$22,O104=Støtteark!$B$23,O104=Støtteark!$B$24,O104=Støtteark!$B$25)),AND(E104=Støtteark!$U$6,OR(O104=Støtteark!$B$22,O104=Støtteark!$B$24))),1,"")</f>
        <v/>
      </c>
      <c r="X104" s="231"/>
      <c r="Y104" s="231"/>
      <c r="Z104" s="235"/>
      <c r="AA104" s="231" t="str">
        <f>IF(OR(AND(E104&lt;&gt;Støtteark!$U$6,N104 = Støtteark!$L$25),N104 = Støtteark!$L$26,N104 = Støtteark!$L$28,AND(N104 = Støtteark!$L$29,E104&lt;&gt;Støtteark!$U$6,OR(O104=Støtteark!$B$30,O104=Støtteark!$B$32,O104=Støtteark!$B$33,AND(E104&lt;&gt;Støtteark!$U$6,O104=Støtteark!$B$34),O104=Støtteark!$B$35))),1,"")</f>
        <v/>
      </c>
      <c r="AB104" s="231" t="str">
        <f>IF(OR(AND(E104&lt;&gt;Støtteark!$U$6,N104 = Støtteark!$L$25),N104 = Støtteark!$L$26,N104 = Støtteark!$L$28,AND(N104 = Støtteark!$L$29,O104=Støtteark!$B$34)),1,"")</f>
        <v/>
      </c>
      <c r="AC104" s="231" t="str">
        <f>IF(OR(AND(E104&lt;&gt;Støtteark!$U$6,N104 = Støtteark!$L$25),N104 = Støtteark!$L$26,N104 = Støtteark!$L$28,AND(N104 = Støtteark!$L$29,E104&lt;&gt;Støtteark!$U$6,OR(O104=Støtteark!$B$30,O104 = Støtteark!$B$34))),1,"")</f>
        <v/>
      </c>
      <c r="AD104" s="232" t="str">
        <f>IF(OR(N104 = Støtteark!$L$25,N104 = Støtteark!$L$26,N104 = Støtteark!$L$28,AND(N104 = Støtteark!$L$29,OR(O104=Støtteark!$B$34,O104=Støtteark!$B$35)),AND(E104=Støtteark!$U$6,OR(O104=Støtteark!$B$29,O104=Støtteark!$B$30,O104=Støtteark!$B$32,O104=Støtteark!$B$33))),1,"")</f>
        <v/>
      </c>
      <c r="AE104" s="231" t="str">
        <f>IF(OR(N104 = Støtteark!$L$25,N104 = Støtteark!$L$26,N104 = Støtteark!$L$28,AND(N104 = Støtteark!$L$29,OR(O104=Støtteark!$B$34,O104 = Støtteark!$B$30)),AND(E104=Støtteark!$U$6,O104=Støtteark!$B$29)),1,"")</f>
        <v/>
      </c>
      <c r="AF104" s="231" t="str">
        <f>IF(OR(N104 = Støtteark!$L$25,N104 = Støtteark!$L$26,N104 = Støtteark!$L$28,AND(N104 = Støtteark!$L$29,O104=Støtteark!$B$34),AND(E104=Støtteark!$U$6,O104=Støtteark!$B$30),AND(E104=Støtteark!$U$6,O104=Støtteark!$B$29)),1,"")</f>
        <v/>
      </c>
      <c r="AG104" s="231" t="str">
        <f>IF(OR(N104 = Støtteark!$L$25,N104 = Støtteark!$L$26,N104 = Støtteark!$L$28,AND(N104 = Støtteark!$L$29,OR(O104=Støtteark!$B$30,O104 = Støtteark!$B$31,O104=Støtteark!$B$32,O104=Støtteark!$B$34)),AND(E104=Støtteark!$U$6,OR(O104=Støtteark!$B$29,O104=Støtteark!$B$31))),1,"")</f>
        <v/>
      </c>
      <c r="AH104" s="231" t="str">
        <f>IF(OR(N104 = Støtteark!$L$25,N104 = Støtteark!$L$26,N104 = Støtteark!$L$28,AND(N104 = Støtteark!$L$29,O104=Støtteark!$B$34),AND(E104=Støtteark!$U$6,OR(O104=Støtteark!$B$29,O104=Støtteark!$B$30))),1,"")</f>
        <v/>
      </c>
      <c r="AI104" s="231" t="str">
        <f>IF(OR(N104 = Støtteark!$L$25,N104 = Støtteark!$L$26,N104 = Støtteark!$L$28,AND(N104 = Støtteark!$L$29,OR(O104=Støtteark!$B$34,O104 = Støtteark!$B$30)),AND(E104=Støtteark!$U$6,OR(O104=Støtteark!$B$29,O104=Støtteark!$B$30))),1,"")</f>
        <v/>
      </c>
      <c r="AJ104" s="231" t="str">
        <f>IF(OR(AND(E104&lt;&gt;Støtteark!$U$6,N104 = Støtteark!$L$25),N104 = Støtteark!$L$26,N104 = Støtteark!$L$28,AND(N104 = Støtteark!$L$29,OR(O104=Støtteark!$B$34,O104=Støtteark!$B$35),O104&lt;&gt;Støtteark!$B$30)),1,"")</f>
        <v/>
      </c>
      <c r="AK104" s="231" t="str">
        <f>IF(OR(AND(E104&lt;&gt;Støtteark!$U$6,N104 = Støtteark!$L$25),N104 = Støtteark!$L$26,N104 = Støtteark!$L$28,AND(N104 = Støtteark!$L$29,E104&lt;&gt;Støtteark!$U$6,OR(O104=Støtteark!$B$34,O104 = Støtteark!$B$30))),1,"")</f>
        <v/>
      </c>
      <c r="AL104" s="231" t="str">
        <f>IF(OR(AND(E104&lt;&gt;Støtteark!$U$6,N104 = Støtteark!$L$25),N104 = Støtteark!$L$26,N104 = Støtteark!$L$28,AND(N104 = Støtteark!$L$29,O104=Støtteark!$B$34)),1,"")</f>
        <v/>
      </c>
      <c r="AM104" s="231" t="str">
        <f>IF(AND(N104 = Støtteark!$L$29,OR(O104=Støtteark!$B$30,O104=Støtteark!$B$32,O104=Støtteark!$B$33,O104=Støtteark!$B$34,O104=Støtteark!$B$35)),Støtteark!$L$32,"")</f>
        <v/>
      </c>
      <c r="AN104" s="235"/>
      <c r="AO104" s="91"/>
      <c r="AP104" s="170">
        <v>0</v>
      </c>
      <c r="AQ104" s="235"/>
      <c r="AR104" s="64">
        <f t="shared" ca="1" si="91"/>
        <v>44022</v>
      </c>
    </row>
    <row r="105" spans="1:44" hidden="1" x14ac:dyDescent="0.25">
      <c r="A105" s="222"/>
      <c r="B105" s="65"/>
      <c r="C105" s="65"/>
      <c r="D105" s="66"/>
      <c r="E105" s="66"/>
      <c r="F105" s="66"/>
      <c r="G105" s="65"/>
      <c r="H105" s="65"/>
      <c r="I105" s="237"/>
      <c r="J105" s="65"/>
      <c r="K105" s="65"/>
      <c r="L105" s="189"/>
      <c r="M105" s="158"/>
      <c r="N105" s="148"/>
      <c r="O105" s="67"/>
      <c r="P105" s="180"/>
      <c r="Q105" s="68"/>
      <c r="R105" s="237"/>
      <c r="S105" s="236"/>
      <c r="T105" s="236"/>
      <c r="U105" s="236"/>
      <c r="V105" s="236"/>
      <c r="W105" s="236"/>
      <c r="X105" s="236"/>
      <c r="Y105" s="236"/>
      <c r="Z105" s="237"/>
      <c r="AA105" s="236"/>
      <c r="AB105" s="236"/>
      <c r="AC105" s="236"/>
      <c r="AD105" s="236"/>
      <c r="AE105" s="236"/>
      <c r="AF105" s="236"/>
      <c r="AG105" s="236"/>
      <c r="AH105" s="236"/>
      <c r="AI105" s="236"/>
      <c r="AJ105" s="236"/>
      <c r="AK105" s="236"/>
      <c r="AL105" s="236"/>
      <c r="AM105" s="236"/>
      <c r="AN105" s="237"/>
      <c r="AO105" s="138"/>
      <c r="AP105" s="171"/>
      <c r="AQ105" s="237"/>
      <c r="AR105" s="139"/>
    </row>
    <row r="106" spans="1:44" hidden="1" x14ac:dyDescent="0.25">
      <c r="A106" s="223"/>
      <c r="B106" s="70"/>
      <c r="C106" s="70"/>
      <c r="D106" s="71"/>
      <c r="E106" s="71"/>
      <c r="F106" s="71"/>
      <c r="G106" s="70"/>
      <c r="H106" s="70"/>
      <c r="I106" s="237"/>
      <c r="J106" s="70"/>
      <c r="K106" s="70"/>
      <c r="L106" s="190"/>
      <c r="M106" s="159"/>
      <c r="N106" s="149"/>
      <c r="O106" s="72"/>
      <c r="P106" s="181"/>
      <c r="Q106" s="73"/>
      <c r="R106" s="237"/>
      <c r="S106" s="239"/>
      <c r="T106" s="239"/>
      <c r="U106" s="239"/>
      <c r="V106" s="239"/>
      <c r="W106" s="239"/>
      <c r="X106" s="239"/>
      <c r="Y106" s="239"/>
      <c r="Z106" s="237"/>
      <c r="AA106" s="239"/>
      <c r="AB106" s="239"/>
      <c r="AC106" s="239"/>
      <c r="AD106" s="239"/>
      <c r="AE106" s="239"/>
      <c r="AF106" s="239"/>
      <c r="AG106" s="239"/>
      <c r="AH106" s="239"/>
      <c r="AI106" s="239"/>
      <c r="AJ106" s="239"/>
      <c r="AK106" s="239"/>
      <c r="AL106" s="239"/>
      <c r="AM106" s="239"/>
      <c r="AN106" s="237"/>
      <c r="AO106" s="141"/>
      <c r="AP106" s="172"/>
      <c r="AQ106" s="237"/>
      <c r="AR106" s="142"/>
    </row>
    <row r="107" spans="1:44" ht="25.5" hidden="1" x14ac:dyDescent="0.25">
      <c r="A107" s="221" t="str">
        <f>A104</f>
        <v>Kundenr.-Ejendom</v>
      </c>
      <c r="B107" s="61" t="str">
        <f>Ydelser!A107&amp;" - "&amp;Ydelser!C107</f>
        <v>701 - Fremvisning</v>
      </c>
      <c r="C107" s="61" t="str">
        <f>Ydelser!D107</f>
        <v>Planlægning af fremvisning.
Fremvisning af lejemål.</v>
      </c>
      <c r="D107" s="61" t="b">
        <f>'FS Aftale'!D107</f>
        <v>1</v>
      </c>
      <c r="E107" s="156" t="str">
        <f>'FS Aftale'!E107</f>
        <v>Enhedspris</v>
      </c>
      <c r="F107" s="61" t="str">
        <f>F104</f>
        <v>Team Ansvarlig</v>
      </c>
      <c r="G107" s="61" t="str">
        <f t="shared" ref="G107:H107" si="92">G104</f>
        <v>Ansvarlig</v>
      </c>
      <c r="H107" s="61" t="str">
        <f t="shared" si="92"/>
        <v>Servicemedarb.</v>
      </c>
      <c r="I107" s="235"/>
      <c r="J107" s="61" t="str">
        <f t="shared" ref="J107:K107" si="93">J104</f>
        <v>Fast</v>
      </c>
      <c r="K107" s="61" t="str">
        <f t="shared" si="93"/>
        <v>FS aftale</v>
      </c>
      <c r="L107" s="188">
        <f>L104</f>
        <v>1</v>
      </c>
      <c r="M107" s="157" t="str">
        <f t="shared" ref="M107" si="94">M104</f>
        <v>Mangler planlægning</v>
      </c>
      <c r="N107" s="147" t="str">
        <f>IFERROR(VLOOKUP(O107,Støtteark!$B$21:$F$35,MATCH(E107,Støtteark!$B$21:$F$21,0),0),Støtteark!$L$35)</f>
        <v>Vælg en anden kombination</v>
      </c>
      <c r="O107" s="62">
        <f>'FS Aftale'!F107</f>
        <v>0</v>
      </c>
      <c r="P107" s="179" t="str">
        <f>P104</f>
        <v>7:00</v>
      </c>
      <c r="Q107" s="63">
        <f>'FS Aftale'!G107*Støtteark!$Q$15</f>
        <v>0</v>
      </c>
      <c r="R107" s="235"/>
      <c r="S107" s="231" t="str">
        <f>IF(OR(AND(OR(N107 = Støtteark!$L$25,N107 = Støtteark!$L$26,N107 = Støtteark!$L$28),E107&lt;&gt;Støtteark!$U$6,OR(O107=Støtteark!$B$22,O107=Støtteark!$B$23,O107=Støtteark!$B$24,O107=Støtteark!$B$25,O107=Støtteark!$B$26,O107=Støtteark!$B$27,O107=Støtteark!$B$28)),AND(E107=Støtteark!$U$6,OR(O107=Støtteark!$B$24,O107=Støtteark!$B$27,O107=Støtteark!$B$29))),1,"")</f>
        <v/>
      </c>
      <c r="T107" s="232" t="str">
        <f>IF(OR(AND(N107 = Støtteark!$L$25,E107&lt;&gt;Støtteark!$U$6,O107=Støtteark!$B$22),AND(E107=Støtteark!$U$6,O107=Støtteark!$B$24),O107=Støtteark!$B$22),1,"")</f>
        <v/>
      </c>
      <c r="U107" s="232" t="str">
        <f>IF(OR(AND(N107 = Støtteark!$L$25,E107&lt;&gt;Støtteark!$U$6,OR(O107=Støtteark!$B$22,O107=Støtteark!$B$23,O107=Støtteark!$B$24)),AND(E107=Støtteark!$U$6,OR(O107=Støtteark!$B$22,O107=Støtteark!$B$24))),1,"")</f>
        <v/>
      </c>
      <c r="V107" s="232" t="str">
        <f>IF(OR(AND(N107 = Støtteark!$L$25,E107&lt;&gt;Støtteark!$U$6,O107=Støtteark!$B$22),AND(E107=Støtteark!$U$6,OR(O107=Støtteark!$B$22,O107=Støtteark!$B$24))),1,"")</f>
        <v/>
      </c>
      <c r="W107" s="232" t="str">
        <f>IF(OR(AND(N107 = Støtteark!$L$25,E107&lt;&gt;Støtteark!$U$6,OR(O107=Støtteark!$B$22,O107=Støtteark!$B$23,O107=Støtteark!$B$24,O107=Støtteark!$B$25)),AND(E107=Støtteark!$U$6,OR(O107=Støtteark!$B$22,O107=Støtteark!$B$24))),1,"")</f>
        <v/>
      </c>
      <c r="X107" s="231"/>
      <c r="Y107" s="231"/>
      <c r="Z107" s="235"/>
      <c r="AA107" s="231" t="str">
        <f>IF(OR(AND(E107&lt;&gt;Støtteark!$U$6,N107 = Støtteark!$L$25),N107 = Støtteark!$L$26,N107 = Støtteark!$L$28,AND(N107 = Støtteark!$L$29,E107&lt;&gt;Støtteark!$U$6,OR(O107=Støtteark!$B$30,O107=Støtteark!$B$32,O107=Støtteark!$B$33,AND(E107&lt;&gt;Støtteark!$U$6,O107=Støtteark!$B$34),O107=Støtteark!$B$35))),1,"")</f>
        <v/>
      </c>
      <c r="AB107" s="231" t="str">
        <f>IF(OR(AND(E107&lt;&gt;Støtteark!$U$6,N107 = Støtteark!$L$25),N107 = Støtteark!$L$26,N107 = Støtteark!$L$28,AND(N107 = Støtteark!$L$29,O107=Støtteark!$B$34)),1,"")</f>
        <v/>
      </c>
      <c r="AC107" s="231" t="str">
        <f>IF(OR(AND(E107&lt;&gt;Støtteark!$U$6,N107 = Støtteark!$L$25),N107 = Støtteark!$L$26,N107 = Støtteark!$L$28,AND(N107 = Støtteark!$L$29,E107&lt;&gt;Støtteark!$U$6,OR(O107=Støtteark!$B$30,O107 = Støtteark!$B$34))),1,"")</f>
        <v/>
      </c>
      <c r="AD107" s="232" t="str">
        <f>IF(OR(N107 = Støtteark!$L$25,N107 = Støtteark!$L$26,N107 = Støtteark!$L$28,AND(N107 = Støtteark!$L$29,OR(O107=Støtteark!$B$34,O107=Støtteark!$B$35)),AND(E107=Støtteark!$U$6,OR(O107=Støtteark!$B$29,O107=Støtteark!$B$30,O107=Støtteark!$B$32,O107=Støtteark!$B$33))),1,"")</f>
        <v/>
      </c>
      <c r="AE107" s="231" t="str">
        <f>IF(OR(N107 = Støtteark!$L$25,N107 = Støtteark!$L$26,N107 = Støtteark!$L$28,AND(N107 = Støtteark!$L$29,OR(O107=Støtteark!$B$34,O107 = Støtteark!$B$30)),AND(E107=Støtteark!$U$6,O107=Støtteark!$B$29)),1,"")</f>
        <v/>
      </c>
      <c r="AF107" s="231" t="str">
        <f>IF(OR(N107 = Støtteark!$L$25,N107 = Støtteark!$L$26,N107 = Støtteark!$L$28,AND(N107 = Støtteark!$L$29,O107=Støtteark!$B$34),AND(E107=Støtteark!$U$6,O107=Støtteark!$B$30),AND(E107=Støtteark!$U$6,O107=Støtteark!$B$29)),1,"")</f>
        <v/>
      </c>
      <c r="AG107" s="231" t="str">
        <f>IF(OR(N107 = Støtteark!$L$25,N107 = Støtteark!$L$26,N107 = Støtteark!$L$28,AND(N107 = Støtteark!$L$29,OR(O107=Støtteark!$B$30,O107 = Støtteark!$B$31,O107=Støtteark!$B$32,O107=Støtteark!$B$34)),AND(E107=Støtteark!$U$6,OR(O107=Støtteark!$B$29,O107=Støtteark!$B$31))),1,"")</f>
        <v/>
      </c>
      <c r="AH107" s="231" t="str">
        <f>IF(OR(N107 = Støtteark!$L$25,N107 = Støtteark!$L$26,N107 = Støtteark!$L$28,AND(N107 = Støtteark!$L$29,O107=Støtteark!$B$34),AND(E107=Støtteark!$U$6,OR(O107=Støtteark!$B$29,O107=Støtteark!$B$30))),1,"")</f>
        <v/>
      </c>
      <c r="AI107" s="231" t="str">
        <f>IF(OR(N107 = Støtteark!$L$25,N107 = Støtteark!$L$26,N107 = Støtteark!$L$28,AND(N107 = Støtteark!$L$29,OR(O107=Støtteark!$B$34,O107 = Støtteark!$B$30)),AND(E107=Støtteark!$U$6,OR(O107=Støtteark!$B$29,O107=Støtteark!$B$30))),1,"")</f>
        <v/>
      </c>
      <c r="AJ107" s="231" t="str">
        <f>IF(OR(AND(E107&lt;&gt;Støtteark!$U$6,N107 = Støtteark!$L$25),N107 = Støtteark!$L$26,N107 = Støtteark!$L$28,AND(N107 = Støtteark!$L$29,OR(O107=Støtteark!$B$34,O107=Støtteark!$B$35),O107&lt;&gt;Støtteark!$B$30)),1,"")</f>
        <v/>
      </c>
      <c r="AK107" s="231" t="str">
        <f>IF(OR(AND(E107&lt;&gt;Støtteark!$U$6,N107 = Støtteark!$L$25),N107 = Støtteark!$L$26,N107 = Støtteark!$L$28,AND(N107 = Støtteark!$L$29,E107&lt;&gt;Støtteark!$U$6,OR(O107=Støtteark!$B$34,O107 = Støtteark!$B$30))),1,"")</f>
        <v/>
      </c>
      <c r="AL107" s="231" t="str">
        <f>IF(OR(AND(E107&lt;&gt;Støtteark!$U$6,N107 = Støtteark!$L$25),N107 = Støtteark!$L$26,N107 = Støtteark!$L$28,AND(N107 = Støtteark!$L$29,O107=Støtteark!$B$34)),1,"")</f>
        <v/>
      </c>
      <c r="AM107" s="231" t="str">
        <f>IF(AND(N107 = Støtteark!$L$29,OR(O107=Støtteark!$B$30,O107=Støtteark!$B$32,O107=Støtteark!$B$33,O107=Støtteark!$B$34,O107=Støtteark!$B$35)),Støtteark!$L$32,"")</f>
        <v/>
      </c>
      <c r="AN107" s="235"/>
      <c r="AO107" s="91"/>
      <c r="AP107" s="170">
        <v>0</v>
      </c>
      <c r="AQ107" s="235"/>
      <c r="AR107" s="64">
        <f ca="1">AR104</f>
        <v>44022</v>
      </c>
    </row>
    <row r="108" spans="1:44" ht="25.5" hidden="1" x14ac:dyDescent="0.25">
      <c r="A108" s="221" t="str">
        <f t="shared" ref="A108:A110" si="95">A107</f>
        <v>Kundenr.-Ejendom</v>
      </c>
      <c r="B108" s="61" t="str">
        <f>Ydelser!A108&amp;" - "&amp;Ydelser!C108</f>
        <v>702 - Indflytning</v>
      </c>
      <c r="C108" s="61" t="str">
        <f>Ydelser!D108</f>
        <v>Planlægning af flyttesyn, 14. dages gennemgang.
Udførelse med relevante måleraflæsninger og returnering af flyttesynsdokumenter og måleraflæsninger til kunden.
Udlevering af nøgler, beboermappe m.m. Gennemgang af indflytningsrapport og bestilling af mangelafhjælpning samt 14-dages gennemgang med lejer.
Ændring af navneskilte, navn på dør, postkasse, dørtelefon m.m. (ekskl. materialer).</v>
      </c>
      <c r="D108" s="61" t="b">
        <f>'FS Aftale'!D108</f>
        <v>1</v>
      </c>
      <c r="E108" s="156" t="str">
        <f>'FS Aftale'!E108</f>
        <v>Enhedspris</v>
      </c>
      <c r="F108" s="61" t="str">
        <f t="shared" ref="F108:H110" si="96">F107</f>
        <v>Team Ansvarlig</v>
      </c>
      <c r="G108" s="61" t="str">
        <f t="shared" si="96"/>
        <v>Ansvarlig</v>
      </c>
      <c r="H108" s="61" t="str">
        <f t="shared" si="96"/>
        <v>Servicemedarb.</v>
      </c>
      <c r="I108" s="235"/>
      <c r="J108" s="61" t="str">
        <f t="shared" ref="J108:M110" si="97">J107</f>
        <v>Fast</v>
      </c>
      <c r="K108" s="61" t="str">
        <f t="shared" si="97"/>
        <v>FS aftale</v>
      </c>
      <c r="L108" s="188">
        <f t="shared" si="97"/>
        <v>1</v>
      </c>
      <c r="M108" s="157" t="str">
        <f t="shared" si="97"/>
        <v>Mangler planlægning</v>
      </c>
      <c r="N108" s="147" t="str">
        <f>IFERROR(VLOOKUP(O108,Støtteark!$B$21:$F$35,MATCH(E108,Støtteark!$B$21:$F$21,0),0),Støtteark!$L$35)</f>
        <v>Vælg en anden kombination</v>
      </c>
      <c r="O108" s="62">
        <f>'FS Aftale'!F108</f>
        <v>0</v>
      </c>
      <c r="P108" s="179" t="str">
        <f t="shared" ref="P108:P110" si="98">P107</f>
        <v>7:00</v>
      </c>
      <c r="Q108" s="63">
        <f>'FS Aftale'!G108*Støtteark!$Q$15</f>
        <v>0</v>
      </c>
      <c r="R108" s="235"/>
      <c r="S108" s="231" t="str">
        <f>IF(OR(AND(OR(N108 = Støtteark!$L$25,N108 = Støtteark!$L$26,N108 = Støtteark!$L$28),E108&lt;&gt;Støtteark!$U$6,OR(O108=Støtteark!$B$22,O108=Støtteark!$B$23,O108=Støtteark!$B$24,O108=Støtteark!$B$25,O108=Støtteark!$B$26,O108=Støtteark!$B$27,O108=Støtteark!$B$28)),AND(E108=Støtteark!$U$6,OR(O108=Støtteark!$B$24,O108=Støtteark!$B$27,O108=Støtteark!$B$29))),1,"")</f>
        <v/>
      </c>
      <c r="T108" s="232" t="str">
        <f>IF(OR(AND(N108 = Støtteark!$L$25,E108&lt;&gt;Støtteark!$U$6,O108=Støtteark!$B$22),AND(E108=Støtteark!$U$6,O108=Støtteark!$B$24),O108=Støtteark!$B$22),1,"")</f>
        <v/>
      </c>
      <c r="U108" s="232" t="str">
        <f>IF(OR(AND(N108 = Støtteark!$L$25,E108&lt;&gt;Støtteark!$U$6,OR(O108=Støtteark!$B$22,O108=Støtteark!$B$23,O108=Støtteark!$B$24)),AND(E108=Støtteark!$U$6,OR(O108=Støtteark!$B$22,O108=Støtteark!$B$24))),1,"")</f>
        <v/>
      </c>
      <c r="V108" s="232" t="str">
        <f>IF(OR(AND(N108 = Støtteark!$L$25,E108&lt;&gt;Støtteark!$U$6,O108=Støtteark!$B$22),AND(E108=Støtteark!$U$6,OR(O108=Støtteark!$B$22,O108=Støtteark!$B$24))),1,"")</f>
        <v/>
      </c>
      <c r="W108" s="232" t="str">
        <f>IF(OR(AND(N108 = Støtteark!$L$25,E108&lt;&gt;Støtteark!$U$6,OR(O108=Støtteark!$B$22,O108=Støtteark!$B$23,O108=Støtteark!$B$24,O108=Støtteark!$B$25)),AND(E108=Støtteark!$U$6,OR(O108=Støtteark!$B$22,O108=Støtteark!$B$24))),1,"")</f>
        <v/>
      </c>
      <c r="X108" s="231"/>
      <c r="Y108" s="231"/>
      <c r="Z108" s="235"/>
      <c r="AA108" s="231" t="str">
        <f>IF(OR(AND(E108&lt;&gt;Støtteark!$U$6,N108 = Støtteark!$L$25),N108 = Støtteark!$L$26,N108 = Støtteark!$L$28,AND(N108 = Støtteark!$L$29,E108&lt;&gt;Støtteark!$U$6,OR(O108=Støtteark!$B$30,O108=Støtteark!$B$32,O108=Støtteark!$B$33,AND(E108&lt;&gt;Støtteark!$U$6,O108=Støtteark!$B$34),O108=Støtteark!$B$35))),1,"")</f>
        <v/>
      </c>
      <c r="AB108" s="231" t="str">
        <f>IF(OR(AND(E108&lt;&gt;Støtteark!$U$6,N108 = Støtteark!$L$25),N108 = Støtteark!$L$26,N108 = Støtteark!$L$28,AND(N108 = Støtteark!$L$29,O108=Støtteark!$B$34)),1,"")</f>
        <v/>
      </c>
      <c r="AC108" s="231" t="str">
        <f>IF(OR(AND(E108&lt;&gt;Støtteark!$U$6,N108 = Støtteark!$L$25),N108 = Støtteark!$L$26,N108 = Støtteark!$L$28,AND(N108 = Støtteark!$L$29,E108&lt;&gt;Støtteark!$U$6,OR(O108=Støtteark!$B$30,O108 = Støtteark!$B$34))),1,"")</f>
        <v/>
      </c>
      <c r="AD108" s="232" t="str">
        <f>IF(OR(N108 = Støtteark!$L$25,N108 = Støtteark!$L$26,N108 = Støtteark!$L$28,AND(N108 = Støtteark!$L$29,OR(O108=Støtteark!$B$34,O108=Støtteark!$B$35)),AND(E108=Støtteark!$U$6,OR(O108=Støtteark!$B$29,O108=Støtteark!$B$30,O108=Støtteark!$B$32,O108=Støtteark!$B$33))),1,"")</f>
        <v/>
      </c>
      <c r="AE108" s="231" t="str">
        <f>IF(OR(N108 = Støtteark!$L$25,N108 = Støtteark!$L$26,N108 = Støtteark!$L$28,AND(N108 = Støtteark!$L$29,OR(O108=Støtteark!$B$34,O108 = Støtteark!$B$30)),AND(E108=Støtteark!$U$6,O108=Støtteark!$B$29)),1,"")</f>
        <v/>
      </c>
      <c r="AF108" s="231" t="str">
        <f>IF(OR(N108 = Støtteark!$L$25,N108 = Støtteark!$L$26,N108 = Støtteark!$L$28,AND(N108 = Støtteark!$L$29,O108=Støtteark!$B$34),AND(E108=Støtteark!$U$6,O108=Støtteark!$B$30),AND(E108=Støtteark!$U$6,O108=Støtteark!$B$29)),1,"")</f>
        <v/>
      </c>
      <c r="AG108" s="231" t="str">
        <f>IF(OR(N108 = Støtteark!$L$25,N108 = Støtteark!$L$26,N108 = Støtteark!$L$28,AND(N108 = Støtteark!$L$29,OR(O108=Støtteark!$B$30,O108 = Støtteark!$B$31,O108=Støtteark!$B$32,O108=Støtteark!$B$34)),AND(E108=Støtteark!$U$6,OR(O108=Støtteark!$B$29,O108=Støtteark!$B$31))),1,"")</f>
        <v/>
      </c>
      <c r="AH108" s="231" t="str">
        <f>IF(OR(N108 = Støtteark!$L$25,N108 = Støtteark!$L$26,N108 = Støtteark!$L$28,AND(N108 = Støtteark!$L$29,O108=Støtteark!$B$34),AND(E108=Støtteark!$U$6,OR(O108=Støtteark!$B$29,O108=Støtteark!$B$30))),1,"")</f>
        <v/>
      </c>
      <c r="AI108" s="231" t="str">
        <f>IF(OR(N108 = Støtteark!$L$25,N108 = Støtteark!$L$26,N108 = Støtteark!$L$28,AND(N108 = Støtteark!$L$29,OR(O108=Støtteark!$B$34,O108 = Støtteark!$B$30)),AND(E108=Støtteark!$U$6,OR(O108=Støtteark!$B$29,O108=Støtteark!$B$30))),1,"")</f>
        <v/>
      </c>
      <c r="AJ108" s="231" t="str">
        <f>IF(OR(AND(E108&lt;&gt;Støtteark!$U$6,N108 = Støtteark!$L$25),N108 = Støtteark!$L$26,N108 = Støtteark!$L$28,AND(N108 = Støtteark!$L$29,OR(O108=Støtteark!$B$34,O108=Støtteark!$B$35),O108&lt;&gt;Støtteark!$B$30)),1,"")</f>
        <v/>
      </c>
      <c r="AK108" s="231" t="str">
        <f>IF(OR(AND(E108&lt;&gt;Støtteark!$U$6,N108 = Støtteark!$L$25),N108 = Støtteark!$L$26,N108 = Støtteark!$L$28,AND(N108 = Støtteark!$L$29,E108&lt;&gt;Støtteark!$U$6,OR(O108=Støtteark!$B$34,O108 = Støtteark!$B$30))),1,"")</f>
        <v/>
      </c>
      <c r="AL108" s="231" t="str">
        <f>IF(OR(AND(E108&lt;&gt;Støtteark!$U$6,N108 = Støtteark!$L$25),N108 = Støtteark!$L$26,N108 = Støtteark!$L$28,AND(N108 = Støtteark!$L$29,O108=Støtteark!$B$34)),1,"")</f>
        <v/>
      </c>
      <c r="AM108" s="231" t="str">
        <f>IF(AND(N108 = Støtteark!$L$29,OR(O108=Støtteark!$B$30,O108=Støtteark!$B$32,O108=Støtteark!$B$33,O108=Støtteark!$B$34,O108=Støtteark!$B$35)),Støtteark!$L$32,"")</f>
        <v/>
      </c>
      <c r="AN108" s="235"/>
      <c r="AO108" s="91"/>
      <c r="AP108" s="170">
        <v>0</v>
      </c>
      <c r="AQ108" s="235"/>
      <c r="AR108" s="64">
        <f t="shared" ref="AR108:AR110" ca="1" si="99">AR107</f>
        <v>44022</v>
      </c>
    </row>
    <row r="109" spans="1:44" ht="25.5" hidden="1" x14ac:dyDescent="0.25">
      <c r="A109" s="221" t="str">
        <f t="shared" si="95"/>
        <v>Kundenr.-Ejendom</v>
      </c>
      <c r="B109" s="61" t="str">
        <f>Ydelser!A109&amp;" - "&amp;Ydelser!C109</f>
        <v>703 - Fraflytning</v>
      </c>
      <c r="C109" s="61" t="str">
        <f>Ydelser!D109</f>
        <v>Planlægning af forsyn, flyttesyn, hjemtagelse af tilbud, igangsætning af istandsættelse, måleraflæsning, kvalitetssikring, fakturering og opgørelse.</v>
      </c>
      <c r="D109" s="61" t="b">
        <f>'FS Aftale'!D109</f>
        <v>1</v>
      </c>
      <c r="E109" s="156" t="str">
        <f>'FS Aftale'!E109</f>
        <v>Enhedspris</v>
      </c>
      <c r="F109" s="61" t="str">
        <f t="shared" si="96"/>
        <v>Team Ansvarlig</v>
      </c>
      <c r="G109" s="61" t="str">
        <f t="shared" si="96"/>
        <v>Ansvarlig</v>
      </c>
      <c r="H109" s="61" t="str">
        <f t="shared" si="96"/>
        <v>Servicemedarb.</v>
      </c>
      <c r="I109" s="235"/>
      <c r="J109" s="61" t="str">
        <f t="shared" si="97"/>
        <v>Fast</v>
      </c>
      <c r="K109" s="61" t="str">
        <f t="shared" si="97"/>
        <v>FS aftale</v>
      </c>
      <c r="L109" s="188">
        <f t="shared" si="97"/>
        <v>1</v>
      </c>
      <c r="M109" s="157" t="str">
        <f t="shared" si="97"/>
        <v>Mangler planlægning</v>
      </c>
      <c r="N109" s="147" t="str">
        <f>IFERROR(VLOOKUP(O109,Støtteark!$B$21:$F$35,MATCH(E109,Støtteark!$B$21:$F$21,0),0),Støtteark!$L$35)</f>
        <v>Vælg en anden kombination</v>
      </c>
      <c r="O109" s="62">
        <f>'FS Aftale'!F109</f>
        <v>0</v>
      </c>
      <c r="P109" s="179" t="str">
        <f t="shared" si="98"/>
        <v>7:00</v>
      </c>
      <c r="Q109" s="63">
        <f>'FS Aftale'!G109*Støtteark!$Q$15</f>
        <v>0</v>
      </c>
      <c r="R109" s="235"/>
      <c r="S109" s="231" t="str">
        <f>IF(OR(AND(OR(N109 = Støtteark!$L$25,N109 = Støtteark!$L$26,N109 = Støtteark!$L$28),E109&lt;&gt;Støtteark!$U$6,OR(O109=Støtteark!$B$22,O109=Støtteark!$B$23,O109=Støtteark!$B$24,O109=Støtteark!$B$25,O109=Støtteark!$B$26,O109=Støtteark!$B$27,O109=Støtteark!$B$28)),AND(E109=Støtteark!$U$6,OR(O109=Støtteark!$B$24,O109=Støtteark!$B$27,O109=Støtteark!$B$29))),1,"")</f>
        <v/>
      </c>
      <c r="T109" s="232" t="str">
        <f>IF(OR(AND(N109 = Støtteark!$L$25,E109&lt;&gt;Støtteark!$U$6,O109=Støtteark!$B$22),AND(E109=Støtteark!$U$6,O109=Støtteark!$B$24),O109=Støtteark!$B$22),1,"")</f>
        <v/>
      </c>
      <c r="U109" s="232" t="str">
        <f>IF(OR(AND(N109 = Støtteark!$L$25,E109&lt;&gt;Støtteark!$U$6,OR(O109=Støtteark!$B$22,O109=Støtteark!$B$23,O109=Støtteark!$B$24)),AND(E109=Støtteark!$U$6,OR(O109=Støtteark!$B$22,O109=Støtteark!$B$24))),1,"")</f>
        <v/>
      </c>
      <c r="V109" s="232" t="str">
        <f>IF(OR(AND(N109 = Støtteark!$L$25,E109&lt;&gt;Støtteark!$U$6,O109=Støtteark!$B$22),AND(E109=Støtteark!$U$6,OR(O109=Støtteark!$B$22,O109=Støtteark!$B$24))),1,"")</f>
        <v/>
      </c>
      <c r="W109" s="232" t="str">
        <f>IF(OR(AND(N109 = Støtteark!$L$25,E109&lt;&gt;Støtteark!$U$6,OR(O109=Støtteark!$B$22,O109=Støtteark!$B$23,O109=Støtteark!$B$24,O109=Støtteark!$B$25)),AND(E109=Støtteark!$U$6,OR(O109=Støtteark!$B$22,O109=Støtteark!$B$24))),1,"")</f>
        <v/>
      </c>
      <c r="X109" s="231"/>
      <c r="Y109" s="231"/>
      <c r="Z109" s="235"/>
      <c r="AA109" s="231" t="str">
        <f>IF(OR(AND(E109&lt;&gt;Støtteark!$U$6,N109 = Støtteark!$L$25),N109 = Støtteark!$L$26,N109 = Støtteark!$L$28,AND(N109 = Støtteark!$L$29,E109&lt;&gt;Støtteark!$U$6,OR(O109=Støtteark!$B$30,O109=Støtteark!$B$32,O109=Støtteark!$B$33,AND(E109&lt;&gt;Støtteark!$U$6,O109=Støtteark!$B$34),O109=Støtteark!$B$35))),1,"")</f>
        <v/>
      </c>
      <c r="AB109" s="231" t="str">
        <f>IF(OR(AND(E109&lt;&gt;Støtteark!$U$6,N109 = Støtteark!$L$25),N109 = Støtteark!$L$26,N109 = Støtteark!$L$28,AND(N109 = Støtteark!$L$29,O109=Støtteark!$B$34)),1,"")</f>
        <v/>
      </c>
      <c r="AC109" s="231" t="str">
        <f>IF(OR(AND(E109&lt;&gt;Støtteark!$U$6,N109 = Støtteark!$L$25),N109 = Støtteark!$L$26,N109 = Støtteark!$L$28,AND(N109 = Støtteark!$L$29,E109&lt;&gt;Støtteark!$U$6,OR(O109=Støtteark!$B$30,O109 = Støtteark!$B$34))),1,"")</f>
        <v/>
      </c>
      <c r="AD109" s="232" t="str">
        <f>IF(OR(N109 = Støtteark!$L$25,N109 = Støtteark!$L$26,N109 = Støtteark!$L$28,AND(N109 = Støtteark!$L$29,OR(O109=Støtteark!$B$34,O109=Støtteark!$B$35)),AND(E109=Støtteark!$U$6,OR(O109=Støtteark!$B$29,O109=Støtteark!$B$30,O109=Støtteark!$B$32,O109=Støtteark!$B$33))),1,"")</f>
        <v/>
      </c>
      <c r="AE109" s="231" t="str">
        <f>IF(OR(N109 = Støtteark!$L$25,N109 = Støtteark!$L$26,N109 = Støtteark!$L$28,AND(N109 = Støtteark!$L$29,OR(O109=Støtteark!$B$34,O109 = Støtteark!$B$30)),AND(E109=Støtteark!$U$6,O109=Støtteark!$B$29)),1,"")</f>
        <v/>
      </c>
      <c r="AF109" s="231" t="str">
        <f>IF(OR(N109 = Støtteark!$L$25,N109 = Støtteark!$L$26,N109 = Støtteark!$L$28,AND(N109 = Støtteark!$L$29,O109=Støtteark!$B$34),AND(E109=Støtteark!$U$6,O109=Støtteark!$B$30),AND(E109=Støtteark!$U$6,O109=Støtteark!$B$29)),1,"")</f>
        <v/>
      </c>
      <c r="AG109" s="231" t="str">
        <f>IF(OR(N109 = Støtteark!$L$25,N109 = Støtteark!$L$26,N109 = Støtteark!$L$28,AND(N109 = Støtteark!$L$29,OR(O109=Støtteark!$B$30,O109 = Støtteark!$B$31,O109=Støtteark!$B$32,O109=Støtteark!$B$34)),AND(E109=Støtteark!$U$6,OR(O109=Støtteark!$B$29,O109=Støtteark!$B$31))),1,"")</f>
        <v/>
      </c>
      <c r="AH109" s="231" t="str">
        <f>IF(OR(N109 = Støtteark!$L$25,N109 = Støtteark!$L$26,N109 = Støtteark!$L$28,AND(N109 = Støtteark!$L$29,O109=Støtteark!$B$34),AND(E109=Støtteark!$U$6,OR(O109=Støtteark!$B$29,O109=Støtteark!$B$30))),1,"")</f>
        <v/>
      </c>
      <c r="AI109" s="231" t="str">
        <f>IF(OR(N109 = Støtteark!$L$25,N109 = Støtteark!$L$26,N109 = Støtteark!$L$28,AND(N109 = Støtteark!$L$29,OR(O109=Støtteark!$B$34,O109 = Støtteark!$B$30)),AND(E109=Støtteark!$U$6,OR(O109=Støtteark!$B$29,O109=Støtteark!$B$30))),1,"")</f>
        <v/>
      </c>
      <c r="AJ109" s="231" t="str">
        <f>IF(OR(AND(E109&lt;&gt;Støtteark!$U$6,N109 = Støtteark!$L$25),N109 = Støtteark!$L$26,N109 = Støtteark!$L$28,AND(N109 = Støtteark!$L$29,OR(O109=Støtteark!$B$34,O109=Støtteark!$B$35),O109&lt;&gt;Støtteark!$B$30)),1,"")</f>
        <v/>
      </c>
      <c r="AK109" s="231" t="str">
        <f>IF(OR(AND(E109&lt;&gt;Støtteark!$U$6,N109 = Støtteark!$L$25),N109 = Støtteark!$L$26,N109 = Støtteark!$L$28,AND(N109 = Støtteark!$L$29,E109&lt;&gt;Støtteark!$U$6,OR(O109=Støtteark!$B$34,O109 = Støtteark!$B$30))),1,"")</f>
        <v/>
      </c>
      <c r="AL109" s="231" t="str">
        <f>IF(OR(AND(E109&lt;&gt;Støtteark!$U$6,N109 = Støtteark!$L$25),N109 = Støtteark!$L$26,N109 = Støtteark!$L$28,AND(N109 = Støtteark!$L$29,O109=Støtteark!$B$34)),1,"")</f>
        <v/>
      </c>
      <c r="AM109" s="231" t="str">
        <f>IF(AND(N109 = Støtteark!$L$29,OR(O109=Støtteark!$B$30,O109=Støtteark!$B$32,O109=Støtteark!$B$33,O109=Støtteark!$B$34,O109=Støtteark!$B$35)),Støtteark!$L$32,"")</f>
        <v/>
      </c>
      <c r="AN109" s="235"/>
      <c r="AO109" s="91"/>
      <c r="AP109" s="170">
        <v>0</v>
      </c>
      <c r="AQ109" s="235"/>
      <c r="AR109" s="64">
        <f t="shared" ca="1" si="99"/>
        <v>44022</v>
      </c>
    </row>
    <row r="110" spans="1:44" ht="25.5" hidden="1" x14ac:dyDescent="0.25">
      <c r="A110" s="221" t="str">
        <f t="shared" si="95"/>
        <v>Kundenr.-Ejendom</v>
      </c>
      <c r="B110" s="61" t="str">
        <f>Ydelser!A110&amp;" - "&amp;Ydelser!C110</f>
        <v>704 - Bestillinger</v>
      </c>
      <c r="C110" s="61" t="str">
        <f>Ydelser!D110</f>
        <v>Bestilling af ekstra nøgler, vaskekort, nøglebrikker, omkodning af samme, P-tilladelser m.m.</v>
      </c>
      <c r="D110" s="61" t="b">
        <f>'FS Aftale'!D110</f>
        <v>1</v>
      </c>
      <c r="E110" s="156" t="str">
        <f>'FS Aftale'!E110</f>
        <v>Enhedspris</v>
      </c>
      <c r="F110" s="61" t="str">
        <f t="shared" si="96"/>
        <v>Team Ansvarlig</v>
      </c>
      <c r="G110" s="61" t="str">
        <f t="shared" si="96"/>
        <v>Ansvarlig</v>
      </c>
      <c r="H110" s="61" t="str">
        <f t="shared" si="96"/>
        <v>Servicemedarb.</v>
      </c>
      <c r="I110" s="235"/>
      <c r="J110" s="61" t="str">
        <f t="shared" si="97"/>
        <v>Fast</v>
      </c>
      <c r="K110" s="61" t="str">
        <f t="shared" si="97"/>
        <v>FS aftale</v>
      </c>
      <c r="L110" s="188">
        <f t="shared" si="97"/>
        <v>1</v>
      </c>
      <c r="M110" s="157" t="str">
        <f t="shared" si="97"/>
        <v>Mangler planlægning</v>
      </c>
      <c r="N110" s="147" t="str">
        <f>IFERROR(VLOOKUP(O110,Støtteark!$B$21:$F$35,MATCH(E110,Støtteark!$B$21:$F$21,0),0),Støtteark!$L$35)</f>
        <v>Vælg en anden kombination</v>
      </c>
      <c r="O110" s="62">
        <f>'FS Aftale'!F110</f>
        <v>0</v>
      </c>
      <c r="P110" s="179" t="str">
        <f t="shared" si="98"/>
        <v>7:00</v>
      </c>
      <c r="Q110" s="63">
        <f>'FS Aftale'!G110*Støtteark!$Q$15</f>
        <v>0</v>
      </c>
      <c r="R110" s="235"/>
      <c r="S110" s="231" t="str">
        <f>IF(OR(AND(OR(N110 = Støtteark!$L$25,N110 = Støtteark!$L$26,N110 = Støtteark!$L$28),E110&lt;&gt;Støtteark!$U$6,OR(O110=Støtteark!$B$22,O110=Støtteark!$B$23,O110=Støtteark!$B$24,O110=Støtteark!$B$25,O110=Støtteark!$B$26,O110=Støtteark!$B$27,O110=Støtteark!$B$28)),AND(E110=Støtteark!$U$6,OR(O110=Støtteark!$B$24,O110=Støtteark!$B$27,O110=Støtteark!$B$29))),1,"")</f>
        <v/>
      </c>
      <c r="T110" s="232" t="str">
        <f>IF(OR(AND(N110 = Støtteark!$L$25,E110&lt;&gt;Støtteark!$U$6,O110=Støtteark!$B$22),AND(E110=Støtteark!$U$6,O110=Støtteark!$B$24),O110=Støtteark!$B$22),1,"")</f>
        <v/>
      </c>
      <c r="U110" s="232" t="str">
        <f>IF(OR(AND(N110 = Støtteark!$L$25,E110&lt;&gt;Støtteark!$U$6,OR(O110=Støtteark!$B$22,O110=Støtteark!$B$23,O110=Støtteark!$B$24)),AND(E110=Støtteark!$U$6,OR(O110=Støtteark!$B$22,O110=Støtteark!$B$24))),1,"")</f>
        <v/>
      </c>
      <c r="V110" s="232" t="str">
        <f>IF(OR(AND(N110 = Støtteark!$L$25,E110&lt;&gt;Støtteark!$U$6,O110=Støtteark!$B$22),AND(E110=Støtteark!$U$6,OR(O110=Støtteark!$B$22,O110=Støtteark!$B$24))),1,"")</f>
        <v/>
      </c>
      <c r="W110" s="232" t="str">
        <f>IF(OR(AND(N110 = Støtteark!$L$25,E110&lt;&gt;Støtteark!$U$6,OR(O110=Støtteark!$B$22,O110=Støtteark!$B$23,O110=Støtteark!$B$24,O110=Støtteark!$B$25)),AND(E110=Støtteark!$U$6,OR(O110=Støtteark!$B$22,O110=Støtteark!$B$24))),1,"")</f>
        <v/>
      </c>
      <c r="X110" s="231"/>
      <c r="Y110" s="231"/>
      <c r="Z110" s="235"/>
      <c r="AA110" s="231" t="str">
        <f>IF(OR(AND(E110&lt;&gt;Støtteark!$U$6,N110 = Støtteark!$L$25),N110 = Støtteark!$L$26,N110 = Støtteark!$L$28,AND(N110 = Støtteark!$L$29,E110&lt;&gt;Støtteark!$U$6,OR(O110=Støtteark!$B$30,O110=Støtteark!$B$32,O110=Støtteark!$B$33,AND(E110&lt;&gt;Støtteark!$U$6,O110=Støtteark!$B$34),O110=Støtteark!$B$35))),1,"")</f>
        <v/>
      </c>
      <c r="AB110" s="231" t="str">
        <f>IF(OR(AND(E110&lt;&gt;Støtteark!$U$6,N110 = Støtteark!$L$25),N110 = Støtteark!$L$26,N110 = Støtteark!$L$28,AND(N110 = Støtteark!$L$29,O110=Støtteark!$B$34)),1,"")</f>
        <v/>
      </c>
      <c r="AC110" s="231" t="str">
        <f>IF(OR(AND(E110&lt;&gt;Støtteark!$U$6,N110 = Støtteark!$L$25),N110 = Støtteark!$L$26,N110 = Støtteark!$L$28,AND(N110 = Støtteark!$L$29,E110&lt;&gt;Støtteark!$U$6,OR(O110=Støtteark!$B$30,O110 = Støtteark!$B$34))),1,"")</f>
        <v/>
      </c>
      <c r="AD110" s="232" t="str">
        <f>IF(OR(N110 = Støtteark!$L$25,N110 = Støtteark!$L$26,N110 = Støtteark!$L$28,AND(N110 = Støtteark!$L$29,OR(O110=Støtteark!$B$34,O110=Støtteark!$B$35)),AND(E110=Støtteark!$U$6,OR(O110=Støtteark!$B$29,O110=Støtteark!$B$30,O110=Støtteark!$B$32,O110=Støtteark!$B$33))),1,"")</f>
        <v/>
      </c>
      <c r="AE110" s="231" t="str">
        <f>IF(OR(N110 = Støtteark!$L$25,N110 = Støtteark!$L$26,N110 = Støtteark!$L$28,AND(N110 = Støtteark!$L$29,OR(O110=Støtteark!$B$34,O110 = Støtteark!$B$30)),AND(E110=Støtteark!$U$6,O110=Støtteark!$B$29)),1,"")</f>
        <v/>
      </c>
      <c r="AF110" s="231" t="str">
        <f>IF(OR(N110 = Støtteark!$L$25,N110 = Støtteark!$L$26,N110 = Støtteark!$L$28,AND(N110 = Støtteark!$L$29,O110=Støtteark!$B$34),AND(E110=Støtteark!$U$6,O110=Støtteark!$B$30),AND(E110=Støtteark!$U$6,O110=Støtteark!$B$29)),1,"")</f>
        <v/>
      </c>
      <c r="AG110" s="231" t="str">
        <f>IF(OR(N110 = Støtteark!$L$25,N110 = Støtteark!$L$26,N110 = Støtteark!$L$28,AND(N110 = Støtteark!$L$29,OR(O110=Støtteark!$B$30,O110 = Støtteark!$B$31,O110=Støtteark!$B$32,O110=Støtteark!$B$34)),AND(E110=Støtteark!$U$6,OR(O110=Støtteark!$B$29,O110=Støtteark!$B$31))),1,"")</f>
        <v/>
      </c>
      <c r="AH110" s="231" t="str">
        <f>IF(OR(N110 = Støtteark!$L$25,N110 = Støtteark!$L$26,N110 = Støtteark!$L$28,AND(N110 = Støtteark!$L$29,O110=Støtteark!$B$34),AND(E110=Støtteark!$U$6,OR(O110=Støtteark!$B$29,O110=Støtteark!$B$30))),1,"")</f>
        <v/>
      </c>
      <c r="AI110" s="231" t="str">
        <f>IF(OR(N110 = Støtteark!$L$25,N110 = Støtteark!$L$26,N110 = Støtteark!$L$28,AND(N110 = Støtteark!$L$29,OR(O110=Støtteark!$B$34,O110 = Støtteark!$B$30)),AND(E110=Støtteark!$U$6,OR(O110=Støtteark!$B$29,O110=Støtteark!$B$30))),1,"")</f>
        <v/>
      </c>
      <c r="AJ110" s="231" t="str">
        <f>IF(OR(AND(E110&lt;&gt;Støtteark!$U$6,N110 = Støtteark!$L$25),N110 = Støtteark!$L$26,N110 = Støtteark!$L$28,AND(N110 = Støtteark!$L$29,OR(O110=Støtteark!$B$34,O110=Støtteark!$B$35),O110&lt;&gt;Støtteark!$B$30)),1,"")</f>
        <v/>
      </c>
      <c r="AK110" s="231" t="str">
        <f>IF(OR(AND(E110&lt;&gt;Støtteark!$U$6,N110 = Støtteark!$L$25),N110 = Støtteark!$L$26,N110 = Støtteark!$L$28,AND(N110 = Støtteark!$L$29,E110&lt;&gt;Støtteark!$U$6,OR(O110=Støtteark!$B$34,O110 = Støtteark!$B$30))),1,"")</f>
        <v/>
      </c>
      <c r="AL110" s="231" t="str">
        <f>IF(OR(AND(E110&lt;&gt;Støtteark!$U$6,N110 = Støtteark!$L$25),N110 = Støtteark!$L$26,N110 = Støtteark!$L$28,AND(N110 = Støtteark!$L$29,O110=Støtteark!$B$34)),1,"")</f>
        <v/>
      </c>
      <c r="AM110" s="231" t="str">
        <f>IF(AND(N110 = Støtteark!$L$29,OR(O110=Støtteark!$B$30,O110=Støtteark!$B$32,O110=Støtteark!$B$33,O110=Støtteark!$B$34,O110=Støtteark!$B$35)),Støtteark!$L$32,"")</f>
        <v/>
      </c>
      <c r="AN110" s="235"/>
      <c r="AO110" s="91"/>
      <c r="AP110" s="170">
        <v>0</v>
      </c>
      <c r="AQ110" s="235"/>
      <c r="AR110" s="64">
        <f t="shared" ca="1" si="99"/>
        <v>44022</v>
      </c>
    </row>
    <row r="111" spans="1:44" hidden="1" x14ac:dyDescent="0.25">
      <c r="A111" s="222"/>
      <c r="B111" s="65"/>
      <c r="C111" s="65"/>
      <c r="D111" s="66"/>
      <c r="E111" s="66"/>
      <c r="F111" s="66"/>
      <c r="G111" s="65"/>
      <c r="H111" s="65"/>
      <c r="I111" s="237"/>
      <c r="J111" s="65"/>
      <c r="K111" s="65"/>
      <c r="L111" s="189"/>
      <c r="M111" s="158"/>
      <c r="N111" s="148"/>
      <c r="O111" s="67"/>
      <c r="P111" s="180"/>
      <c r="Q111" s="68"/>
      <c r="R111" s="237"/>
      <c r="S111" s="236"/>
      <c r="T111" s="236"/>
      <c r="U111" s="236"/>
      <c r="V111" s="236"/>
      <c r="W111" s="236"/>
      <c r="X111" s="236"/>
      <c r="Y111" s="236"/>
      <c r="Z111" s="237"/>
      <c r="AA111" s="236"/>
      <c r="AB111" s="236"/>
      <c r="AC111" s="236"/>
      <c r="AD111" s="236"/>
      <c r="AE111" s="236"/>
      <c r="AF111" s="236"/>
      <c r="AG111" s="236"/>
      <c r="AH111" s="236"/>
      <c r="AI111" s="236"/>
      <c r="AJ111" s="236"/>
      <c r="AK111" s="236"/>
      <c r="AL111" s="236"/>
      <c r="AM111" s="236"/>
      <c r="AN111" s="237"/>
      <c r="AO111" s="138"/>
      <c r="AP111" s="171"/>
      <c r="AQ111" s="237"/>
      <c r="AR111" s="139"/>
    </row>
    <row r="112" spans="1:44" hidden="1" x14ac:dyDescent="0.25">
      <c r="A112" s="229"/>
      <c r="B112" s="74"/>
      <c r="C112" s="74"/>
      <c r="D112" s="75"/>
      <c r="E112" s="75"/>
      <c r="F112" s="75"/>
      <c r="G112" s="74"/>
      <c r="H112" s="74"/>
      <c r="I112" s="237"/>
      <c r="J112" s="74"/>
      <c r="K112" s="74"/>
      <c r="L112" s="192"/>
      <c r="M112" s="161"/>
      <c r="N112" s="151"/>
      <c r="O112" s="76"/>
      <c r="P112" s="183"/>
      <c r="Q112" s="69"/>
      <c r="R112" s="237"/>
      <c r="S112" s="237"/>
      <c r="T112" s="237"/>
      <c r="U112" s="237"/>
      <c r="V112" s="237"/>
      <c r="W112" s="237"/>
      <c r="X112" s="237"/>
      <c r="Y112" s="237"/>
      <c r="Z112" s="237"/>
      <c r="AA112" s="237"/>
      <c r="AB112" s="237"/>
      <c r="AC112" s="237"/>
      <c r="AD112" s="237"/>
      <c r="AE112" s="237"/>
      <c r="AF112" s="237"/>
      <c r="AG112" s="237"/>
      <c r="AH112" s="237"/>
      <c r="AI112" s="237"/>
      <c r="AJ112" s="237"/>
      <c r="AK112" s="237"/>
      <c r="AL112" s="237"/>
      <c r="AM112" s="237"/>
      <c r="AN112" s="237"/>
      <c r="AO112" s="145"/>
      <c r="AP112" s="174"/>
      <c r="AQ112" s="237"/>
      <c r="AR112" s="146"/>
    </row>
    <row r="113" spans="1:44" hidden="1" x14ac:dyDescent="0.25">
      <c r="A113" s="223"/>
      <c r="B113" s="70"/>
      <c r="C113" s="70"/>
      <c r="D113" s="71"/>
      <c r="E113" s="71"/>
      <c r="F113" s="71"/>
      <c r="G113" s="70"/>
      <c r="H113" s="70"/>
      <c r="I113" s="237"/>
      <c r="J113" s="70"/>
      <c r="K113" s="70"/>
      <c r="L113" s="190"/>
      <c r="M113" s="159"/>
      <c r="N113" s="149"/>
      <c r="O113" s="72"/>
      <c r="P113" s="181"/>
      <c r="Q113" s="73"/>
      <c r="R113" s="237"/>
      <c r="S113" s="239"/>
      <c r="T113" s="239"/>
      <c r="U113" s="239"/>
      <c r="V113" s="239"/>
      <c r="W113" s="239"/>
      <c r="X113" s="239"/>
      <c r="Y113" s="239"/>
      <c r="Z113" s="237"/>
      <c r="AA113" s="239"/>
      <c r="AB113" s="239"/>
      <c r="AC113" s="239"/>
      <c r="AD113" s="239"/>
      <c r="AE113" s="239"/>
      <c r="AF113" s="239"/>
      <c r="AG113" s="239"/>
      <c r="AH113" s="239"/>
      <c r="AI113" s="239"/>
      <c r="AJ113" s="239"/>
      <c r="AK113" s="239"/>
      <c r="AL113" s="239"/>
      <c r="AM113" s="239"/>
      <c r="AN113" s="237"/>
      <c r="AO113" s="141"/>
      <c r="AP113" s="172"/>
      <c r="AQ113" s="237"/>
      <c r="AR113" s="142"/>
    </row>
    <row r="114" spans="1:44" ht="25.5" hidden="1" x14ac:dyDescent="0.25">
      <c r="A114" s="221" t="str">
        <f>A110</f>
        <v>Kundenr.-Ejendom</v>
      </c>
      <c r="B114" s="61" t="str">
        <f>Ydelser!A114&amp;" - "&amp;Ydelser!C114</f>
        <v>802 - Årligt, lovpligtigt eftersyn af legeplads</v>
      </c>
      <c r="C114" s="61" t="str">
        <f>Ydelser!D114</f>
        <v>Årlig kontrol af legeplads i henhold til lovkrav.</v>
      </c>
      <c r="D114" s="61" t="b">
        <f>'FS Aftale'!D114</f>
        <v>0</v>
      </c>
      <c r="E114" s="156" t="str">
        <f>'FS Aftale'!E114</f>
        <v>Enhedspris</v>
      </c>
      <c r="F114" s="61" t="str">
        <f>F110</f>
        <v>Team Ansvarlig</v>
      </c>
      <c r="G114" s="61" t="str">
        <f t="shared" ref="G114:H114" si="100">G110</f>
        <v>Ansvarlig</v>
      </c>
      <c r="H114" s="61" t="str">
        <f t="shared" si="100"/>
        <v>Servicemedarb.</v>
      </c>
      <c r="I114" s="235"/>
      <c r="J114" s="61" t="str">
        <f t="shared" ref="J114:M114" si="101">J110</f>
        <v>Fast</v>
      </c>
      <c r="K114" s="61" t="str">
        <f t="shared" si="101"/>
        <v>FS aftale</v>
      </c>
      <c r="L114" s="188">
        <f t="shared" si="101"/>
        <v>1</v>
      </c>
      <c r="M114" s="157" t="str">
        <f t="shared" si="101"/>
        <v>Mangler planlægning</v>
      </c>
      <c r="N114" s="147" t="str">
        <f>IFERROR(VLOOKUP(O114,Støtteark!$B$21:$F$35,MATCH(E114,Støtteark!$B$21:$F$21,0),0),Støtteark!$L$35)</f>
        <v>Vælg en anden kombination</v>
      </c>
      <c r="O114" s="62">
        <f>'FS Aftale'!F114</f>
        <v>0</v>
      </c>
      <c r="P114" s="179" t="str">
        <f>P110</f>
        <v>7:00</v>
      </c>
      <c r="Q114" s="63">
        <f>'FS Aftale'!G114*Støtteark!$Q$15</f>
        <v>0</v>
      </c>
      <c r="R114" s="235"/>
      <c r="S114" s="231" t="str">
        <f>IF(OR(AND(OR(N114 = Støtteark!$L$25,N114 = Støtteark!$L$26,N114 = Støtteark!$L$28),E114&lt;&gt;Støtteark!$U$6,OR(O114=Støtteark!$B$22,O114=Støtteark!$B$23,O114=Støtteark!$B$24,O114=Støtteark!$B$25,O114=Støtteark!$B$26,O114=Støtteark!$B$27,O114=Støtteark!$B$28)),AND(E114=Støtteark!$U$6,OR(O114=Støtteark!$B$24,O114=Støtteark!$B$27,O114=Støtteark!$B$29))),1,"")</f>
        <v/>
      </c>
      <c r="T114" s="232" t="str">
        <f>IF(OR(AND(N114 = Støtteark!$L$25,E114&lt;&gt;Støtteark!$U$6,O114=Støtteark!$B$22),AND(E114=Støtteark!$U$6,O114=Støtteark!$B$24),O114=Støtteark!$B$22),1,"")</f>
        <v/>
      </c>
      <c r="U114" s="232" t="str">
        <f>IF(OR(AND(N114 = Støtteark!$L$25,E114&lt;&gt;Støtteark!$U$6,OR(O114=Støtteark!$B$22,O114=Støtteark!$B$23,O114=Støtteark!$B$24)),AND(E114=Støtteark!$U$6,OR(O114=Støtteark!$B$22,O114=Støtteark!$B$24))),1,"")</f>
        <v/>
      </c>
      <c r="V114" s="232" t="str">
        <f>IF(OR(AND(N114 = Støtteark!$L$25,E114&lt;&gt;Støtteark!$U$6,O114=Støtteark!$B$22),AND(E114=Støtteark!$U$6,OR(O114=Støtteark!$B$22,O114=Støtteark!$B$24))),1,"")</f>
        <v/>
      </c>
      <c r="W114" s="232" t="str">
        <f>IF(OR(AND(N114 = Støtteark!$L$25,E114&lt;&gt;Støtteark!$U$6,OR(O114=Støtteark!$B$22,O114=Støtteark!$B$23,O114=Støtteark!$B$24,O114=Støtteark!$B$25)),AND(E114=Støtteark!$U$6,OR(O114=Støtteark!$B$22,O114=Støtteark!$B$24))),1,"")</f>
        <v/>
      </c>
      <c r="X114" s="231"/>
      <c r="Y114" s="231"/>
      <c r="Z114" s="235"/>
      <c r="AA114" s="231" t="str">
        <f>IF(OR(AND(E114&lt;&gt;Støtteark!$U$6,N114 = Støtteark!$L$25),N114 = Støtteark!$L$26,N114 = Støtteark!$L$28,AND(N114 = Støtteark!$L$29,E114&lt;&gt;Støtteark!$U$6,OR(O114=Støtteark!$B$30,O114=Støtteark!$B$32,O114=Støtteark!$B$33,AND(E114&lt;&gt;Støtteark!$U$6,O114=Støtteark!$B$34),O114=Støtteark!$B$35))),1,"")</f>
        <v/>
      </c>
      <c r="AB114" s="231" t="str">
        <f>IF(OR(AND(E114&lt;&gt;Støtteark!$U$6,N114 = Støtteark!$L$25),N114 = Støtteark!$L$26,N114 = Støtteark!$L$28,AND(N114 = Støtteark!$L$29,O114=Støtteark!$B$34)),1,"")</f>
        <v/>
      </c>
      <c r="AC114" s="231" t="str">
        <f>IF(OR(AND(E114&lt;&gt;Støtteark!$U$6,N114 = Støtteark!$L$25),N114 = Støtteark!$L$26,N114 = Støtteark!$L$28,AND(N114 = Støtteark!$L$29,E114&lt;&gt;Støtteark!$U$6,OR(O114=Støtteark!$B$30,O114 = Støtteark!$B$34))),1,"")</f>
        <v/>
      </c>
      <c r="AD114" s="232" t="str">
        <f>IF(OR(N114 = Støtteark!$L$25,N114 = Støtteark!$L$26,N114 = Støtteark!$L$28,AND(N114 = Støtteark!$L$29,OR(O114=Støtteark!$B$34,O114=Støtteark!$B$35)),AND(E114=Støtteark!$U$6,OR(O114=Støtteark!$B$29,O114=Støtteark!$B$30,O114=Støtteark!$B$32,O114=Støtteark!$B$33))),1,"")</f>
        <v/>
      </c>
      <c r="AE114" s="231" t="str">
        <f>IF(OR(N114 = Støtteark!$L$25,N114 = Støtteark!$L$26,N114 = Støtteark!$L$28,AND(N114 = Støtteark!$L$29,OR(O114=Støtteark!$B$34,O114 = Støtteark!$B$30)),AND(E114=Støtteark!$U$6,O114=Støtteark!$B$29)),1,"")</f>
        <v/>
      </c>
      <c r="AF114" s="231" t="str">
        <f>IF(OR(N114 = Støtteark!$L$25,N114 = Støtteark!$L$26,N114 = Støtteark!$L$28,AND(N114 = Støtteark!$L$29,O114=Støtteark!$B$34),AND(E114=Støtteark!$U$6,O114=Støtteark!$B$30),AND(E114=Støtteark!$U$6,O114=Støtteark!$B$29)),1,"")</f>
        <v/>
      </c>
      <c r="AG114" s="231" t="str">
        <f>IF(OR(N114 = Støtteark!$L$25,N114 = Støtteark!$L$26,N114 = Støtteark!$L$28,AND(N114 = Støtteark!$L$29,OR(O114=Støtteark!$B$30,O114 = Støtteark!$B$31,O114=Støtteark!$B$32,O114=Støtteark!$B$34)),AND(E114=Støtteark!$U$6,OR(O114=Støtteark!$B$29,O114=Støtteark!$B$31))),1,"")</f>
        <v/>
      </c>
      <c r="AH114" s="231" t="str">
        <f>IF(OR(N114 = Støtteark!$L$25,N114 = Støtteark!$L$26,N114 = Støtteark!$L$28,AND(N114 = Støtteark!$L$29,O114=Støtteark!$B$34),AND(E114=Støtteark!$U$6,OR(O114=Støtteark!$B$29,O114=Støtteark!$B$30))),1,"")</f>
        <v/>
      </c>
      <c r="AI114" s="231" t="str">
        <f>IF(OR(N114 = Støtteark!$L$25,N114 = Støtteark!$L$26,N114 = Støtteark!$L$28,AND(N114 = Støtteark!$L$29,OR(O114=Støtteark!$B$34,O114 = Støtteark!$B$30)),AND(E114=Støtteark!$U$6,OR(O114=Støtteark!$B$29,O114=Støtteark!$B$30))),1,"")</f>
        <v/>
      </c>
      <c r="AJ114" s="231" t="str">
        <f>IF(OR(AND(E114&lt;&gt;Støtteark!$U$6,N114 = Støtteark!$L$25),N114 = Støtteark!$L$26,N114 = Støtteark!$L$28,AND(N114 = Støtteark!$L$29,OR(O114=Støtteark!$B$34,O114=Støtteark!$B$35),O114&lt;&gt;Støtteark!$B$30)),1,"")</f>
        <v/>
      </c>
      <c r="AK114" s="231" t="str">
        <f>IF(OR(AND(E114&lt;&gt;Støtteark!$U$6,N114 = Støtteark!$L$25),N114 = Støtteark!$L$26,N114 = Støtteark!$L$28,AND(N114 = Støtteark!$L$29,E114&lt;&gt;Støtteark!$U$6,OR(O114=Støtteark!$B$34,O114 = Støtteark!$B$30))),1,"")</f>
        <v/>
      </c>
      <c r="AL114" s="231" t="str">
        <f>IF(OR(AND(E114&lt;&gt;Støtteark!$U$6,N114 = Støtteark!$L$25),N114 = Støtteark!$L$26,N114 = Støtteark!$L$28,AND(N114 = Støtteark!$L$29,O114=Støtteark!$B$34)),1,"")</f>
        <v/>
      </c>
      <c r="AM114" s="231" t="str">
        <f>IF(AND(N114 = Støtteark!$L$29,OR(O114=Støtteark!$B$30,O114=Støtteark!$B$32,O114=Støtteark!$B$33,O114=Støtteark!$B$34,O114=Støtteark!$B$35)),Støtteark!$L$32,"")</f>
        <v/>
      </c>
      <c r="AN114" s="235"/>
      <c r="AO114" s="91"/>
      <c r="AP114" s="170">
        <v>0</v>
      </c>
      <c r="AQ114" s="235"/>
      <c r="AR114" s="64">
        <f ca="1">AR110</f>
        <v>44022</v>
      </c>
    </row>
    <row r="115" spans="1:44" ht="25.5" hidden="1" x14ac:dyDescent="0.25">
      <c r="A115" s="221" t="str">
        <f t="shared" ref="A115:A118" si="102">A114</f>
        <v>Kundenr.-Ejendom</v>
      </c>
      <c r="B115" s="61" t="str">
        <f>Ydelser!A115&amp;" - "&amp;Ydelser!C115</f>
        <v>803 - Hjertestarter</v>
      </c>
      <c r="C115" s="61" t="str">
        <f>Ydelser!D115</f>
        <v>Jf. vedlagte bilag med ydelsesbeskrivelse.</v>
      </c>
      <c r="D115" s="61" t="b">
        <f>'FS Aftale'!D115</f>
        <v>0</v>
      </c>
      <c r="E115" s="156" t="str">
        <f>'FS Aftale'!E115</f>
        <v>Enhedspris</v>
      </c>
      <c r="F115" s="61" t="str">
        <f t="shared" ref="F115:H118" si="103">F114</f>
        <v>Team Ansvarlig</v>
      </c>
      <c r="G115" s="61" t="str">
        <f t="shared" si="103"/>
        <v>Ansvarlig</v>
      </c>
      <c r="H115" s="61" t="str">
        <f t="shared" si="103"/>
        <v>Servicemedarb.</v>
      </c>
      <c r="I115" s="235"/>
      <c r="J115" s="61" t="str">
        <f t="shared" ref="J115:M118" si="104">J114</f>
        <v>Fast</v>
      </c>
      <c r="K115" s="61" t="str">
        <f t="shared" si="104"/>
        <v>FS aftale</v>
      </c>
      <c r="L115" s="188">
        <f t="shared" si="104"/>
        <v>1</v>
      </c>
      <c r="M115" s="157" t="str">
        <f t="shared" si="104"/>
        <v>Mangler planlægning</v>
      </c>
      <c r="N115" s="147" t="str">
        <f>IFERROR(VLOOKUP(O115,Støtteark!$B$21:$F$35,MATCH(E115,Støtteark!$B$21:$F$21,0),0),Støtteark!$L$35)</f>
        <v>Vælg en anden kombination</v>
      </c>
      <c r="O115" s="62">
        <f>'FS Aftale'!F115</f>
        <v>0</v>
      </c>
      <c r="P115" s="179" t="str">
        <f t="shared" ref="P115:P118" si="105">P114</f>
        <v>7:00</v>
      </c>
      <c r="Q115" s="63">
        <f>'FS Aftale'!G115*Støtteark!$Q$15</f>
        <v>0</v>
      </c>
      <c r="R115" s="235"/>
      <c r="S115" s="231" t="str">
        <f>IF(OR(AND(OR(N115 = Støtteark!$L$25,N115 = Støtteark!$L$26,N115 = Støtteark!$L$28),E115&lt;&gt;Støtteark!$U$6,OR(O115=Støtteark!$B$22,O115=Støtteark!$B$23,O115=Støtteark!$B$24,O115=Støtteark!$B$25,O115=Støtteark!$B$26,O115=Støtteark!$B$27,O115=Støtteark!$B$28)),AND(E115=Støtteark!$U$6,OR(O115=Støtteark!$B$24,O115=Støtteark!$B$27,O115=Støtteark!$B$29))),1,"")</f>
        <v/>
      </c>
      <c r="T115" s="232" t="str">
        <f>IF(OR(AND(N115 = Støtteark!$L$25,E115&lt;&gt;Støtteark!$U$6,O115=Støtteark!$B$22),AND(E115=Støtteark!$U$6,O115=Støtteark!$B$24),O115=Støtteark!$B$22),1,"")</f>
        <v/>
      </c>
      <c r="U115" s="232" t="str">
        <f>IF(OR(AND(N115 = Støtteark!$L$25,E115&lt;&gt;Støtteark!$U$6,OR(O115=Støtteark!$B$22,O115=Støtteark!$B$23,O115=Støtteark!$B$24)),AND(E115=Støtteark!$U$6,OR(O115=Støtteark!$B$22,O115=Støtteark!$B$24))),1,"")</f>
        <v/>
      </c>
      <c r="V115" s="232" t="str">
        <f>IF(OR(AND(N115 = Støtteark!$L$25,E115&lt;&gt;Støtteark!$U$6,O115=Støtteark!$B$22),AND(E115=Støtteark!$U$6,OR(O115=Støtteark!$B$22,O115=Støtteark!$B$24))),1,"")</f>
        <v/>
      </c>
      <c r="W115" s="232" t="str">
        <f>IF(OR(AND(N115 = Støtteark!$L$25,E115&lt;&gt;Støtteark!$U$6,OR(O115=Støtteark!$B$22,O115=Støtteark!$B$23,O115=Støtteark!$B$24,O115=Støtteark!$B$25)),AND(E115=Støtteark!$U$6,OR(O115=Støtteark!$B$22,O115=Støtteark!$B$24))),1,"")</f>
        <v/>
      </c>
      <c r="X115" s="231"/>
      <c r="Y115" s="231"/>
      <c r="Z115" s="235"/>
      <c r="AA115" s="231" t="str">
        <f>IF(OR(AND(E115&lt;&gt;Støtteark!$U$6,N115 = Støtteark!$L$25),N115 = Støtteark!$L$26,N115 = Støtteark!$L$28,AND(N115 = Støtteark!$L$29,E115&lt;&gt;Støtteark!$U$6,OR(O115=Støtteark!$B$30,O115=Støtteark!$B$32,O115=Støtteark!$B$33,AND(E115&lt;&gt;Støtteark!$U$6,O115=Støtteark!$B$34),O115=Støtteark!$B$35))),1,"")</f>
        <v/>
      </c>
      <c r="AB115" s="231" t="str">
        <f>IF(OR(AND(E115&lt;&gt;Støtteark!$U$6,N115 = Støtteark!$L$25),N115 = Støtteark!$L$26,N115 = Støtteark!$L$28,AND(N115 = Støtteark!$L$29,O115=Støtteark!$B$34)),1,"")</f>
        <v/>
      </c>
      <c r="AC115" s="231" t="str">
        <f>IF(OR(AND(E115&lt;&gt;Støtteark!$U$6,N115 = Støtteark!$L$25),N115 = Støtteark!$L$26,N115 = Støtteark!$L$28,AND(N115 = Støtteark!$L$29,E115&lt;&gt;Støtteark!$U$6,OR(O115=Støtteark!$B$30,O115 = Støtteark!$B$34))),1,"")</f>
        <v/>
      </c>
      <c r="AD115" s="232" t="str">
        <f>IF(OR(N115 = Støtteark!$L$25,N115 = Støtteark!$L$26,N115 = Støtteark!$L$28,AND(N115 = Støtteark!$L$29,OR(O115=Støtteark!$B$34,O115=Støtteark!$B$35)),AND(E115=Støtteark!$U$6,OR(O115=Støtteark!$B$29,O115=Støtteark!$B$30,O115=Støtteark!$B$32,O115=Støtteark!$B$33))),1,"")</f>
        <v/>
      </c>
      <c r="AE115" s="231" t="str">
        <f>IF(OR(N115 = Støtteark!$L$25,N115 = Støtteark!$L$26,N115 = Støtteark!$L$28,AND(N115 = Støtteark!$L$29,OR(O115=Støtteark!$B$34,O115 = Støtteark!$B$30)),AND(E115=Støtteark!$U$6,O115=Støtteark!$B$29)),1,"")</f>
        <v/>
      </c>
      <c r="AF115" s="231" t="str">
        <f>IF(OR(N115 = Støtteark!$L$25,N115 = Støtteark!$L$26,N115 = Støtteark!$L$28,AND(N115 = Støtteark!$L$29,O115=Støtteark!$B$34),AND(E115=Støtteark!$U$6,O115=Støtteark!$B$30),AND(E115=Støtteark!$U$6,O115=Støtteark!$B$29)),1,"")</f>
        <v/>
      </c>
      <c r="AG115" s="231" t="str">
        <f>IF(OR(N115 = Støtteark!$L$25,N115 = Støtteark!$L$26,N115 = Støtteark!$L$28,AND(N115 = Støtteark!$L$29,OR(O115=Støtteark!$B$30,O115 = Støtteark!$B$31,O115=Støtteark!$B$32,O115=Støtteark!$B$34)),AND(E115=Støtteark!$U$6,OR(O115=Støtteark!$B$29,O115=Støtteark!$B$31))),1,"")</f>
        <v/>
      </c>
      <c r="AH115" s="231" t="str">
        <f>IF(OR(N115 = Støtteark!$L$25,N115 = Støtteark!$L$26,N115 = Støtteark!$L$28,AND(N115 = Støtteark!$L$29,O115=Støtteark!$B$34),AND(E115=Støtteark!$U$6,OR(O115=Støtteark!$B$29,O115=Støtteark!$B$30))),1,"")</f>
        <v/>
      </c>
      <c r="AI115" s="231" t="str">
        <f>IF(OR(N115 = Støtteark!$L$25,N115 = Støtteark!$L$26,N115 = Støtteark!$L$28,AND(N115 = Støtteark!$L$29,OR(O115=Støtteark!$B$34,O115 = Støtteark!$B$30)),AND(E115=Støtteark!$U$6,OR(O115=Støtteark!$B$29,O115=Støtteark!$B$30))),1,"")</f>
        <v/>
      </c>
      <c r="AJ115" s="231" t="str">
        <f>IF(OR(AND(E115&lt;&gt;Støtteark!$U$6,N115 = Støtteark!$L$25),N115 = Støtteark!$L$26,N115 = Støtteark!$L$28,AND(N115 = Støtteark!$L$29,OR(O115=Støtteark!$B$34,O115=Støtteark!$B$35),O115&lt;&gt;Støtteark!$B$30)),1,"")</f>
        <v/>
      </c>
      <c r="AK115" s="231" t="str">
        <f>IF(OR(AND(E115&lt;&gt;Støtteark!$U$6,N115 = Støtteark!$L$25),N115 = Støtteark!$L$26,N115 = Støtteark!$L$28,AND(N115 = Støtteark!$L$29,E115&lt;&gt;Støtteark!$U$6,OR(O115=Støtteark!$B$34,O115 = Støtteark!$B$30))),1,"")</f>
        <v/>
      </c>
      <c r="AL115" s="231" t="str">
        <f>IF(OR(AND(E115&lt;&gt;Støtteark!$U$6,N115 = Støtteark!$L$25),N115 = Støtteark!$L$26,N115 = Støtteark!$L$28,AND(N115 = Støtteark!$L$29,O115=Støtteark!$B$34)),1,"")</f>
        <v/>
      </c>
      <c r="AM115" s="231" t="str">
        <f>IF(AND(N115 = Støtteark!$L$29,OR(O115=Støtteark!$B$30,O115=Støtteark!$B$32,O115=Støtteark!$B$33,O115=Støtteark!$B$34,O115=Støtteark!$B$35)),Støtteark!$L$32,"")</f>
        <v/>
      </c>
      <c r="AN115" s="235"/>
      <c r="AO115" s="91"/>
      <c r="AP115" s="170">
        <v>0</v>
      </c>
      <c r="AQ115" s="235"/>
      <c r="AR115" s="64">
        <f t="shared" ref="AR115:AR118" ca="1" si="106">AR114</f>
        <v>44022</v>
      </c>
    </row>
    <row r="116" spans="1:44" ht="25.5" hidden="1" x14ac:dyDescent="0.25">
      <c r="A116" s="221" t="str">
        <f t="shared" si="102"/>
        <v>Kundenr.-Ejendom</v>
      </c>
      <c r="B116" s="61" t="str">
        <f>Ydelser!A116&amp;" - "&amp;Ydelser!C116</f>
        <v>804 - Brandudstyr</v>
      </c>
      <c r="C116" s="61" t="str">
        <f>Ydelser!D116</f>
        <v>Jf. vedlagte bilag med ydelsesbeskrivelse.</v>
      </c>
      <c r="D116" s="61" t="b">
        <f>'FS Aftale'!D116</f>
        <v>0</v>
      </c>
      <c r="E116" s="156" t="str">
        <f>'FS Aftale'!E116</f>
        <v>Enhedspris</v>
      </c>
      <c r="F116" s="61" t="str">
        <f t="shared" si="103"/>
        <v>Team Ansvarlig</v>
      </c>
      <c r="G116" s="61" t="str">
        <f t="shared" si="103"/>
        <v>Ansvarlig</v>
      </c>
      <c r="H116" s="61" t="str">
        <f t="shared" si="103"/>
        <v>Servicemedarb.</v>
      </c>
      <c r="I116" s="235"/>
      <c r="J116" s="61" t="str">
        <f t="shared" si="104"/>
        <v>Fast</v>
      </c>
      <c r="K116" s="61" t="str">
        <f t="shared" si="104"/>
        <v>FS aftale</v>
      </c>
      <c r="L116" s="188">
        <f t="shared" si="104"/>
        <v>1</v>
      </c>
      <c r="M116" s="157" t="str">
        <f t="shared" si="104"/>
        <v>Mangler planlægning</v>
      </c>
      <c r="N116" s="147" t="str">
        <f>IFERROR(VLOOKUP(O116,Støtteark!$B$21:$F$35,MATCH(E116,Støtteark!$B$21:$F$21,0),0),Støtteark!$L$35)</f>
        <v>Vælg en anden kombination</v>
      </c>
      <c r="O116" s="62">
        <f>'FS Aftale'!F116</f>
        <v>0</v>
      </c>
      <c r="P116" s="179" t="str">
        <f t="shared" si="105"/>
        <v>7:00</v>
      </c>
      <c r="Q116" s="63">
        <f>'FS Aftale'!G116*Støtteark!$Q$15</f>
        <v>0</v>
      </c>
      <c r="R116" s="235"/>
      <c r="S116" s="231" t="str">
        <f>IF(OR(AND(OR(N116 = Støtteark!$L$25,N116 = Støtteark!$L$26,N116 = Støtteark!$L$28),E116&lt;&gt;Støtteark!$U$6,OR(O116=Støtteark!$B$22,O116=Støtteark!$B$23,O116=Støtteark!$B$24,O116=Støtteark!$B$25,O116=Støtteark!$B$26,O116=Støtteark!$B$27,O116=Støtteark!$B$28)),AND(E116=Støtteark!$U$6,OR(O116=Støtteark!$B$24,O116=Støtteark!$B$27,O116=Støtteark!$B$29))),1,"")</f>
        <v/>
      </c>
      <c r="T116" s="232" t="str">
        <f>IF(OR(AND(N116 = Støtteark!$L$25,E116&lt;&gt;Støtteark!$U$6,O116=Støtteark!$B$22),AND(E116=Støtteark!$U$6,O116=Støtteark!$B$24),O116=Støtteark!$B$22),1,"")</f>
        <v/>
      </c>
      <c r="U116" s="232" t="str">
        <f>IF(OR(AND(N116 = Støtteark!$L$25,E116&lt;&gt;Støtteark!$U$6,OR(O116=Støtteark!$B$22,O116=Støtteark!$B$23,O116=Støtteark!$B$24)),AND(E116=Støtteark!$U$6,OR(O116=Støtteark!$B$22,O116=Støtteark!$B$24))),1,"")</f>
        <v/>
      </c>
      <c r="V116" s="232" t="str">
        <f>IF(OR(AND(N116 = Støtteark!$L$25,E116&lt;&gt;Støtteark!$U$6,O116=Støtteark!$B$22),AND(E116=Støtteark!$U$6,OR(O116=Støtteark!$B$22,O116=Støtteark!$B$24))),1,"")</f>
        <v/>
      </c>
      <c r="W116" s="232" t="str">
        <f>IF(OR(AND(N116 = Støtteark!$L$25,E116&lt;&gt;Støtteark!$U$6,OR(O116=Støtteark!$B$22,O116=Støtteark!$B$23,O116=Støtteark!$B$24,O116=Støtteark!$B$25)),AND(E116=Støtteark!$U$6,OR(O116=Støtteark!$B$22,O116=Støtteark!$B$24))),1,"")</f>
        <v/>
      </c>
      <c r="X116" s="231"/>
      <c r="Y116" s="231"/>
      <c r="Z116" s="235"/>
      <c r="AA116" s="231" t="str">
        <f>IF(OR(AND(E116&lt;&gt;Støtteark!$U$6,N116 = Støtteark!$L$25),N116 = Støtteark!$L$26,N116 = Støtteark!$L$28,AND(N116 = Støtteark!$L$29,E116&lt;&gt;Støtteark!$U$6,OR(O116=Støtteark!$B$30,O116=Støtteark!$B$32,O116=Støtteark!$B$33,AND(E116&lt;&gt;Støtteark!$U$6,O116=Støtteark!$B$34),O116=Støtteark!$B$35))),1,"")</f>
        <v/>
      </c>
      <c r="AB116" s="231" t="str">
        <f>IF(OR(AND(E116&lt;&gt;Støtteark!$U$6,N116 = Støtteark!$L$25),N116 = Støtteark!$L$26,N116 = Støtteark!$L$28,AND(N116 = Støtteark!$L$29,O116=Støtteark!$B$34)),1,"")</f>
        <v/>
      </c>
      <c r="AC116" s="231" t="str">
        <f>IF(OR(AND(E116&lt;&gt;Støtteark!$U$6,N116 = Støtteark!$L$25),N116 = Støtteark!$L$26,N116 = Støtteark!$L$28,AND(N116 = Støtteark!$L$29,E116&lt;&gt;Støtteark!$U$6,OR(O116=Støtteark!$B$30,O116 = Støtteark!$B$34))),1,"")</f>
        <v/>
      </c>
      <c r="AD116" s="232" t="str">
        <f>IF(OR(N116 = Støtteark!$L$25,N116 = Støtteark!$L$26,N116 = Støtteark!$L$28,AND(N116 = Støtteark!$L$29,OR(O116=Støtteark!$B$34,O116=Støtteark!$B$35)),AND(E116=Støtteark!$U$6,OR(O116=Støtteark!$B$29,O116=Støtteark!$B$30,O116=Støtteark!$B$32,O116=Støtteark!$B$33))),1,"")</f>
        <v/>
      </c>
      <c r="AE116" s="231" t="str">
        <f>IF(OR(N116 = Støtteark!$L$25,N116 = Støtteark!$L$26,N116 = Støtteark!$L$28,AND(N116 = Støtteark!$L$29,OR(O116=Støtteark!$B$34,O116 = Støtteark!$B$30)),AND(E116=Støtteark!$U$6,O116=Støtteark!$B$29)),1,"")</f>
        <v/>
      </c>
      <c r="AF116" s="231" t="str">
        <f>IF(OR(N116 = Støtteark!$L$25,N116 = Støtteark!$L$26,N116 = Støtteark!$L$28,AND(N116 = Støtteark!$L$29,O116=Støtteark!$B$34),AND(E116=Støtteark!$U$6,O116=Støtteark!$B$30),AND(E116=Støtteark!$U$6,O116=Støtteark!$B$29)),1,"")</f>
        <v/>
      </c>
      <c r="AG116" s="231" t="str">
        <f>IF(OR(N116 = Støtteark!$L$25,N116 = Støtteark!$L$26,N116 = Støtteark!$L$28,AND(N116 = Støtteark!$L$29,OR(O116=Støtteark!$B$30,O116 = Støtteark!$B$31,O116=Støtteark!$B$32,O116=Støtteark!$B$34)),AND(E116=Støtteark!$U$6,OR(O116=Støtteark!$B$29,O116=Støtteark!$B$31))),1,"")</f>
        <v/>
      </c>
      <c r="AH116" s="231" t="str">
        <f>IF(OR(N116 = Støtteark!$L$25,N116 = Støtteark!$L$26,N116 = Støtteark!$L$28,AND(N116 = Støtteark!$L$29,O116=Støtteark!$B$34),AND(E116=Støtteark!$U$6,OR(O116=Støtteark!$B$29,O116=Støtteark!$B$30))),1,"")</f>
        <v/>
      </c>
      <c r="AI116" s="231" t="str">
        <f>IF(OR(N116 = Støtteark!$L$25,N116 = Støtteark!$L$26,N116 = Støtteark!$L$28,AND(N116 = Støtteark!$L$29,OR(O116=Støtteark!$B$34,O116 = Støtteark!$B$30)),AND(E116=Støtteark!$U$6,OR(O116=Støtteark!$B$29,O116=Støtteark!$B$30))),1,"")</f>
        <v/>
      </c>
      <c r="AJ116" s="231" t="str">
        <f>IF(OR(AND(E116&lt;&gt;Støtteark!$U$6,N116 = Støtteark!$L$25),N116 = Støtteark!$L$26,N116 = Støtteark!$L$28,AND(N116 = Støtteark!$L$29,OR(O116=Støtteark!$B$34,O116=Støtteark!$B$35),O116&lt;&gt;Støtteark!$B$30)),1,"")</f>
        <v/>
      </c>
      <c r="AK116" s="231" t="str">
        <f>IF(OR(AND(E116&lt;&gt;Støtteark!$U$6,N116 = Støtteark!$L$25),N116 = Støtteark!$L$26,N116 = Støtteark!$L$28,AND(N116 = Støtteark!$L$29,E116&lt;&gt;Støtteark!$U$6,OR(O116=Støtteark!$B$34,O116 = Støtteark!$B$30))),1,"")</f>
        <v/>
      </c>
      <c r="AL116" s="231" t="str">
        <f>IF(OR(AND(E116&lt;&gt;Støtteark!$U$6,N116 = Støtteark!$L$25),N116 = Støtteark!$L$26,N116 = Støtteark!$L$28,AND(N116 = Støtteark!$L$29,O116=Støtteark!$B$34)),1,"")</f>
        <v/>
      </c>
      <c r="AM116" s="231" t="str">
        <f>IF(AND(N116 = Støtteark!$L$29,OR(O116=Støtteark!$B$30,O116=Støtteark!$B$32,O116=Støtteark!$B$33,O116=Støtteark!$B$34,O116=Støtteark!$B$35)),Støtteark!$L$32,"")</f>
        <v/>
      </c>
      <c r="AN116" s="235"/>
      <c r="AO116" s="91"/>
      <c r="AP116" s="170">
        <v>0</v>
      </c>
      <c r="AQ116" s="235"/>
      <c r="AR116" s="64">
        <f t="shared" ca="1" si="106"/>
        <v>44022</v>
      </c>
    </row>
    <row r="117" spans="1:44" ht="25.5" hidden="1" x14ac:dyDescent="0.25">
      <c r="A117" s="221" t="str">
        <f t="shared" si="102"/>
        <v>Kundenr.-Ejendom</v>
      </c>
      <c r="B117" s="61" t="str">
        <f>Ydelser!A117&amp;" - "&amp;Ydelser!C117</f>
        <v>805 - "ABx udstyr" (almindelige brandtekniske anlæg)</v>
      </c>
      <c r="C117" s="61" t="str">
        <f>Ydelser!D117</f>
        <v>Jf. vedlagte bilag med ydelsesbeskrivelse.</v>
      </c>
      <c r="D117" s="61" t="b">
        <f>'FS Aftale'!D117</f>
        <v>0</v>
      </c>
      <c r="E117" s="156" t="str">
        <f>'FS Aftale'!E117</f>
        <v>Enhedspris</v>
      </c>
      <c r="F117" s="61" t="str">
        <f t="shared" si="103"/>
        <v>Team Ansvarlig</v>
      </c>
      <c r="G117" s="61" t="str">
        <f t="shared" si="103"/>
        <v>Ansvarlig</v>
      </c>
      <c r="H117" s="61" t="str">
        <f t="shared" si="103"/>
        <v>Servicemedarb.</v>
      </c>
      <c r="I117" s="235"/>
      <c r="J117" s="61" t="str">
        <f t="shared" si="104"/>
        <v>Fast</v>
      </c>
      <c r="K117" s="61" t="str">
        <f t="shared" si="104"/>
        <v>FS aftale</v>
      </c>
      <c r="L117" s="188">
        <f t="shared" si="104"/>
        <v>1</v>
      </c>
      <c r="M117" s="157" t="str">
        <f t="shared" si="104"/>
        <v>Mangler planlægning</v>
      </c>
      <c r="N117" s="147" t="str">
        <f>IFERROR(VLOOKUP(O117,Støtteark!$B$21:$F$35,MATCH(E117,Støtteark!$B$21:$F$21,0),0),Støtteark!$L$35)</f>
        <v>Vælg en anden kombination</v>
      </c>
      <c r="O117" s="62">
        <f>'FS Aftale'!F117</f>
        <v>0</v>
      </c>
      <c r="P117" s="179" t="str">
        <f t="shared" si="105"/>
        <v>7:00</v>
      </c>
      <c r="Q117" s="63">
        <f>'FS Aftale'!G117*Støtteark!$Q$15</f>
        <v>0</v>
      </c>
      <c r="R117" s="235"/>
      <c r="S117" s="231" t="str">
        <f>IF(OR(AND(OR(N117 = Støtteark!$L$25,N117 = Støtteark!$L$26,N117 = Støtteark!$L$28),E117&lt;&gt;Støtteark!$U$6,OR(O117=Støtteark!$B$22,O117=Støtteark!$B$23,O117=Støtteark!$B$24,O117=Støtteark!$B$25,O117=Støtteark!$B$26,O117=Støtteark!$B$27,O117=Støtteark!$B$28)),AND(E117=Støtteark!$U$6,OR(O117=Støtteark!$B$24,O117=Støtteark!$B$27,O117=Støtteark!$B$29))),1,"")</f>
        <v/>
      </c>
      <c r="T117" s="232" t="str">
        <f>IF(OR(AND(N117 = Støtteark!$L$25,E117&lt;&gt;Støtteark!$U$6,O117=Støtteark!$B$22),AND(E117=Støtteark!$U$6,O117=Støtteark!$B$24),O117=Støtteark!$B$22),1,"")</f>
        <v/>
      </c>
      <c r="U117" s="232" t="str">
        <f>IF(OR(AND(N117 = Støtteark!$L$25,E117&lt;&gt;Støtteark!$U$6,OR(O117=Støtteark!$B$22,O117=Støtteark!$B$23,O117=Støtteark!$B$24)),AND(E117=Støtteark!$U$6,OR(O117=Støtteark!$B$22,O117=Støtteark!$B$24))),1,"")</f>
        <v/>
      </c>
      <c r="V117" s="232" t="str">
        <f>IF(OR(AND(N117 = Støtteark!$L$25,E117&lt;&gt;Støtteark!$U$6,O117=Støtteark!$B$22),AND(E117=Støtteark!$U$6,OR(O117=Støtteark!$B$22,O117=Støtteark!$B$24))),1,"")</f>
        <v/>
      </c>
      <c r="W117" s="232" t="str">
        <f>IF(OR(AND(N117 = Støtteark!$L$25,E117&lt;&gt;Støtteark!$U$6,OR(O117=Støtteark!$B$22,O117=Støtteark!$B$23,O117=Støtteark!$B$24,O117=Støtteark!$B$25)),AND(E117=Støtteark!$U$6,OR(O117=Støtteark!$B$22,O117=Støtteark!$B$24))),1,"")</f>
        <v/>
      </c>
      <c r="X117" s="231"/>
      <c r="Y117" s="231"/>
      <c r="Z117" s="235"/>
      <c r="AA117" s="231" t="str">
        <f>IF(OR(AND(E117&lt;&gt;Støtteark!$U$6,N117 = Støtteark!$L$25),N117 = Støtteark!$L$26,N117 = Støtteark!$L$28,AND(N117 = Støtteark!$L$29,E117&lt;&gt;Støtteark!$U$6,OR(O117=Støtteark!$B$30,O117=Støtteark!$B$32,O117=Støtteark!$B$33,AND(E117&lt;&gt;Støtteark!$U$6,O117=Støtteark!$B$34),O117=Støtteark!$B$35))),1,"")</f>
        <v/>
      </c>
      <c r="AB117" s="231" t="str">
        <f>IF(OR(AND(E117&lt;&gt;Støtteark!$U$6,N117 = Støtteark!$L$25),N117 = Støtteark!$L$26,N117 = Støtteark!$L$28,AND(N117 = Støtteark!$L$29,O117=Støtteark!$B$34)),1,"")</f>
        <v/>
      </c>
      <c r="AC117" s="231" t="str">
        <f>IF(OR(AND(E117&lt;&gt;Støtteark!$U$6,N117 = Støtteark!$L$25),N117 = Støtteark!$L$26,N117 = Støtteark!$L$28,AND(N117 = Støtteark!$L$29,E117&lt;&gt;Støtteark!$U$6,OR(O117=Støtteark!$B$30,O117 = Støtteark!$B$34))),1,"")</f>
        <v/>
      </c>
      <c r="AD117" s="232" t="str">
        <f>IF(OR(N117 = Støtteark!$L$25,N117 = Støtteark!$L$26,N117 = Støtteark!$L$28,AND(N117 = Støtteark!$L$29,OR(O117=Støtteark!$B$34,O117=Støtteark!$B$35)),AND(E117=Støtteark!$U$6,OR(O117=Støtteark!$B$29,O117=Støtteark!$B$30,O117=Støtteark!$B$32,O117=Støtteark!$B$33))),1,"")</f>
        <v/>
      </c>
      <c r="AE117" s="231" t="str">
        <f>IF(OR(N117 = Støtteark!$L$25,N117 = Støtteark!$L$26,N117 = Støtteark!$L$28,AND(N117 = Støtteark!$L$29,OR(O117=Støtteark!$B$34,O117 = Støtteark!$B$30)),AND(E117=Støtteark!$U$6,O117=Støtteark!$B$29)),1,"")</f>
        <v/>
      </c>
      <c r="AF117" s="231" t="str">
        <f>IF(OR(N117 = Støtteark!$L$25,N117 = Støtteark!$L$26,N117 = Støtteark!$L$28,AND(N117 = Støtteark!$L$29,O117=Støtteark!$B$34),AND(E117=Støtteark!$U$6,O117=Støtteark!$B$30),AND(E117=Støtteark!$U$6,O117=Støtteark!$B$29)),1,"")</f>
        <v/>
      </c>
      <c r="AG117" s="231" t="str">
        <f>IF(OR(N117 = Støtteark!$L$25,N117 = Støtteark!$L$26,N117 = Støtteark!$L$28,AND(N117 = Støtteark!$L$29,OR(O117=Støtteark!$B$30,O117 = Støtteark!$B$31,O117=Støtteark!$B$32,O117=Støtteark!$B$34)),AND(E117=Støtteark!$U$6,OR(O117=Støtteark!$B$29,O117=Støtteark!$B$31))),1,"")</f>
        <v/>
      </c>
      <c r="AH117" s="231" t="str">
        <f>IF(OR(N117 = Støtteark!$L$25,N117 = Støtteark!$L$26,N117 = Støtteark!$L$28,AND(N117 = Støtteark!$L$29,O117=Støtteark!$B$34),AND(E117=Støtteark!$U$6,OR(O117=Støtteark!$B$29,O117=Støtteark!$B$30))),1,"")</f>
        <v/>
      </c>
      <c r="AI117" s="231" t="str">
        <f>IF(OR(N117 = Støtteark!$L$25,N117 = Støtteark!$L$26,N117 = Støtteark!$L$28,AND(N117 = Støtteark!$L$29,OR(O117=Støtteark!$B$34,O117 = Støtteark!$B$30)),AND(E117=Støtteark!$U$6,OR(O117=Støtteark!$B$29,O117=Støtteark!$B$30))),1,"")</f>
        <v/>
      </c>
      <c r="AJ117" s="231" t="str">
        <f>IF(OR(AND(E117&lt;&gt;Støtteark!$U$6,N117 = Støtteark!$L$25),N117 = Støtteark!$L$26,N117 = Støtteark!$L$28,AND(N117 = Støtteark!$L$29,OR(O117=Støtteark!$B$34,O117=Støtteark!$B$35),O117&lt;&gt;Støtteark!$B$30)),1,"")</f>
        <v/>
      </c>
      <c r="AK117" s="231" t="str">
        <f>IF(OR(AND(E117&lt;&gt;Støtteark!$U$6,N117 = Støtteark!$L$25),N117 = Støtteark!$L$26,N117 = Støtteark!$L$28,AND(N117 = Støtteark!$L$29,E117&lt;&gt;Støtteark!$U$6,OR(O117=Støtteark!$B$34,O117 = Støtteark!$B$30))),1,"")</f>
        <v/>
      </c>
      <c r="AL117" s="231" t="str">
        <f>IF(OR(AND(E117&lt;&gt;Støtteark!$U$6,N117 = Støtteark!$L$25),N117 = Støtteark!$L$26,N117 = Støtteark!$L$28,AND(N117 = Støtteark!$L$29,O117=Støtteark!$B$34)),1,"")</f>
        <v/>
      </c>
      <c r="AM117" s="231" t="str">
        <f>IF(AND(N117 = Støtteark!$L$29,OR(O117=Støtteark!$B$30,O117=Støtteark!$B$32,O117=Støtteark!$B$33,O117=Støtteark!$B$34,O117=Støtteark!$B$35)),Støtteark!$L$32,"")</f>
        <v/>
      </c>
      <c r="AN117" s="235"/>
      <c r="AO117" s="91"/>
      <c r="AP117" s="170">
        <v>0</v>
      </c>
      <c r="AQ117" s="235"/>
      <c r="AR117" s="64">
        <f t="shared" ca="1" si="106"/>
        <v>44022</v>
      </c>
    </row>
    <row r="118" spans="1:44" ht="25.5" hidden="1" x14ac:dyDescent="0.25">
      <c r="A118" s="221" t="str">
        <f t="shared" si="102"/>
        <v>Kundenr.-Ejendom</v>
      </c>
      <c r="B118" s="61" t="str">
        <f>Ydelser!A118&amp;" - "&amp;Ydelser!C118</f>
        <v>806 - Sikring (alarm, AIA, overvågning og vagt)</v>
      </c>
      <c r="C118" s="61" t="str">
        <f>Ydelser!D118</f>
        <v>Jf. vedlagte bilag med ydelsesbeskrivelse.</v>
      </c>
      <c r="D118" s="61" t="b">
        <f>'FS Aftale'!D118</f>
        <v>0</v>
      </c>
      <c r="E118" s="156" t="str">
        <f>'FS Aftale'!E118</f>
        <v>Enhedspris</v>
      </c>
      <c r="F118" s="61" t="str">
        <f t="shared" si="103"/>
        <v>Team Ansvarlig</v>
      </c>
      <c r="G118" s="61" t="str">
        <f t="shared" si="103"/>
        <v>Ansvarlig</v>
      </c>
      <c r="H118" s="61" t="str">
        <f t="shared" si="103"/>
        <v>Servicemedarb.</v>
      </c>
      <c r="I118" s="235"/>
      <c r="J118" s="61" t="str">
        <f t="shared" si="104"/>
        <v>Fast</v>
      </c>
      <c r="K118" s="61" t="str">
        <f t="shared" si="104"/>
        <v>FS aftale</v>
      </c>
      <c r="L118" s="188">
        <f t="shared" si="104"/>
        <v>1</v>
      </c>
      <c r="M118" s="157" t="str">
        <f t="shared" si="104"/>
        <v>Mangler planlægning</v>
      </c>
      <c r="N118" s="147" t="str">
        <f>IFERROR(VLOOKUP(O118,Støtteark!$B$21:$F$35,MATCH(E118,Støtteark!$B$21:$F$21,0),0),Støtteark!$L$35)</f>
        <v>Vælg en anden kombination</v>
      </c>
      <c r="O118" s="62">
        <f>'FS Aftale'!F118</f>
        <v>0</v>
      </c>
      <c r="P118" s="179" t="str">
        <f t="shared" si="105"/>
        <v>7:00</v>
      </c>
      <c r="Q118" s="63">
        <f>'FS Aftale'!G118*Støtteark!$Q$15</f>
        <v>0</v>
      </c>
      <c r="R118" s="235"/>
      <c r="S118" s="231" t="str">
        <f>IF(OR(AND(OR(N118 = Støtteark!$L$25,N118 = Støtteark!$L$26,N118 = Støtteark!$L$28),E118&lt;&gt;Støtteark!$U$6,OR(O118=Støtteark!$B$22,O118=Støtteark!$B$23,O118=Støtteark!$B$24,O118=Støtteark!$B$25,O118=Støtteark!$B$26,O118=Støtteark!$B$27,O118=Støtteark!$B$28)),AND(E118=Støtteark!$U$6,OR(O118=Støtteark!$B$24,O118=Støtteark!$B$27,O118=Støtteark!$B$29))),1,"")</f>
        <v/>
      </c>
      <c r="T118" s="232" t="str">
        <f>IF(OR(AND(N118 = Støtteark!$L$25,E118&lt;&gt;Støtteark!$U$6,O118=Støtteark!$B$22),AND(E118=Støtteark!$U$6,O118=Støtteark!$B$24),O118=Støtteark!$B$22),1,"")</f>
        <v/>
      </c>
      <c r="U118" s="232" t="str">
        <f>IF(OR(AND(N118 = Støtteark!$L$25,E118&lt;&gt;Støtteark!$U$6,OR(O118=Støtteark!$B$22,O118=Støtteark!$B$23,O118=Støtteark!$B$24)),AND(E118=Støtteark!$U$6,OR(O118=Støtteark!$B$22,O118=Støtteark!$B$24))),1,"")</f>
        <v/>
      </c>
      <c r="V118" s="232" t="str">
        <f>IF(OR(AND(N118 = Støtteark!$L$25,E118&lt;&gt;Støtteark!$U$6,O118=Støtteark!$B$22),AND(E118=Støtteark!$U$6,OR(O118=Støtteark!$B$22,O118=Støtteark!$B$24))),1,"")</f>
        <v/>
      </c>
      <c r="W118" s="232" t="str">
        <f>IF(OR(AND(N118 = Støtteark!$L$25,E118&lt;&gt;Støtteark!$U$6,OR(O118=Støtteark!$B$22,O118=Støtteark!$B$23,O118=Støtteark!$B$24,O118=Støtteark!$B$25)),AND(E118=Støtteark!$U$6,OR(O118=Støtteark!$B$22,O118=Støtteark!$B$24))),1,"")</f>
        <v/>
      </c>
      <c r="X118" s="231"/>
      <c r="Y118" s="231"/>
      <c r="Z118" s="235"/>
      <c r="AA118" s="231" t="str">
        <f>IF(OR(AND(E118&lt;&gt;Støtteark!$U$6,N118 = Støtteark!$L$25),N118 = Støtteark!$L$26,N118 = Støtteark!$L$28,AND(N118 = Støtteark!$L$29,E118&lt;&gt;Støtteark!$U$6,OR(O118=Støtteark!$B$30,O118=Støtteark!$B$32,O118=Støtteark!$B$33,AND(E118&lt;&gt;Støtteark!$U$6,O118=Støtteark!$B$34),O118=Støtteark!$B$35))),1,"")</f>
        <v/>
      </c>
      <c r="AB118" s="231" t="str">
        <f>IF(OR(AND(E118&lt;&gt;Støtteark!$U$6,N118 = Støtteark!$L$25),N118 = Støtteark!$L$26,N118 = Støtteark!$L$28,AND(N118 = Støtteark!$L$29,O118=Støtteark!$B$34)),1,"")</f>
        <v/>
      </c>
      <c r="AC118" s="231" t="str">
        <f>IF(OR(AND(E118&lt;&gt;Støtteark!$U$6,N118 = Støtteark!$L$25),N118 = Støtteark!$L$26,N118 = Støtteark!$L$28,AND(N118 = Støtteark!$L$29,E118&lt;&gt;Støtteark!$U$6,OR(O118=Støtteark!$B$30,O118 = Støtteark!$B$34))),1,"")</f>
        <v/>
      </c>
      <c r="AD118" s="232" t="str">
        <f>IF(OR(N118 = Støtteark!$L$25,N118 = Støtteark!$L$26,N118 = Støtteark!$L$28,AND(N118 = Støtteark!$L$29,OR(O118=Støtteark!$B$34,O118=Støtteark!$B$35)),AND(E118=Støtteark!$U$6,OR(O118=Støtteark!$B$29,O118=Støtteark!$B$30,O118=Støtteark!$B$32,O118=Støtteark!$B$33))),1,"")</f>
        <v/>
      </c>
      <c r="AE118" s="231" t="str">
        <f>IF(OR(N118 = Støtteark!$L$25,N118 = Støtteark!$L$26,N118 = Støtteark!$L$28,AND(N118 = Støtteark!$L$29,OR(O118=Støtteark!$B$34,O118 = Støtteark!$B$30)),AND(E118=Støtteark!$U$6,O118=Støtteark!$B$29)),1,"")</f>
        <v/>
      </c>
      <c r="AF118" s="231" t="str">
        <f>IF(OR(N118 = Støtteark!$L$25,N118 = Støtteark!$L$26,N118 = Støtteark!$L$28,AND(N118 = Støtteark!$L$29,O118=Støtteark!$B$34),AND(E118=Støtteark!$U$6,O118=Støtteark!$B$30),AND(E118=Støtteark!$U$6,O118=Støtteark!$B$29)),1,"")</f>
        <v/>
      </c>
      <c r="AG118" s="231" t="str">
        <f>IF(OR(N118 = Støtteark!$L$25,N118 = Støtteark!$L$26,N118 = Støtteark!$L$28,AND(N118 = Støtteark!$L$29,OR(O118=Støtteark!$B$30,O118 = Støtteark!$B$31,O118=Støtteark!$B$32,O118=Støtteark!$B$34)),AND(E118=Støtteark!$U$6,OR(O118=Støtteark!$B$29,O118=Støtteark!$B$31))),1,"")</f>
        <v/>
      </c>
      <c r="AH118" s="231" t="str">
        <f>IF(OR(N118 = Støtteark!$L$25,N118 = Støtteark!$L$26,N118 = Støtteark!$L$28,AND(N118 = Støtteark!$L$29,O118=Støtteark!$B$34),AND(E118=Støtteark!$U$6,OR(O118=Støtteark!$B$29,O118=Støtteark!$B$30))),1,"")</f>
        <v/>
      </c>
      <c r="AI118" s="231" t="str">
        <f>IF(OR(N118 = Støtteark!$L$25,N118 = Støtteark!$L$26,N118 = Støtteark!$L$28,AND(N118 = Støtteark!$L$29,OR(O118=Støtteark!$B$34,O118 = Støtteark!$B$30)),AND(E118=Støtteark!$U$6,OR(O118=Støtteark!$B$29,O118=Støtteark!$B$30))),1,"")</f>
        <v/>
      </c>
      <c r="AJ118" s="231" t="str">
        <f>IF(OR(AND(E118&lt;&gt;Støtteark!$U$6,N118 = Støtteark!$L$25),N118 = Støtteark!$L$26,N118 = Støtteark!$L$28,AND(N118 = Støtteark!$L$29,OR(O118=Støtteark!$B$34,O118=Støtteark!$B$35),O118&lt;&gt;Støtteark!$B$30)),1,"")</f>
        <v/>
      </c>
      <c r="AK118" s="231" t="str">
        <f>IF(OR(AND(E118&lt;&gt;Støtteark!$U$6,N118 = Støtteark!$L$25),N118 = Støtteark!$L$26,N118 = Støtteark!$L$28,AND(N118 = Støtteark!$L$29,E118&lt;&gt;Støtteark!$U$6,OR(O118=Støtteark!$B$34,O118 = Støtteark!$B$30))),1,"")</f>
        <v/>
      </c>
      <c r="AL118" s="231" t="str">
        <f>IF(OR(AND(E118&lt;&gt;Støtteark!$U$6,N118 = Støtteark!$L$25),N118 = Støtteark!$L$26,N118 = Støtteark!$L$28,AND(N118 = Støtteark!$L$29,O118=Støtteark!$B$34)),1,"")</f>
        <v/>
      </c>
      <c r="AM118" s="231" t="str">
        <f>IF(AND(N118 = Støtteark!$L$29,OR(O118=Støtteark!$B$30,O118=Støtteark!$B$32,O118=Støtteark!$B$33,O118=Støtteark!$B$34,O118=Støtteark!$B$35)),Støtteark!$L$32,"")</f>
        <v/>
      </c>
      <c r="AN118" s="235"/>
      <c r="AO118" s="91"/>
      <c r="AP118" s="170">
        <v>0</v>
      </c>
      <c r="AQ118" s="235"/>
      <c r="AR118" s="64">
        <f t="shared" ca="1" si="106"/>
        <v>44022</v>
      </c>
    </row>
    <row r="119" spans="1:44" hidden="1" x14ac:dyDescent="0.25">
      <c r="A119" s="224"/>
      <c r="B119" s="78"/>
      <c r="C119" s="78"/>
      <c r="D119" s="79"/>
      <c r="E119" s="79"/>
      <c r="F119" s="79"/>
      <c r="G119" s="78"/>
      <c r="H119" s="78"/>
      <c r="I119" s="237"/>
      <c r="J119" s="78"/>
      <c r="K119" s="78"/>
      <c r="L119" s="191"/>
      <c r="M119" s="160"/>
      <c r="N119" s="150"/>
      <c r="O119" s="78"/>
      <c r="P119" s="184"/>
      <c r="Q119" s="81"/>
      <c r="R119" s="237"/>
      <c r="S119" s="241"/>
      <c r="T119" s="241"/>
      <c r="U119" s="241"/>
      <c r="V119" s="241"/>
      <c r="W119" s="241"/>
      <c r="X119" s="241"/>
      <c r="Y119" s="241"/>
      <c r="Z119" s="237"/>
      <c r="AA119" s="241"/>
      <c r="AB119" s="241"/>
      <c r="AC119" s="241"/>
      <c r="AD119" s="241"/>
      <c r="AE119" s="241"/>
      <c r="AF119" s="241"/>
      <c r="AG119" s="241"/>
      <c r="AH119" s="241"/>
      <c r="AI119" s="241"/>
      <c r="AJ119" s="241"/>
      <c r="AK119" s="241"/>
      <c r="AL119" s="241"/>
      <c r="AM119" s="241"/>
      <c r="AN119" s="237"/>
      <c r="AO119" s="143"/>
      <c r="AP119" s="173"/>
      <c r="AQ119" s="237"/>
      <c r="AR119" s="144"/>
    </row>
    <row r="120" spans="1:44" ht="25.5" hidden="1" x14ac:dyDescent="0.25">
      <c r="A120" s="221" t="str">
        <f>A118</f>
        <v>Kundenr.-Ejendom</v>
      </c>
      <c r="B120" s="61" t="str">
        <f>Ydelser!A120&amp;" - "&amp;Ydelser!C120</f>
        <v>808 - Graffitirens</v>
      </c>
      <c r="C120" s="61" t="str">
        <f>Ydelser!D120</f>
        <v>Jf. vedlagte bilag med ydelsesbeskrivelse.</v>
      </c>
      <c r="D120" s="61" t="b">
        <f>'FS Aftale'!D120</f>
        <v>0</v>
      </c>
      <c r="E120" s="156" t="str">
        <f>'FS Aftale'!E120</f>
        <v>Enhedspris</v>
      </c>
      <c r="F120" s="61" t="str">
        <f>F118</f>
        <v>Team Ansvarlig</v>
      </c>
      <c r="G120" s="61" t="str">
        <f t="shared" ref="G120:M120" si="107">G118</f>
        <v>Ansvarlig</v>
      </c>
      <c r="H120" s="61" t="str">
        <f t="shared" si="107"/>
        <v>Servicemedarb.</v>
      </c>
      <c r="I120" s="235"/>
      <c r="J120" s="61" t="str">
        <f t="shared" ref="J120:K120" si="108">J118</f>
        <v>Fast</v>
      </c>
      <c r="K120" s="61" t="str">
        <f t="shared" si="108"/>
        <v>FS aftale</v>
      </c>
      <c r="L120" s="188">
        <f t="shared" si="107"/>
        <v>1</v>
      </c>
      <c r="M120" s="157" t="str">
        <f t="shared" si="107"/>
        <v>Mangler planlægning</v>
      </c>
      <c r="N120" s="147" t="str">
        <f>IFERROR(VLOOKUP(O120,Støtteark!$B$21:$F$35,MATCH(E120,Støtteark!$B$21:$F$21,0),0),Støtteark!$L$35)</f>
        <v>Vælg en anden kombination</v>
      </c>
      <c r="O120" s="62">
        <f>'FS Aftale'!F120</f>
        <v>0</v>
      </c>
      <c r="P120" s="179" t="str">
        <f>P118</f>
        <v>7:00</v>
      </c>
      <c r="Q120" s="63">
        <f>'FS Aftale'!G120*Støtteark!$Q$15</f>
        <v>0</v>
      </c>
      <c r="R120" s="235"/>
      <c r="S120" s="231" t="str">
        <f>IF(OR(AND(OR(N120 = Støtteark!$L$25,N120 = Støtteark!$L$26,N120 = Støtteark!$L$28),E120&lt;&gt;Støtteark!$U$6,OR(O120=Støtteark!$B$22,O120=Støtteark!$B$23,O120=Støtteark!$B$24,O120=Støtteark!$B$25,O120=Støtteark!$B$26,O120=Støtteark!$B$27,O120=Støtteark!$B$28)),AND(E120=Støtteark!$U$6,OR(O120=Støtteark!$B$24,O120=Støtteark!$B$27,O120=Støtteark!$B$29))),1,"")</f>
        <v/>
      </c>
      <c r="T120" s="232" t="str">
        <f>IF(OR(AND(N120 = Støtteark!$L$25,E120&lt;&gt;Støtteark!$U$6,O120=Støtteark!$B$22),AND(E120=Støtteark!$U$6,O120=Støtteark!$B$24),O120=Støtteark!$B$22),1,"")</f>
        <v/>
      </c>
      <c r="U120" s="232" t="str">
        <f>IF(OR(AND(N120 = Støtteark!$L$25,E120&lt;&gt;Støtteark!$U$6,OR(O120=Støtteark!$B$22,O120=Støtteark!$B$23,O120=Støtteark!$B$24)),AND(E120=Støtteark!$U$6,OR(O120=Støtteark!$B$22,O120=Støtteark!$B$24))),1,"")</f>
        <v/>
      </c>
      <c r="V120" s="232" t="str">
        <f>IF(OR(AND(N120 = Støtteark!$L$25,E120&lt;&gt;Støtteark!$U$6,O120=Støtteark!$B$22),AND(E120=Støtteark!$U$6,OR(O120=Støtteark!$B$22,O120=Støtteark!$B$24))),1,"")</f>
        <v/>
      </c>
      <c r="W120" s="232" t="str">
        <f>IF(OR(AND(N120 = Støtteark!$L$25,E120&lt;&gt;Støtteark!$U$6,OR(O120=Støtteark!$B$22,O120=Støtteark!$B$23,O120=Støtteark!$B$24,O120=Støtteark!$B$25)),AND(E120=Støtteark!$U$6,OR(O120=Støtteark!$B$22,O120=Støtteark!$B$24))),1,"")</f>
        <v/>
      </c>
      <c r="X120" s="231"/>
      <c r="Y120" s="231"/>
      <c r="Z120" s="235"/>
      <c r="AA120" s="231" t="str">
        <f>IF(OR(AND(E120&lt;&gt;Støtteark!$U$6,N120 = Støtteark!$L$25),N120 = Støtteark!$L$26,N120 = Støtteark!$L$28,AND(N120 = Støtteark!$L$29,E120&lt;&gt;Støtteark!$U$6,OR(O120=Støtteark!$B$30,O120=Støtteark!$B$32,O120=Støtteark!$B$33,AND(E120&lt;&gt;Støtteark!$U$6,O120=Støtteark!$B$34),O120=Støtteark!$B$35))),1,"")</f>
        <v/>
      </c>
      <c r="AB120" s="231" t="str">
        <f>IF(OR(AND(E120&lt;&gt;Støtteark!$U$6,N120 = Støtteark!$L$25),N120 = Støtteark!$L$26,N120 = Støtteark!$L$28,AND(N120 = Støtteark!$L$29,O120=Støtteark!$B$34)),1,"")</f>
        <v/>
      </c>
      <c r="AC120" s="231" t="str">
        <f>IF(OR(AND(E120&lt;&gt;Støtteark!$U$6,N120 = Støtteark!$L$25),N120 = Støtteark!$L$26,N120 = Støtteark!$L$28,AND(N120 = Støtteark!$L$29,E120&lt;&gt;Støtteark!$U$6,OR(O120=Støtteark!$B$30,O120 = Støtteark!$B$34))),1,"")</f>
        <v/>
      </c>
      <c r="AD120" s="232" t="str">
        <f>IF(OR(N120 = Støtteark!$L$25,N120 = Støtteark!$L$26,N120 = Støtteark!$L$28,AND(N120 = Støtteark!$L$29,OR(O120=Støtteark!$B$34,O120=Støtteark!$B$35)),AND(E120=Støtteark!$U$6,OR(O120=Støtteark!$B$29,O120=Støtteark!$B$30,O120=Støtteark!$B$32,O120=Støtteark!$B$33))),1,"")</f>
        <v/>
      </c>
      <c r="AE120" s="231" t="str">
        <f>IF(OR(N120 = Støtteark!$L$25,N120 = Støtteark!$L$26,N120 = Støtteark!$L$28,AND(N120 = Støtteark!$L$29,OR(O120=Støtteark!$B$34,O120 = Støtteark!$B$30)),AND(E120=Støtteark!$U$6,O120=Støtteark!$B$29)),1,"")</f>
        <v/>
      </c>
      <c r="AF120" s="231" t="str">
        <f>IF(OR(N120 = Støtteark!$L$25,N120 = Støtteark!$L$26,N120 = Støtteark!$L$28,AND(N120 = Støtteark!$L$29,O120=Støtteark!$B$34),AND(E120=Støtteark!$U$6,O120=Støtteark!$B$30),AND(E120=Støtteark!$U$6,O120=Støtteark!$B$29)),1,"")</f>
        <v/>
      </c>
      <c r="AG120" s="231" t="str">
        <f>IF(OR(N120 = Støtteark!$L$25,N120 = Støtteark!$L$26,N120 = Støtteark!$L$28,AND(N120 = Støtteark!$L$29,OR(O120=Støtteark!$B$30,O120 = Støtteark!$B$31,O120=Støtteark!$B$32,O120=Støtteark!$B$34)),AND(E120=Støtteark!$U$6,OR(O120=Støtteark!$B$29,O120=Støtteark!$B$31))),1,"")</f>
        <v/>
      </c>
      <c r="AH120" s="231" t="str">
        <f>IF(OR(N120 = Støtteark!$L$25,N120 = Støtteark!$L$26,N120 = Støtteark!$L$28,AND(N120 = Støtteark!$L$29,O120=Støtteark!$B$34),AND(E120=Støtteark!$U$6,OR(O120=Støtteark!$B$29,O120=Støtteark!$B$30))),1,"")</f>
        <v/>
      </c>
      <c r="AI120" s="231" t="str">
        <f>IF(OR(N120 = Støtteark!$L$25,N120 = Støtteark!$L$26,N120 = Støtteark!$L$28,AND(N120 = Støtteark!$L$29,OR(O120=Støtteark!$B$34,O120 = Støtteark!$B$30)),AND(E120=Støtteark!$U$6,OR(O120=Støtteark!$B$29,O120=Støtteark!$B$30))),1,"")</f>
        <v/>
      </c>
      <c r="AJ120" s="231" t="str">
        <f>IF(OR(AND(E120&lt;&gt;Støtteark!$U$6,N120 = Støtteark!$L$25),N120 = Støtteark!$L$26,N120 = Støtteark!$L$28,AND(N120 = Støtteark!$L$29,OR(O120=Støtteark!$B$34,O120=Støtteark!$B$35),O120&lt;&gt;Støtteark!$B$30)),1,"")</f>
        <v/>
      </c>
      <c r="AK120" s="231" t="str">
        <f>IF(OR(AND(E120&lt;&gt;Støtteark!$U$6,N120 = Støtteark!$L$25),N120 = Støtteark!$L$26,N120 = Støtteark!$L$28,AND(N120 = Støtteark!$L$29,E120&lt;&gt;Støtteark!$U$6,OR(O120=Støtteark!$B$34,O120 = Støtteark!$B$30))),1,"")</f>
        <v/>
      </c>
      <c r="AL120" s="231" t="str">
        <f>IF(OR(AND(E120&lt;&gt;Støtteark!$U$6,N120 = Støtteark!$L$25),N120 = Støtteark!$L$26,N120 = Støtteark!$L$28,AND(N120 = Støtteark!$L$29,O120=Støtteark!$B$34)),1,"")</f>
        <v/>
      </c>
      <c r="AM120" s="231" t="str">
        <f>IF(AND(N120 = Støtteark!$L$29,OR(O120=Støtteark!$B$30,O120=Støtteark!$B$32,O120=Støtteark!$B$33,O120=Støtteark!$B$34,O120=Støtteark!$B$35)),Støtteark!$L$32,"")</f>
        <v/>
      </c>
      <c r="AN120" s="235"/>
      <c r="AO120" s="91"/>
      <c r="AP120" s="170">
        <v>0</v>
      </c>
      <c r="AQ120" s="235"/>
      <c r="AR120" s="64">
        <f ca="1">AR118</f>
        <v>44022</v>
      </c>
    </row>
    <row r="121" spans="1:44" ht="25.5" hidden="1" x14ac:dyDescent="0.25">
      <c r="A121" s="221" t="str">
        <f t="shared" ref="A121:A123" si="109">A120</f>
        <v>Kundenr.-Ejendom</v>
      </c>
      <c r="B121" s="61" t="str">
        <f>Ydelser!A121&amp;" - "&amp;Ydelser!C121</f>
        <v>809 - Containervask</v>
      </c>
      <c r="C121" s="61" t="str">
        <f>Ydelser!D121</f>
        <v>Jf. vedlagte bilag med ydelsesbeskrivelse.</v>
      </c>
      <c r="D121" s="61" t="b">
        <f>'FS Aftale'!D121</f>
        <v>0</v>
      </c>
      <c r="E121" s="156" t="str">
        <f>'FS Aftale'!E121</f>
        <v>Enhedspris</v>
      </c>
      <c r="F121" s="61" t="str">
        <f t="shared" ref="F121:H123" si="110">F120</f>
        <v>Team Ansvarlig</v>
      </c>
      <c r="G121" s="61" t="str">
        <f t="shared" si="110"/>
        <v>Ansvarlig</v>
      </c>
      <c r="H121" s="61" t="str">
        <f t="shared" si="110"/>
        <v>Servicemedarb.</v>
      </c>
      <c r="I121" s="235"/>
      <c r="J121" s="61" t="str">
        <f t="shared" ref="J121:M123" si="111">J120</f>
        <v>Fast</v>
      </c>
      <c r="K121" s="61" t="str">
        <f t="shared" si="111"/>
        <v>FS aftale</v>
      </c>
      <c r="L121" s="188">
        <f t="shared" si="111"/>
        <v>1</v>
      </c>
      <c r="M121" s="157" t="str">
        <f t="shared" si="111"/>
        <v>Mangler planlægning</v>
      </c>
      <c r="N121" s="147" t="str">
        <f>IFERROR(VLOOKUP(O121,Støtteark!$B$21:$F$35,MATCH(E121,Støtteark!$B$21:$F$21,0),0),Støtteark!$L$35)</f>
        <v>Vælg en anden kombination</v>
      </c>
      <c r="O121" s="62">
        <f>'FS Aftale'!F121</f>
        <v>0</v>
      </c>
      <c r="P121" s="179" t="str">
        <f t="shared" ref="P121:P123" si="112">P120</f>
        <v>7:00</v>
      </c>
      <c r="Q121" s="63">
        <f>'FS Aftale'!G121*Støtteark!$Q$15</f>
        <v>0</v>
      </c>
      <c r="R121" s="235"/>
      <c r="S121" s="231" t="str">
        <f>IF(OR(AND(OR(N121 = Støtteark!$L$25,N121 = Støtteark!$L$26,N121 = Støtteark!$L$28),E121&lt;&gt;Støtteark!$U$6,OR(O121=Støtteark!$B$22,O121=Støtteark!$B$23,O121=Støtteark!$B$24,O121=Støtteark!$B$25,O121=Støtteark!$B$26,O121=Støtteark!$B$27,O121=Støtteark!$B$28)),AND(E121=Støtteark!$U$6,OR(O121=Støtteark!$B$24,O121=Støtteark!$B$27,O121=Støtteark!$B$29))),1,"")</f>
        <v/>
      </c>
      <c r="T121" s="232" t="str">
        <f>IF(OR(AND(N121 = Støtteark!$L$25,E121&lt;&gt;Støtteark!$U$6,O121=Støtteark!$B$22),AND(E121=Støtteark!$U$6,O121=Støtteark!$B$24),O121=Støtteark!$B$22),1,"")</f>
        <v/>
      </c>
      <c r="U121" s="232" t="str">
        <f>IF(OR(AND(N121 = Støtteark!$L$25,E121&lt;&gt;Støtteark!$U$6,OR(O121=Støtteark!$B$22,O121=Støtteark!$B$23,O121=Støtteark!$B$24)),AND(E121=Støtteark!$U$6,OR(O121=Støtteark!$B$22,O121=Støtteark!$B$24))),1,"")</f>
        <v/>
      </c>
      <c r="V121" s="232" t="str">
        <f>IF(OR(AND(N121 = Støtteark!$L$25,E121&lt;&gt;Støtteark!$U$6,O121=Støtteark!$B$22),AND(E121=Støtteark!$U$6,OR(O121=Støtteark!$B$22,O121=Støtteark!$B$24))),1,"")</f>
        <v/>
      </c>
      <c r="W121" s="232" t="str">
        <f>IF(OR(AND(N121 = Støtteark!$L$25,E121&lt;&gt;Støtteark!$U$6,OR(O121=Støtteark!$B$22,O121=Støtteark!$B$23,O121=Støtteark!$B$24,O121=Støtteark!$B$25)),AND(E121=Støtteark!$U$6,OR(O121=Støtteark!$B$22,O121=Støtteark!$B$24))),1,"")</f>
        <v/>
      </c>
      <c r="X121" s="231"/>
      <c r="Y121" s="231"/>
      <c r="Z121" s="235"/>
      <c r="AA121" s="231" t="str">
        <f>IF(OR(AND(E121&lt;&gt;Støtteark!$U$6,N121 = Støtteark!$L$25),N121 = Støtteark!$L$26,N121 = Støtteark!$L$28,AND(N121 = Støtteark!$L$29,E121&lt;&gt;Støtteark!$U$6,OR(O121=Støtteark!$B$30,O121=Støtteark!$B$32,O121=Støtteark!$B$33,AND(E121&lt;&gt;Støtteark!$U$6,O121=Støtteark!$B$34),O121=Støtteark!$B$35))),1,"")</f>
        <v/>
      </c>
      <c r="AB121" s="231" t="str">
        <f>IF(OR(AND(E121&lt;&gt;Støtteark!$U$6,N121 = Støtteark!$L$25),N121 = Støtteark!$L$26,N121 = Støtteark!$L$28,AND(N121 = Støtteark!$L$29,O121=Støtteark!$B$34)),1,"")</f>
        <v/>
      </c>
      <c r="AC121" s="231" t="str">
        <f>IF(OR(AND(E121&lt;&gt;Støtteark!$U$6,N121 = Støtteark!$L$25),N121 = Støtteark!$L$26,N121 = Støtteark!$L$28,AND(N121 = Støtteark!$L$29,E121&lt;&gt;Støtteark!$U$6,OR(O121=Støtteark!$B$30,O121 = Støtteark!$B$34))),1,"")</f>
        <v/>
      </c>
      <c r="AD121" s="232" t="str">
        <f>IF(OR(N121 = Støtteark!$L$25,N121 = Støtteark!$L$26,N121 = Støtteark!$L$28,AND(N121 = Støtteark!$L$29,OR(O121=Støtteark!$B$34,O121=Støtteark!$B$35)),AND(E121=Støtteark!$U$6,OR(O121=Støtteark!$B$29,O121=Støtteark!$B$30,O121=Støtteark!$B$32,O121=Støtteark!$B$33))),1,"")</f>
        <v/>
      </c>
      <c r="AE121" s="231" t="str">
        <f>IF(OR(N121 = Støtteark!$L$25,N121 = Støtteark!$L$26,N121 = Støtteark!$L$28,AND(N121 = Støtteark!$L$29,OR(O121=Støtteark!$B$34,O121 = Støtteark!$B$30)),AND(E121=Støtteark!$U$6,O121=Støtteark!$B$29)),1,"")</f>
        <v/>
      </c>
      <c r="AF121" s="231" t="str">
        <f>IF(OR(N121 = Støtteark!$L$25,N121 = Støtteark!$L$26,N121 = Støtteark!$L$28,AND(N121 = Støtteark!$L$29,O121=Støtteark!$B$34),AND(E121=Støtteark!$U$6,O121=Støtteark!$B$30),AND(E121=Støtteark!$U$6,O121=Støtteark!$B$29)),1,"")</f>
        <v/>
      </c>
      <c r="AG121" s="231" t="str">
        <f>IF(OR(N121 = Støtteark!$L$25,N121 = Støtteark!$L$26,N121 = Støtteark!$L$28,AND(N121 = Støtteark!$L$29,OR(O121=Støtteark!$B$30,O121 = Støtteark!$B$31,O121=Støtteark!$B$32,O121=Støtteark!$B$34)),AND(E121=Støtteark!$U$6,OR(O121=Støtteark!$B$29,O121=Støtteark!$B$31))),1,"")</f>
        <v/>
      </c>
      <c r="AH121" s="231" t="str">
        <f>IF(OR(N121 = Støtteark!$L$25,N121 = Støtteark!$L$26,N121 = Støtteark!$L$28,AND(N121 = Støtteark!$L$29,O121=Støtteark!$B$34),AND(E121=Støtteark!$U$6,OR(O121=Støtteark!$B$29,O121=Støtteark!$B$30))),1,"")</f>
        <v/>
      </c>
      <c r="AI121" s="231" t="str">
        <f>IF(OR(N121 = Støtteark!$L$25,N121 = Støtteark!$L$26,N121 = Støtteark!$L$28,AND(N121 = Støtteark!$L$29,OR(O121=Støtteark!$B$34,O121 = Støtteark!$B$30)),AND(E121=Støtteark!$U$6,OR(O121=Støtteark!$B$29,O121=Støtteark!$B$30))),1,"")</f>
        <v/>
      </c>
      <c r="AJ121" s="231" t="str">
        <f>IF(OR(AND(E121&lt;&gt;Støtteark!$U$6,N121 = Støtteark!$L$25),N121 = Støtteark!$L$26,N121 = Støtteark!$L$28,AND(N121 = Støtteark!$L$29,OR(O121=Støtteark!$B$34,O121=Støtteark!$B$35),O121&lt;&gt;Støtteark!$B$30)),1,"")</f>
        <v/>
      </c>
      <c r="AK121" s="231" t="str">
        <f>IF(OR(AND(E121&lt;&gt;Støtteark!$U$6,N121 = Støtteark!$L$25),N121 = Støtteark!$L$26,N121 = Støtteark!$L$28,AND(N121 = Støtteark!$L$29,E121&lt;&gt;Støtteark!$U$6,OR(O121=Støtteark!$B$34,O121 = Støtteark!$B$30))),1,"")</f>
        <v/>
      </c>
      <c r="AL121" s="231" t="str">
        <f>IF(OR(AND(E121&lt;&gt;Støtteark!$U$6,N121 = Støtteark!$L$25),N121 = Støtteark!$L$26,N121 = Støtteark!$L$28,AND(N121 = Støtteark!$L$29,O121=Støtteark!$B$34)),1,"")</f>
        <v/>
      </c>
      <c r="AM121" s="231" t="str">
        <f>IF(AND(N121 = Støtteark!$L$29,OR(O121=Støtteark!$B$30,O121=Støtteark!$B$32,O121=Støtteark!$B$33,O121=Støtteark!$B$34,O121=Støtteark!$B$35)),Støtteark!$L$32,"")</f>
        <v/>
      </c>
      <c r="AN121" s="235"/>
      <c r="AO121" s="91"/>
      <c r="AP121" s="170">
        <v>0</v>
      </c>
      <c r="AQ121" s="235"/>
      <c r="AR121" s="64">
        <f t="shared" ref="AR121:AR123" ca="1" si="113">AR120</f>
        <v>44022</v>
      </c>
    </row>
    <row r="122" spans="1:44" ht="25.5" hidden="1" x14ac:dyDescent="0.25">
      <c r="A122" s="221" t="str">
        <f t="shared" si="109"/>
        <v>Kundenr.-Ejendom</v>
      </c>
      <c r="B122" s="61" t="str">
        <f>Ydelser!A122&amp;" - "&amp;Ydelser!C122</f>
        <v>810 - Vask af P-kælder</v>
      </c>
      <c r="C122" s="61" t="str">
        <f>Ydelser!D122</f>
        <v>Jf. vedlagte bilag med ydelsesbeskrivelse.</v>
      </c>
      <c r="D122" s="61" t="b">
        <f>'FS Aftale'!D122</f>
        <v>0</v>
      </c>
      <c r="E122" s="156" t="str">
        <f>'FS Aftale'!E122</f>
        <v>Enhedspris</v>
      </c>
      <c r="F122" s="61" t="str">
        <f t="shared" si="110"/>
        <v>Team Ansvarlig</v>
      </c>
      <c r="G122" s="61" t="str">
        <f t="shared" si="110"/>
        <v>Ansvarlig</v>
      </c>
      <c r="H122" s="61" t="str">
        <f t="shared" si="110"/>
        <v>Servicemedarb.</v>
      </c>
      <c r="I122" s="235"/>
      <c r="J122" s="61" t="str">
        <f t="shared" si="111"/>
        <v>Fast</v>
      </c>
      <c r="K122" s="61" t="str">
        <f t="shared" si="111"/>
        <v>FS aftale</v>
      </c>
      <c r="L122" s="188">
        <f t="shared" si="111"/>
        <v>1</v>
      </c>
      <c r="M122" s="157" t="str">
        <f t="shared" si="111"/>
        <v>Mangler planlægning</v>
      </c>
      <c r="N122" s="147" t="str">
        <f>IFERROR(VLOOKUP(O122,Støtteark!$B$21:$F$35,MATCH(E122,Støtteark!$B$21:$F$21,0),0),Støtteark!$L$35)</f>
        <v>Vælg en anden kombination</v>
      </c>
      <c r="O122" s="62">
        <f>'FS Aftale'!F122</f>
        <v>0</v>
      </c>
      <c r="P122" s="179" t="str">
        <f t="shared" si="112"/>
        <v>7:00</v>
      </c>
      <c r="Q122" s="63">
        <f>'FS Aftale'!G122*Støtteark!$Q$15</f>
        <v>0</v>
      </c>
      <c r="R122" s="235"/>
      <c r="S122" s="231" t="str">
        <f>IF(OR(AND(OR(N122 = Støtteark!$L$25,N122 = Støtteark!$L$26,N122 = Støtteark!$L$28),E122&lt;&gt;Støtteark!$U$6,OR(O122=Støtteark!$B$22,O122=Støtteark!$B$23,O122=Støtteark!$B$24,O122=Støtteark!$B$25,O122=Støtteark!$B$26,O122=Støtteark!$B$27,O122=Støtteark!$B$28)),AND(E122=Støtteark!$U$6,OR(O122=Støtteark!$B$24,O122=Støtteark!$B$27,O122=Støtteark!$B$29))),1,"")</f>
        <v/>
      </c>
      <c r="T122" s="232" t="str">
        <f>IF(OR(AND(N122 = Støtteark!$L$25,E122&lt;&gt;Støtteark!$U$6,O122=Støtteark!$B$22),AND(E122=Støtteark!$U$6,O122=Støtteark!$B$24),O122=Støtteark!$B$22),1,"")</f>
        <v/>
      </c>
      <c r="U122" s="232" t="str">
        <f>IF(OR(AND(N122 = Støtteark!$L$25,E122&lt;&gt;Støtteark!$U$6,OR(O122=Støtteark!$B$22,O122=Støtteark!$B$23,O122=Støtteark!$B$24)),AND(E122=Støtteark!$U$6,OR(O122=Støtteark!$B$22,O122=Støtteark!$B$24))),1,"")</f>
        <v/>
      </c>
      <c r="V122" s="232" t="str">
        <f>IF(OR(AND(N122 = Støtteark!$L$25,E122&lt;&gt;Støtteark!$U$6,O122=Støtteark!$B$22),AND(E122=Støtteark!$U$6,OR(O122=Støtteark!$B$22,O122=Støtteark!$B$24))),1,"")</f>
        <v/>
      </c>
      <c r="W122" s="232" t="str">
        <f>IF(OR(AND(N122 = Støtteark!$L$25,E122&lt;&gt;Støtteark!$U$6,OR(O122=Støtteark!$B$22,O122=Støtteark!$B$23,O122=Støtteark!$B$24,O122=Støtteark!$B$25)),AND(E122=Støtteark!$U$6,OR(O122=Støtteark!$B$22,O122=Støtteark!$B$24))),1,"")</f>
        <v/>
      </c>
      <c r="X122" s="231"/>
      <c r="Y122" s="231"/>
      <c r="Z122" s="235"/>
      <c r="AA122" s="231" t="str">
        <f>IF(OR(AND(E122&lt;&gt;Støtteark!$U$6,N122 = Støtteark!$L$25),N122 = Støtteark!$L$26,N122 = Støtteark!$L$28,AND(N122 = Støtteark!$L$29,E122&lt;&gt;Støtteark!$U$6,OR(O122=Støtteark!$B$30,O122=Støtteark!$B$32,O122=Støtteark!$B$33,AND(E122&lt;&gt;Støtteark!$U$6,O122=Støtteark!$B$34),O122=Støtteark!$B$35))),1,"")</f>
        <v/>
      </c>
      <c r="AB122" s="231" t="str">
        <f>IF(OR(AND(E122&lt;&gt;Støtteark!$U$6,N122 = Støtteark!$L$25),N122 = Støtteark!$L$26,N122 = Støtteark!$L$28,AND(N122 = Støtteark!$L$29,O122=Støtteark!$B$34)),1,"")</f>
        <v/>
      </c>
      <c r="AC122" s="231" t="str">
        <f>IF(OR(AND(E122&lt;&gt;Støtteark!$U$6,N122 = Støtteark!$L$25),N122 = Støtteark!$L$26,N122 = Støtteark!$L$28,AND(N122 = Støtteark!$L$29,E122&lt;&gt;Støtteark!$U$6,OR(O122=Støtteark!$B$30,O122 = Støtteark!$B$34))),1,"")</f>
        <v/>
      </c>
      <c r="AD122" s="232" t="str">
        <f>IF(OR(N122 = Støtteark!$L$25,N122 = Støtteark!$L$26,N122 = Støtteark!$L$28,AND(N122 = Støtteark!$L$29,OR(O122=Støtteark!$B$34,O122=Støtteark!$B$35)),AND(E122=Støtteark!$U$6,OR(O122=Støtteark!$B$29,O122=Støtteark!$B$30,O122=Støtteark!$B$32,O122=Støtteark!$B$33))),1,"")</f>
        <v/>
      </c>
      <c r="AE122" s="231" t="str">
        <f>IF(OR(N122 = Støtteark!$L$25,N122 = Støtteark!$L$26,N122 = Støtteark!$L$28,AND(N122 = Støtteark!$L$29,OR(O122=Støtteark!$B$34,O122 = Støtteark!$B$30)),AND(E122=Støtteark!$U$6,O122=Støtteark!$B$29)),1,"")</f>
        <v/>
      </c>
      <c r="AF122" s="231" t="str">
        <f>IF(OR(N122 = Støtteark!$L$25,N122 = Støtteark!$L$26,N122 = Støtteark!$L$28,AND(N122 = Støtteark!$L$29,O122=Støtteark!$B$34),AND(E122=Støtteark!$U$6,O122=Støtteark!$B$30),AND(E122=Støtteark!$U$6,O122=Støtteark!$B$29)),1,"")</f>
        <v/>
      </c>
      <c r="AG122" s="231" t="str">
        <f>IF(OR(N122 = Støtteark!$L$25,N122 = Støtteark!$L$26,N122 = Støtteark!$L$28,AND(N122 = Støtteark!$L$29,OR(O122=Støtteark!$B$30,O122 = Støtteark!$B$31,O122=Støtteark!$B$32,O122=Støtteark!$B$34)),AND(E122=Støtteark!$U$6,OR(O122=Støtteark!$B$29,O122=Støtteark!$B$31))),1,"")</f>
        <v/>
      </c>
      <c r="AH122" s="231" t="str">
        <f>IF(OR(N122 = Støtteark!$L$25,N122 = Støtteark!$L$26,N122 = Støtteark!$L$28,AND(N122 = Støtteark!$L$29,O122=Støtteark!$B$34),AND(E122=Støtteark!$U$6,OR(O122=Støtteark!$B$29,O122=Støtteark!$B$30))),1,"")</f>
        <v/>
      </c>
      <c r="AI122" s="231" t="str">
        <f>IF(OR(N122 = Støtteark!$L$25,N122 = Støtteark!$L$26,N122 = Støtteark!$L$28,AND(N122 = Støtteark!$L$29,OR(O122=Støtteark!$B$34,O122 = Støtteark!$B$30)),AND(E122=Støtteark!$U$6,OR(O122=Støtteark!$B$29,O122=Støtteark!$B$30))),1,"")</f>
        <v/>
      </c>
      <c r="AJ122" s="231" t="str">
        <f>IF(OR(AND(E122&lt;&gt;Støtteark!$U$6,N122 = Støtteark!$L$25),N122 = Støtteark!$L$26,N122 = Støtteark!$L$28,AND(N122 = Støtteark!$L$29,OR(O122=Støtteark!$B$34,O122=Støtteark!$B$35),O122&lt;&gt;Støtteark!$B$30)),1,"")</f>
        <v/>
      </c>
      <c r="AK122" s="231" t="str">
        <f>IF(OR(AND(E122&lt;&gt;Støtteark!$U$6,N122 = Støtteark!$L$25),N122 = Støtteark!$L$26,N122 = Støtteark!$L$28,AND(N122 = Støtteark!$L$29,E122&lt;&gt;Støtteark!$U$6,OR(O122=Støtteark!$B$34,O122 = Støtteark!$B$30))),1,"")</f>
        <v/>
      </c>
      <c r="AL122" s="231" t="str">
        <f>IF(OR(AND(E122&lt;&gt;Støtteark!$U$6,N122 = Støtteark!$L$25),N122 = Støtteark!$L$26,N122 = Støtteark!$L$28,AND(N122 = Støtteark!$L$29,O122=Støtteark!$B$34)),1,"")</f>
        <v/>
      </c>
      <c r="AM122" s="231" t="str">
        <f>IF(AND(N122 = Støtteark!$L$29,OR(O122=Støtteark!$B$30,O122=Støtteark!$B$32,O122=Støtteark!$B$33,O122=Støtteark!$B$34,O122=Støtteark!$B$35)),Støtteark!$L$32,"")</f>
        <v/>
      </c>
      <c r="AN122" s="235"/>
      <c r="AO122" s="91"/>
      <c r="AP122" s="170">
        <v>0</v>
      </c>
      <c r="AQ122" s="235"/>
      <c r="AR122" s="64">
        <f t="shared" ca="1" si="113"/>
        <v>44022</v>
      </c>
    </row>
    <row r="123" spans="1:44" ht="25.5" hidden="1" x14ac:dyDescent="0.25">
      <c r="A123" s="221" t="str">
        <f t="shared" si="109"/>
        <v>Kundenr.-Ejendom</v>
      </c>
      <c r="B123" s="61" t="str">
        <f>Ydelser!A123&amp;" - "&amp;Ydelser!C123</f>
        <v>811 - Rengøring</v>
      </c>
      <c r="C123" s="61" t="str">
        <f>Ydelser!D123</f>
        <v>Jf. vedlagte bilag med ydelsesbeskrivelse.</v>
      </c>
      <c r="D123" s="61" t="b">
        <f>'FS Aftale'!D123</f>
        <v>0</v>
      </c>
      <c r="E123" s="156" t="str">
        <f>'FS Aftale'!E123</f>
        <v>Enhedspris</v>
      </c>
      <c r="F123" s="61" t="str">
        <f t="shared" si="110"/>
        <v>Team Ansvarlig</v>
      </c>
      <c r="G123" s="61" t="str">
        <f t="shared" si="110"/>
        <v>Ansvarlig</v>
      </c>
      <c r="H123" s="61" t="str">
        <f t="shared" si="110"/>
        <v>Servicemedarb.</v>
      </c>
      <c r="I123" s="235"/>
      <c r="J123" s="61" t="str">
        <f t="shared" si="111"/>
        <v>Fast</v>
      </c>
      <c r="K123" s="61" t="str">
        <f t="shared" si="111"/>
        <v>FS aftale</v>
      </c>
      <c r="L123" s="188">
        <f t="shared" si="111"/>
        <v>1</v>
      </c>
      <c r="M123" s="157" t="str">
        <f t="shared" si="111"/>
        <v>Mangler planlægning</v>
      </c>
      <c r="N123" s="147" t="str">
        <f>IFERROR(VLOOKUP(O123,Støtteark!$B$21:$F$35,MATCH(E123,Støtteark!$B$21:$F$21,0),0),Støtteark!$L$35)</f>
        <v>Vælg en anden kombination</v>
      </c>
      <c r="O123" s="62">
        <f>'FS Aftale'!F123</f>
        <v>0</v>
      </c>
      <c r="P123" s="179" t="str">
        <f t="shared" si="112"/>
        <v>7:00</v>
      </c>
      <c r="Q123" s="63">
        <f>'FS Aftale'!G123*Støtteark!$Q$15</f>
        <v>0</v>
      </c>
      <c r="R123" s="235"/>
      <c r="S123" s="231" t="str">
        <f>IF(OR(AND(OR(N123 = Støtteark!$L$25,N123 = Støtteark!$L$26,N123 = Støtteark!$L$28),E123&lt;&gt;Støtteark!$U$6,OR(O123=Støtteark!$B$22,O123=Støtteark!$B$23,O123=Støtteark!$B$24,O123=Støtteark!$B$25,O123=Støtteark!$B$26,O123=Støtteark!$B$27,O123=Støtteark!$B$28)),AND(E123=Støtteark!$U$6,OR(O123=Støtteark!$B$24,O123=Støtteark!$B$27,O123=Støtteark!$B$29))),1,"")</f>
        <v/>
      </c>
      <c r="T123" s="232" t="str">
        <f>IF(OR(AND(N123 = Støtteark!$L$25,E123&lt;&gt;Støtteark!$U$6,O123=Støtteark!$B$22),AND(E123=Støtteark!$U$6,O123=Støtteark!$B$24),O123=Støtteark!$B$22),1,"")</f>
        <v/>
      </c>
      <c r="U123" s="232" t="str">
        <f>IF(OR(AND(N123 = Støtteark!$L$25,E123&lt;&gt;Støtteark!$U$6,OR(O123=Støtteark!$B$22,O123=Støtteark!$B$23,O123=Støtteark!$B$24)),AND(E123=Støtteark!$U$6,OR(O123=Støtteark!$B$22,O123=Støtteark!$B$24))),1,"")</f>
        <v/>
      </c>
      <c r="V123" s="232" t="str">
        <f>IF(OR(AND(N123 = Støtteark!$L$25,E123&lt;&gt;Støtteark!$U$6,O123=Støtteark!$B$22),AND(E123=Støtteark!$U$6,OR(O123=Støtteark!$B$22,O123=Støtteark!$B$24))),1,"")</f>
        <v/>
      </c>
      <c r="W123" s="232" t="str">
        <f>IF(OR(AND(N123 = Støtteark!$L$25,E123&lt;&gt;Støtteark!$U$6,OR(O123=Støtteark!$B$22,O123=Støtteark!$B$23,O123=Støtteark!$B$24,O123=Støtteark!$B$25)),AND(E123=Støtteark!$U$6,OR(O123=Støtteark!$B$22,O123=Støtteark!$B$24))),1,"")</f>
        <v/>
      </c>
      <c r="X123" s="231"/>
      <c r="Y123" s="231"/>
      <c r="Z123" s="235"/>
      <c r="AA123" s="231" t="str">
        <f>IF(OR(AND(E123&lt;&gt;Støtteark!$U$6,N123 = Støtteark!$L$25),N123 = Støtteark!$L$26,N123 = Støtteark!$L$28,AND(N123 = Støtteark!$L$29,E123&lt;&gt;Støtteark!$U$6,OR(O123=Støtteark!$B$30,O123=Støtteark!$B$32,O123=Støtteark!$B$33,AND(E123&lt;&gt;Støtteark!$U$6,O123=Støtteark!$B$34),O123=Støtteark!$B$35))),1,"")</f>
        <v/>
      </c>
      <c r="AB123" s="231" t="str">
        <f>IF(OR(AND(E123&lt;&gt;Støtteark!$U$6,N123 = Støtteark!$L$25),N123 = Støtteark!$L$26,N123 = Støtteark!$L$28,AND(N123 = Støtteark!$L$29,O123=Støtteark!$B$34)),1,"")</f>
        <v/>
      </c>
      <c r="AC123" s="231" t="str">
        <f>IF(OR(AND(E123&lt;&gt;Støtteark!$U$6,N123 = Støtteark!$L$25),N123 = Støtteark!$L$26,N123 = Støtteark!$L$28,AND(N123 = Støtteark!$L$29,E123&lt;&gt;Støtteark!$U$6,OR(O123=Støtteark!$B$30,O123 = Støtteark!$B$34))),1,"")</f>
        <v/>
      </c>
      <c r="AD123" s="232" t="str">
        <f>IF(OR(N123 = Støtteark!$L$25,N123 = Støtteark!$L$26,N123 = Støtteark!$L$28,AND(N123 = Støtteark!$L$29,OR(O123=Støtteark!$B$34,O123=Støtteark!$B$35)),AND(E123=Støtteark!$U$6,OR(O123=Støtteark!$B$29,O123=Støtteark!$B$30,O123=Støtteark!$B$32,O123=Støtteark!$B$33))),1,"")</f>
        <v/>
      </c>
      <c r="AE123" s="231" t="str">
        <f>IF(OR(N123 = Støtteark!$L$25,N123 = Støtteark!$L$26,N123 = Støtteark!$L$28,AND(N123 = Støtteark!$L$29,OR(O123=Støtteark!$B$34,O123 = Støtteark!$B$30)),AND(E123=Støtteark!$U$6,O123=Støtteark!$B$29)),1,"")</f>
        <v/>
      </c>
      <c r="AF123" s="231" t="str">
        <f>IF(OR(N123 = Støtteark!$L$25,N123 = Støtteark!$L$26,N123 = Støtteark!$L$28,AND(N123 = Støtteark!$L$29,O123=Støtteark!$B$34),AND(E123=Støtteark!$U$6,O123=Støtteark!$B$30),AND(E123=Støtteark!$U$6,O123=Støtteark!$B$29)),1,"")</f>
        <v/>
      </c>
      <c r="AG123" s="231" t="str">
        <f>IF(OR(N123 = Støtteark!$L$25,N123 = Støtteark!$L$26,N123 = Støtteark!$L$28,AND(N123 = Støtteark!$L$29,OR(O123=Støtteark!$B$30,O123 = Støtteark!$B$31,O123=Støtteark!$B$32,O123=Støtteark!$B$34)),AND(E123=Støtteark!$U$6,OR(O123=Støtteark!$B$29,O123=Støtteark!$B$31))),1,"")</f>
        <v/>
      </c>
      <c r="AH123" s="231" t="str">
        <f>IF(OR(N123 = Støtteark!$L$25,N123 = Støtteark!$L$26,N123 = Støtteark!$L$28,AND(N123 = Støtteark!$L$29,O123=Støtteark!$B$34),AND(E123=Støtteark!$U$6,OR(O123=Støtteark!$B$29,O123=Støtteark!$B$30))),1,"")</f>
        <v/>
      </c>
      <c r="AI123" s="231" t="str">
        <f>IF(OR(N123 = Støtteark!$L$25,N123 = Støtteark!$L$26,N123 = Støtteark!$L$28,AND(N123 = Støtteark!$L$29,OR(O123=Støtteark!$B$34,O123 = Støtteark!$B$30)),AND(E123=Støtteark!$U$6,OR(O123=Støtteark!$B$29,O123=Støtteark!$B$30))),1,"")</f>
        <v/>
      </c>
      <c r="AJ123" s="231" t="str">
        <f>IF(OR(AND(E123&lt;&gt;Støtteark!$U$6,N123 = Støtteark!$L$25),N123 = Støtteark!$L$26,N123 = Støtteark!$L$28,AND(N123 = Støtteark!$L$29,OR(O123=Støtteark!$B$34,O123=Støtteark!$B$35),O123&lt;&gt;Støtteark!$B$30)),1,"")</f>
        <v/>
      </c>
      <c r="AK123" s="231" t="str">
        <f>IF(OR(AND(E123&lt;&gt;Støtteark!$U$6,N123 = Støtteark!$L$25),N123 = Støtteark!$L$26,N123 = Støtteark!$L$28,AND(N123 = Støtteark!$L$29,E123&lt;&gt;Støtteark!$U$6,OR(O123=Støtteark!$B$34,O123 = Støtteark!$B$30))),1,"")</f>
        <v/>
      </c>
      <c r="AL123" s="231" t="str">
        <f>IF(OR(AND(E123&lt;&gt;Støtteark!$U$6,N123 = Støtteark!$L$25),N123 = Støtteark!$L$26,N123 = Støtteark!$L$28,AND(N123 = Støtteark!$L$29,O123=Støtteark!$B$34)),1,"")</f>
        <v/>
      </c>
      <c r="AM123" s="231" t="str">
        <f>IF(AND(N123 = Støtteark!$L$29,OR(O123=Støtteark!$B$30,O123=Støtteark!$B$32,O123=Støtteark!$B$33,O123=Støtteark!$B$34,O123=Støtteark!$B$35)),Støtteark!$L$32,"")</f>
        <v/>
      </c>
      <c r="AN123" s="235"/>
      <c r="AO123" s="91"/>
      <c r="AP123" s="170">
        <v>0</v>
      </c>
      <c r="AQ123" s="235"/>
      <c r="AR123" s="64">
        <f t="shared" ca="1" si="113"/>
        <v>44022</v>
      </c>
    </row>
    <row r="124" spans="1:44" hidden="1" x14ac:dyDescent="0.25">
      <c r="A124" s="224"/>
      <c r="B124" s="78"/>
      <c r="C124" s="78"/>
      <c r="D124" s="79"/>
      <c r="E124" s="79"/>
      <c r="F124" s="79"/>
      <c r="G124" s="78"/>
      <c r="H124" s="78"/>
      <c r="I124" s="237"/>
      <c r="J124" s="78"/>
      <c r="K124" s="78"/>
      <c r="L124" s="191"/>
      <c r="M124" s="160"/>
      <c r="N124" s="150"/>
      <c r="O124" s="80"/>
      <c r="P124" s="182"/>
      <c r="Q124" s="81"/>
      <c r="R124" s="237"/>
      <c r="S124" s="241"/>
      <c r="T124" s="241"/>
      <c r="U124" s="241"/>
      <c r="V124" s="241"/>
      <c r="W124" s="241"/>
      <c r="X124" s="241"/>
      <c r="Y124" s="241"/>
      <c r="Z124" s="237"/>
      <c r="AA124" s="241"/>
      <c r="AB124" s="241"/>
      <c r="AC124" s="241"/>
      <c r="AD124" s="241"/>
      <c r="AE124" s="241"/>
      <c r="AF124" s="241"/>
      <c r="AG124" s="241"/>
      <c r="AH124" s="241"/>
      <c r="AI124" s="241"/>
      <c r="AJ124" s="241"/>
      <c r="AK124" s="241"/>
      <c r="AL124" s="241"/>
      <c r="AM124" s="241"/>
      <c r="AN124" s="237"/>
      <c r="AO124" s="143"/>
      <c r="AP124" s="173"/>
      <c r="AQ124" s="237"/>
      <c r="AR124" s="144"/>
    </row>
    <row r="125" spans="1:44" ht="25.5" hidden="1" x14ac:dyDescent="0.25">
      <c r="A125" s="221" t="str">
        <f>A123</f>
        <v>Kundenr.-Ejendom</v>
      </c>
      <c r="B125" s="61" t="str">
        <f>Ydelser!A125&amp;" - "&amp;Ydelser!C125</f>
        <v>813 - Saltning</v>
      </c>
      <c r="C125" s="61" t="str">
        <f>Ydelser!D125</f>
        <v xml:space="preserve">Saltning af område. Jf. vedlagte bilag med kort </v>
      </c>
      <c r="D125" s="61" t="b">
        <f>'FS Aftale'!D125</f>
        <v>0</v>
      </c>
      <c r="E125" s="156" t="str">
        <f>'FS Aftale'!E125</f>
        <v>Enhedspris</v>
      </c>
      <c r="F125" s="61" t="str">
        <f>F123</f>
        <v>Team Ansvarlig</v>
      </c>
      <c r="G125" s="61" t="str">
        <f t="shared" ref="G125:M125" si="114">G123</f>
        <v>Ansvarlig</v>
      </c>
      <c r="H125" s="61" t="str">
        <f t="shared" si="114"/>
        <v>Servicemedarb.</v>
      </c>
      <c r="I125" s="235"/>
      <c r="J125" s="61" t="str">
        <f t="shared" ref="J125:K125" si="115">J123</f>
        <v>Fast</v>
      </c>
      <c r="K125" s="61" t="str">
        <f t="shared" si="115"/>
        <v>FS aftale</v>
      </c>
      <c r="L125" s="188">
        <f t="shared" si="114"/>
        <v>1</v>
      </c>
      <c r="M125" s="157" t="str">
        <f t="shared" si="114"/>
        <v>Mangler planlægning</v>
      </c>
      <c r="N125" s="147" t="str">
        <f>IFERROR(VLOOKUP(O125,Støtteark!$B$21:$F$35,MATCH(E125,Støtteark!$B$21:$F$21,0),0),Støtteark!$L$35)</f>
        <v>Vælg en anden kombination</v>
      </c>
      <c r="O125" s="62">
        <f>'FS Aftale'!F125</f>
        <v>0</v>
      </c>
      <c r="P125" s="179" t="str">
        <f>P123</f>
        <v>7:00</v>
      </c>
      <c r="Q125" s="63">
        <f>'FS Aftale'!G125*Støtteark!$Q$15</f>
        <v>0</v>
      </c>
      <c r="R125" s="235"/>
      <c r="S125" s="231" t="str">
        <f>IF(OR(AND(OR(N125 = Støtteark!$L$25,N125 = Støtteark!$L$26,N125 = Støtteark!$L$28),E125&lt;&gt;Støtteark!$U$6,OR(O125=Støtteark!$B$22,O125=Støtteark!$B$23,O125=Støtteark!$B$24,O125=Støtteark!$B$25,O125=Støtteark!$B$26,O125=Støtteark!$B$27,O125=Støtteark!$B$28)),AND(E125=Støtteark!$U$6,OR(O125=Støtteark!$B$24,O125=Støtteark!$B$27,O125=Støtteark!$B$29))),1,"")</f>
        <v/>
      </c>
      <c r="T125" s="232" t="str">
        <f>IF(OR(AND(N125 = Støtteark!$L$25,E125&lt;&gt;Støtteark!$U$6,O125=Støtteark!$B$22),AND(E125=Støtteark!$U$6,O125=Støtteark!$B$24),O125=Støtteark!$B$22),1,"")</f>
        <v/>
      </c>
      <c r="U125" s="232" t="str">
        <f>IF(OR(AND(N125 = Støtteark!$L$25,E125&lt;&gt;Støtteark!$U$6,OR(O125=Støtteark!$B$22,O125=Støtteark!$B$23,O125=Støtteark!$B$24)),AND(E125=Støtteark!$U$6,OR(O125=Støtteark!$B$22,O125=Støtteark!$B$24))),1,"")</f>
        <v/>
      </c>
      <c r="V125" s="232" t="str">
        <f>IF(OR(AND(N125 = Støtteark!$L$25,E125&lt;&gt;Støtteark!$U$6,O125=Støtteark!$B$22),AND(E125=Støtteark!$U$6,OR(O125=Støtteark!$B$22,O125=Støtteark!$B$24))),1,"")</f>
        <v/>
      </c>
      <c r="W125" s="232" t="str">
        <f>IF(OR(AND(N125 = Støtteark!$L$25,E125&lt;&gt;Støtteark!$U$6,OR(O125=Støtteark!$B$22,O125=Støtteark!$B$23,O125=Støtteark!$B$24,O125=Støtteark!$B$25)),AND(E125=Støtteark!$U$6,OR(O125=Støtteark!$B$22,O125=Støtteark!$B$24))),1,"")</f>
        <v/>
      </c>
      <c r="X125" s="231"/>
      <c r="Y125" s="231"/>
      <c r="Z125" s="235"/>
      <c r="AA125" s="231" t="str">
        <f>IF(OR(AND(E125&lt;&gt;Støtteark!$U$6,N125 = Støtteark!$L$25),N125 = Støtteark!$L$26,N125 = Støtteark!$L$28,AND(N125 = Støtteark!$L$29,E125&lt;&gt;Støtteark!$U$6,OR(O125=Støtteark!$B$30,O125=Støtteark!$B$32,O125=Støtteark!$B$33,AND(E125&lt;&gt;Støtteark!$U$6,O125=Støtteark!$B$34),O125=Støtteark!$B$35))),1,"")</f>
        <v/>
      </c>
      <c r="AB125" s="231" t="str">
        <f>IF(OR(AND(E125&lt;&gt;Støtteark!$U$6,N125 = Støtteark!$L$25),N125 = Støtteark!$L$26,N125 = Støtteark!$L$28,AND(N125 = Støtteark!$L$29,O125=Støtteark!$B$34)),1,"")</f>
        <v/>
      </c>
      <c r="AC125" s="231" t="str">
        <f>IF(OR(AND(E125&lt;&gt;Støtteark!$U$6,N125 = Støtteark!$L$25),N125 = Støtteark!$L$26,N125 = Støtteark!$L$28,AND(N125 = Støtteark!$L$29,E125&lt;&gt;Støtteark!$U$6,OR(O125=Støtteark!$B$30,O125 = Støtteark!$B$34))),1,"")</f>
        <v/>
      </c>
      <c r="AD125" s="232" t="str">
        <f>IF(OR(N125 = Støtteark!$L$25,N125 = Støtteark!$L$26,N125 = Støtteark!$L$28,AND(N125 = Støtteark!$L$29,OR(O125=Støtteark!$B$34,O125=Støtteark!$B$35)),AND(E125=Støtteark!$U$6,OR(O125=Støtteark!$B$29,O125=Støtteark!$B$30,O125=Støtteark!$B$32,O125=Støtteark!$B$33))),1,"")</f>
        <v/>
      </c>
      <c r="AE125" s="231" t="str">
        <f>IF(OR(N125 = Støtteark!$L$25,N125 = Støtteark!$L$26,N125 = Støtteark!$L$28,AND(N125 = Støtteark!$L$29,OR(O125=Støtteark!$B$34,O125 = Støtteark!$B$30)),AND(E125=Støtteark!$U$6,O125=Støtteark!$B$29)),1,"")</f>
        <v/>
      </c>
      <c r="AF125" s="231" t="str">
        <f>IF(OR(N125 = Støtteark!$L$25,N125 = Støtteark!$L$26,N125 = Støtteark!$L$28,AND(N125 = Støtteark!$L$29,O125=Støtteark!$B$34),AND(E125=Støtteark!$U$6,O125=Støtteark!$B$30),AND(E125=Støtteark!$U$6,O125=Støtteark!$B$29)),1,"")</f>
        <v/>
      </c>
      <c r="AG125" s="231" t="str">
        <f>IF(OR(N125 = Støtteark!$L$25,N125 = Støtteark!$L$26,N125 = Støtteark!$L$28,AND(N125 = Støtteark!$L$29,OR(O125=Støtteark!$B$30,O125 = Støtteark!$B$31,O125=Støtteark!$B$32,O125=Støtteark!$B$34)),AND(E125=Støtteark!$U$6,OR(O125=Støtteark!$B$29,O125=Støtteark!$B$31))),1,"")</f>
        <v/>
      </c>
      <c r="AH125" s="231" t="str">
        <f>IF(OR(N125 = Støtteark!$L$25,N125 = Støtteark!$L$26,N125 = Støtteark!$L$28,AND(N125 = Støtteark!$L$29,O125=Støtteark!$B$34),AND(E125=Støtteark!$U$6,OR(O125=Støtteark!$B$29,O125=Støtteark!$B$30))),1,"")</f>
        <v/>
      </c>
      <c r="AI125" s="231" t="str">
        <f>IF(OR(N125 = Støtteark!$L$25,N125 = Støtteark!$L$26,N125 = Støtteark!$L$28,AND(N125 = Støtteark!$L$29,OR(O125=Støtteark!$B$34,O125 = Støtteark!$B$30)),AND(E125=Støtteark!$U$6,OR(O125=Støtteark!$B$29,O125=Støtteark!$B$30))),1,"")</f>
        <v/>
      </c>
      <c r="AJ125" s="231" t="str">
        <f>IF(OR(AND(E125&lt;&gt;Støtteark!$U$6,N125 = Støtteark!$L$25),N125 = Støtteark!$L$26,N125 = Støtteark!$L$28,AND(N125 = Støtteark!$L$29,OR(O125=Støtteark!$B$34,O125=Støtteark!$B$35),O125&lt;&gt;Støtteark!$B$30)),1,"")</f>
        <v/>
      </c>
      <c r="AK125" s="231" t="str">
        <f>IF(OR(AND(E125&lt;&gt;Støtteark!$U$6,N125 = Støtteark!$L$25),N125 = Støtteark!$L$26,N125 = Støtteark!$L$28,AND(N125 = Støtteark!$L$29,E125&lt;&gt;Støtteark!$U$6,OR(O125=Støtteark!$B$34,O125 = Støtteark!$B$30))),1,"")</f>
        <v/>
      </c>
      <c r="AL125" s="231" t="str">
        <f>IF(OR(AND(E125&lt;&gt;Støtteark!$U$6,N125 = Støtteark!$L$25),N125 = Støtteark!$L$26,N125 = Støtteark!$L$28,AND(N125 = Støtteark!$L$29,O125=Støtteark!$B$34)),1,"")</f>
        <v/>
      </c>
      <c r="AM125" s="231" t="str">
        <f>IF(AND(N125 = Støtteark!$L$29,OR(O125=Støtteark!$B$30,O125=Støtteark!$B$32,O125=Støtteark!$B$33,O125=Støtteark!$B$34,O125=Støtteark!$B$35)),Støtteark!$L$32,"")</f>
        <v/>
      </c>
      <c r="AN125" s="235"/>
      <c r="AO125" s="91"/>
      <c r="AP125" s="170">
        <v>0</v>
      </c>
      <c r="AQ125" s="235"/>
      <c r="AR125" s="64">
        <f ca="1">AR123</f>
        <v>44022</v>
      </c>
    </row>
    <row r="126" spans="1:44" ht="25.5" hidden="1" x14ac:dyDescent="0.25">
      <c r="A126" s="221" t="str">
        <f t="shared" ref="A126:A127" si="116">A125</f>
        <v>Kundenr.-Ejendom</v>
      </c>
      <c r="B126" s="61" t="str">
        <f>Ydelser!A126&amp;" - "&amp;Ydelser!C126</f>
        <v>814 - Snerydning inkl. saltning</v>
      </c>
      <c r="C126" s="61" t="str">
        <f>Ydelser!D126</f>
        <v>Saltning af område. Jf. vedlagte bilag med kort</v>
      </c>
      <c r="D126" s="61" t="b">
        <f>'FS Aftale'!D126</f>
        <v>0</v>
      </c>
      <c r="E126" s="156" t="str">
        <f>'FS Aftale'!E126</f>
        <v>Enhedspris</v>
      </c>
      <c r="F126" s="61" t="str">
        <f t="shared" ref="F126:H127" si="117">F125</f>
        <v>Team Ansvarlig</v>
      </c>
      <c r="G126" s="61" t="str">
        <f t="shared" si="117"/>
        <v>Ansvarlig</v>
      </c>
      <c r="H126" s="61" t="str">
        <f t="shared" si="117"/>
        <v>Servicemedarb.</v>
      </c>
      <c r="I126" s="235"/>
      <c r="J126" s="61" t="str">
        <f t="shared" ref="J126:M127" si="118">J125</f>
        <v>Fast</v>
      </c>
      <c r="K126" s="61" t="str">
        <f t="shared" si="118"/>
        <v>FS aftale</v>
      </c>
      <c r="L126" s="188">
        <f t="shared" si="118"/>
        <v>1</v>
      </c>
      <c r="M126" s="157" t="str">
        <f t="shared" si="118"/>
        <v>Mangler planlægning</v>
      </c>
      <c r="N126" s="147" t="str">
        <f>IFERROR(VLOOKUP(O126,Støtteark!$B$21:$F$35,MATCH(E126,Støtteark!$B$21:$F$21,0),0),Støtteark!$L$35)</f>
        <v>Vælg en anden kombination</v>
      </c>
      <c r="O126" s="62">
        <f>'FS Aftale'!F126</f>
        <v>0</v>
      </c>
      <c r="P126" s="179" t="str">
        <f t="shared" ref="P126:P127" si="119">P125</f>
        <v>7:00</v>
      </c>
      <c r="Q126" s="63">
        <f>'FS Aftale'!G126*Støtteark!$Q$15</f>
        <v>0</v>
      </c>
      <c r="R126" s="235"/>
      <c r="S126" s="231" t="str">
        <f>IF(OR(AND(OR(N126 = Støtteark!$L$25,N126 = Støtteark!$L$26,N126 = Støtteark!$L$28),E126&lt;&gt;Støtteark!$U$6,OR(O126=Støtteark!$B$22,O126=Støtteark!$B$23,O126=Støtteark!$B$24,O126=Støtteark!$B$25,O126=Støtteark!$B$26,O126=Støtteark!$B$27,O126=Støtteark!$B$28)),AND(E126=Støtteark!$U$6,OR(O126=Støtteark!$B$24,O126=Støtteark!$B$27,O126=Støtteark!$B$29))),1,"")</f>
        <v/>
      </c>
      <c r="T126" s="232" t="str">
        <f>IF(OR(AND(N126 = Støtteark!$L$25,E126&lt;&gt;Støtteark!$U$6,O126=Støtteark!$B$22),AND(E126=Støtteark!$U$6,O126=Støtteark!$B$24),O126=Støtteark!$B$22),1,"")</f>
        <v/>
      </c>
      <c r="U126" s="232" t="str">
        <f>IF(OR(AND(N126 = Støtteark!$L$25,E126&lt;&gt;Støtteark!$U$6,OR(O126=Støtteark!$B$22,O126=Støtteark!$B$23,O126=Støtteark!$B$24)),AND(E126=Støtteark!$U$6,OR(O126=Støtteark!$B$22,O126=Støtteark!$B$24))),1,"")</f>
        <v/>
      </c>
      <c r="V126" s="232" t="str">
        <f>IF(OR(AND(N126 = Støtteark!$L$25,E126&lt;&gt;Støtteark!$U$6,O126=Støtteark!$B$22),AND(E126=Støtteark!$U$6,OR(O126=Støtteark!$B$22,O126=Støtteark!$B$24))),1,"")</f>
        <v/>
      </c>
      <c r="W126" s="232" t="str">
        <f>IF(OR(AND(N126 = Støtteark!$L$25,E126&lt;&gt;Støtteark!$U$6,OR(O126=Støtteark!$B$22,O126=Støtteark!$B$23,O126=Støtteark!$B$24,O126=Støtteark!$B$25)),AND(E126=Støtteark!$U$6,OR(O126=Støtteark!$B$22,O126=Støtteark!$B$24))),1,"")</f>
        <v/>
      </c>
      <c r="X126" s="231"/>
      <c r="Y126" s="231"/>
      <c r="Z126" s="235"/>
      <c r="AA126" s="231" t="str">
        <f>IF(OR(AND(E126&lt;&gt;Støtteark!$U$6,N126 = Støtteark!$L$25),N126 = Støtteark!$L$26,N126 = Støtteark!$L$28,AND(N126 = Støtteark!$L$29,E126&lt;&gt;Støtteark!$U$6,OR(O126=Støtteark!$B$30,O126=Støtteark!$B$32,O126=Støtteark!$B$33,AND(E126&lt;&gt;Støtteark!$U$6,O126=Støtteark!$B$34),O126=Støtteark!$B$35))),1,"")</f>
        <v/>
      </c>
      <c r="AB126" s="231" t="str">
        <f>IF(OR(AND(E126&lt;&gt;Støtteark!$U$6,N126 = Støtteark!$L$25),N126 = Støtteark!$L$26,N126 = Støtteark!$L$28,AND(N126 = Støtteark!$L$29,O126=Støtteark!$B$34)),1,"")</f>
        <v/>
      </c>
      <c r="AC126" s="231" t="str">
        <f>IF(OR(AND(E126&lt;&gt;Støtteark!$U$6,N126 = Støtteark!$L$25),N126 = Støtteark!$L$26,N126 = Støtteark!$L$28,AND(N126 = Støtteark!$L$29,E126&lt;&gt;Støtteark!$U$6,OR(O126=Støtteark!$B$30,O126 = Støtteark!$B$34))),1,"")</f>
        <v/>
      </c>
      <c r="AD126" s="232" t="str">
        <f>IF(OR(N126 = Støtteark!$L$25,N126 = Støtteark!$L$26,N126 = Støtteark!$L$28,AND(N126 = Støtteark!$L$29,OR(O126=Støtteark!$B$34,O126=Støtteark!$B$35)),AND(E126=Støtteark!$U$6,OR(O126=Støtteark!$B$29,O126=Støtteark!$B$30,O126=Støtteark!$B$32,O126=Støtteark!$B$33))),1,"")</f>
        <v/>
      </c>
      <c r="AE126" s="231" t="str">
        <f>IF(OR(N126 = Støtteark!$L$25,N126 = Støtteark!$L$26,N126 = Støtteark!$L$28,AND(N126 = Støtteark!$L$29,OR(O126=Støtteark!$B$34,O126 = Støtteark!$B$30)),AND(E126=Støtteark!$U$6,O126=Støtteark!$B$29)),1,"")</f>
        <v/>
      </c>
      <c r="AF126" s="231" t="str">
        <f>IF(OR(N126 = Støtteark!$L$25,N126 = Støtteark!$L$26,N126 = Støtteark!$L$28,AND(N126 = Støtteark!$L$29,O126=Støtteark!$B$34),AND(E126=Støtteark!$U$6,O126=Støtteark!$B$30),AND(E126=Støtteark!$U$6,O126=Støtteark!$B$29)),1,"")</f>
        <v/>
      </c>
      <c r="AG126" s="231" t="str">
        <f>IF(OR(N126 = Støtteark!$L$25,N126 = Støtteark!$L$26,N126 = Støtteark!$L$28,AND(N126 = Støtteark!$L$29,OR(O126=Støtteark!$B$30,O126 = Støtteark!$B$31,O126=Støtteark!$B$32,O126=Støtteark!$B$34)),AND(E126=Støtteark!$U$6,OR(O126=Støtteark!$B$29,O126=Støtteark!$B$31))),1,"")</f>
        <v/>
      </c>
      <c r="AH126" s="231" t="str">
        <f>IF(OR(N126 = Støtteark!$L$25,N126 = Støtteark!$L$26,N126 = Støtteark!$L$28,AND(N126 = Støtteark!$L$29,O126=Støtteark!$B$34),AND(E126=Støtteark!$U$6,OR(O126=Støtteark!$B$29,O126=Støtteark!$B$30))),1,"")</f>
        <v/>
      </c>
      <c r="AI126" s="231" t="str">
        <f>IF(OR(N126 = Støtteark!$L$25,N126 = Støtteark!$L$26,N126 = Støtteark!$L$28,AND(N126 = Støtteark!$L$29,OR(O126=Støtteark!$B$34,O126 = Støtteark!$B$30)),AND(E126=Støtteark!$U$6,OR(O126=Støtteark!$B$29,O126=Støtteark!$B$30))),1,"")</f>
        <v/>
      </c>
      <c r="AJ126" s="231" t="str">
        <f>IF(OR(AND(E126&lt;&gt;Støtteark!$U$6,N126 = Støtteark!$L$25),N126 = Støtteark!$L$26,N126 = Støtteark!$L$28,AND(N126 = Støtteark!$L$29,OR(O126=Støtteark!$B$34,O126=Støtteark!$B$35),O126&lt;&gt;Støtteark!$B$30)),1,"")</f>
        <v/>
      </c>
      <c r="AK126" s="231" t="str">
        <f>IF(OR(AND(E126&lt;&gt;Støtteark!$U$6,N126 = Støtteark!$L$25),N126 = Støtteark!$L$26,N126 = Støtteark!$L$28,AND(N126 = Støtteark!$L$29,E126&lt;&gt;Støtteark!$U$6,OR(O126=Støtteark!$B$34,O126 = Støtteark!$B$30))),1,"")</f>
        <v/>
      </c>
      <c r="AL126" s="231" t="str">
        <f>IF(OR(AND(E126&lt;&gt;Støtteark!$U$6,N126 = Støtteark!$L$25),N126 = Støtteark!$L$26,N126 = Støtteark!$L$28,AND(N126 = Støtteark!$L$29,O126=Støtteark!$B$34)),1,"")</f>
        <v/>
      </c>
      <c r="AM126" s="231" t="str">
        <f>IF(AND(N126 = Støtteark!$L$29,OR(O126=Støtteark!$B$30,O126=Støtteark!$B$32,O126=Støtteark!$B$33,O126=Støtteark!$B$34,O126=Støtteark!$B$35)),Støtteark!$L$32,"")</f>
        <v/>
      </c>
      <c r="AN126" s="235"/>
      <c r="AO126" s="91"/>
      <c r="AP126" s="170">
        <v>0</v>
      </c>
      <c r="AQ126" s="235"/>
      <c r="AR126" s="64">
        <f t="shared" ref="AR126:AR127" ca="1" si="120">AR125</f>
        <v>44022</v>
      </c>
    </row>
    <row r="127" spans="1:44" ht="25.5" hidden="1" x14ac:dyDescent="0.25">
      <c r="A127" s="221" t="str">
        <f t="shared" si="116"/>
        <v>Kundenr.-Ejendom</v>
      </c>
      <c r="B127" s="61" t="str">
        <f>Ydelser!A127&amp;" - "&amp;Ydelser!C127</f>
        <v>815 - Sæsonovervågning</v>
      </c>
      <c r="C127" s="61" t="str">
        <f>Ydelser!D127</f>
        <v>Kvalitetssikring og tilsyn med underentreprenør (UE) ydelse.</v>
      </c>
      <c r="D127" s="61" t="b">
        <f>'FS Aftale'!D127</f>
        <v>0</v>
      </c>
      <c r="E127" s="156" t="str">
        <f>'FS Aftale'!E127</f>
        <v>Enhedspris</v>
      </c>
      <c r="F127" s="61" t="str">
        <f t="shared" si="117"/>
        <v>Team Ansvarlig</v>
      </c>
      <c r="G127" s="61" t="str">
        <f t="shared" si="117"/>
        <v>Ansvarlig</v>
      </c>
      <c r="H127" s="61" t="str">
        <f t="shared" si="117"/>
        <v>Servicemedarb.</v>
      </c>
      <c r="I127" s="235"/>
      <c r="J127" s="61" t="str">
        <f t="shared" si="118"/>
        <v>Fast</v>
      </c>
      <c r="K127" s="61" t="str">
        <f t="shared" si="118"/>
        <v>FS aftale</v>
      </c>
      <c r="L127" s="188">
        <f t="shared" si="118"/>
        <v>1</v>
      </c>
      <c r="M127" s="157" t="str">
        <f t="shared" si="118"/>
        <v>Mangler planlægning</v>
      </c>
      <c r="N127" s="147" t="str">
        <f>IFERROR(VLOOKUP(O127,Støtteark!$B$21:$F$35,MATCH(E127,Støtteark!$B$21:$F$21,0),0),Støtteark!$L$35)</f>
        <v>Vælg en anden kombination</v>
      </c>
      <c r="O127" s="62">
        <f>'FS Aftale'!F127</f>
        <v>0</v>
      </c>
      <c r="P127" s="179" t="str">
        <f t="shared" si="119"/>
        <v>7:00</v>
      </c>
      <c r="Q127" s="63">
        <f>'FS Aftale'!G127*Støtteark!$Q$15</f>
        <v>0</v>
      </c>
      <c r="R127" s="235"/>
      <c r="S127" s="231" t="str">
        <f>IF(OR(AND(OR(N127 = Støtteark!$L$25,N127 = Støtteark!$L$26,N127 = Støtteark!$L$28),E127&lt;&gt;Støtteark!$U$6,OR(O127=Støtteark!$B$22,O127=Støtteark!$B$23,O127=Støtteark!$B$24,O127=Støtteark!$B$25,O127=Støtteark!$B$26,O127=Støtteark!$B$27,O127=Støtteark!$B$28)),AND(E127=Støtteark!$U$6,OR(O127=Støtteark!$B$24,O127=Støtteark!$B$27,O127=Støtteark!$B$29))),1,"")</f>
        <v/>
      </c>
      <c r="T127" s="232" t="str">
        <f>IF(OR(AND(N127 = Støtteark!$L$25,E127&lt;&gt;Støtteark!$U$6,O127=Støtteark!$B$22),AND(E127=Støtteark!$U$6,O127=Støtteark!$B$24),O127=Støtteark!$B$22),1,"")</f>
        <v/>
      </c>
      <c r="U127" s="232" t="str">
        <f>IF(OR(AND(N127 = Støtteark!$L$25,E127&lt;&gt;Støtteark!$U$6,OR(O127=Støtteark!$B$22,O127=Støtteark!$B$23,O127=Støtteark!$B$24)),AND(E127=Støtteark!$U$6,OR(O127=Støtteark!$B$22,O127=Støtteark!$B$24))),1,"")</f>
        <v/>
      </c>
      <c r="V127" s="232" t="str">
        <f>IF(OR(AND(N127 = Støtteark!$L$25,E127&lt;&gt;Støtteark!$U$6,O127=Støtteark!$B$22),AND(E127=Støtteark!$U$6,OR(O127=Støtteark!$B$22,O127=Støtteark!$B$24))),1,"")</f>
        <v/>
      </c>
      <c r="W127" s="232" t="str">
        <f>IF(OR(AND(N127 = Støtteark!$L$25,E127&lt;&gt;Støtteark!$U$6,OR(O127=Støtteark!$B$22,O127=Støtteark!$B$23,O127=Støtteark!$B$24,O127=Støtteark!$B$25)),AND(E127=Støtteark!$U$6,OR(O127=Støtteark!$B$22,O127=Støtteark!$B$24))),1,"")</f>
        <v/>
      </c>
      <c r="X127" s="231"/>
      <c r="Y127" s="231"/>
      <c r="Z127" s="235"/>
      <c r="AA127" s="231" t="str">
        <f>IF(OR(AND(E127&lt;&gt;Støtteark!$U$6,N127 = Støtteark!$L$25),N127 = Støtteark!$L$26,N127 = Støtteark!$L$28,AND(N127 = Støtteark!$L$29,E127&lt;&gt;Støtteark!$U$6,OR(O127=Støtteark!$B$30,O127=Støtteark!$B$32,O127=Støtteark!$B$33,AND(E127&lt;&gt;Støtteark!$U$6,O127=Støtteark!$B$34),O127=Støtteark!$B$35))),1,"")</f>
        <v/>
      </c>
      <c r="AB127" s="231" t="str">
        <f>IF(OR(AND(E127&lt;&gt;Støtteark!$U$6,N127 = Støtteark!$L$25),N127 = Støtteark!$L$26,N127 = Støtteark!$L$28,AND(N127 = Støtteark!$L$29,O127=Støtteark!$B$34)),1,"")</f>
        <v/>
      </c>
      <c r="AC127" s="231" t="str">
        <f>IF(OR(AND(E127&lt;&gt;Støtteark!$U$6,N127 = Støtteark!$L$25),N127 = Støtteark!$L$26,N127 = Støtteark!$L$28,AND(N127 = Støtteark!$L$29,E127&lt;&gt;Støtteark!$U$6,OR(O127=Støtteark!$B$30,O127 = Støtteark!$B$34))),1,"")</f>
        <v/>
      </c>
      <c r="AD127" s="232" t="str">
        <f>IF(OR(N127 = Støtteark!$L$25,N127 = Støtteark!$L$26,N127 = Støtteark!$L$28,AND(N127 = Støtteark!$L$29,OR(O127=Støtteark!$B$34,O127=Støtteark!$B$35)),AND(E127=Støtteark!$U$6,OR(O127=Støtteark!$B$29,O127=Støtteark!$B$30,O127=Støtteark!$B$32,O127=Støtteark!$B$33))),1,"")</f>
        <v/>
      </c>
      <c r="AE127" s="231" t="str">
        <f>IF(OR(N127 = Støtteark!$L$25,N127 = Støtteark!$L$26,N127 = Støtteark!$L$28,AND(N127 = Støtteark!$L$29,OR(O127=Støtteark!$B$34,O127 = Støtteark!$B$30)),AND(E127=Støtteark!$U$6,O127=Støtteark!$B$29)),1,"")</f>
        <v/>
      </c>
      <c r="AF127" s="231" t="str">
        <f>IF(OR(N127 = Støtteark!$L$25,N127 = Støtteark!$L$26,N127 = Støtteark!$L$28,AND(N127 = Støtteark!$L$29,O127=Støtteark!$B$34),AND(E127=Støtteark!$U$6,O127=Støtteark!$B$30),AND(E127=Støtteark!$U$6,O127=Støtteark!$B$29)),1,"")</f>
        <v/>
      </c>
      <c r="AG127" s="231" t="str">
        <f>IF(OR(N127 = Støtteark!$L$25,N127 = Støtteark!$L$26,N127 = Støtteark!$L$28,AND(N127 = Støtteark!$L$29,OR(O127=Støtteark!$B$30,O127 = Støtteark!$B$31,O127=Støtteark!$B$32,O127=Støtteark!$B$34)),AND(E127=Støtteark!$U$6,OR(O127=Støtteark!$B$29,O127=Støtteark!$B$31))),1,"")</f>
        <v/>
      </c>
      <c r="AH127" s="231" t="str">
        <f>IF(OR(N127 = Støtteark!$L$25,N127 = Støtteark!$L$26,N127 = Støtteark!$L$28,AND(N127 = Støtteark!$L$29,O127=Støtteark!$B$34),AND(E127=Støtteark!$U$6,OR(O127=Støtteark!$B$29,O127=Støtteark!$B$30))),1,"")</f>
        <v/>
      </c>
      <c r="AI127" s="231" t="str">
        <f>IF(OR(N127 = Støtteark!$L$25,N127 = Støtteark!$L$26,N127 = Støtteark!$L$28,AND(N127 = Støtteark!$L$29,OR(O127=Støtteark!$B$34,O127 = Støtteark!$B$30)),AND(E127=Støtteark!$U$6,OR(O127=Støtteark!$B$29,O127=Støtteark!$B$30))),1,"")</f>
        <v/>
      </c>
      <c r="AJ127" s="231" t="str">
        <f>IF(OR(AND(E127&lt;&gt;Støtteark!$U$6,N127 = Støtteark!$L$25),N127 = Støtteark!$L$26,N127 = Støtteark!$L$28,AND(N127 = Støtteark!$L$29,OR(O127=Støtteark!$B$34,O127=Støtteark!$B$35),O127&lt;&gt;Støtteark!$B$30)),1,"")</f>
        <v/>
      </c>
      <c r="AK127" s="231" t="str">
        <f>IF(OR(AND(E127&lt;&gt;Støtteark!$U$6,N127 = Støtteark!$L$25),N127 = Støtteark!$L$26,N127 = Støtteark!$L$28,AND(N127 = Støtteark!$L$29,E127&lt;&gt;Støtteark!$U$6,OR(O127=Støtteark!$B$34,O127 = Støtteark!$B$30))),1,"")</f>
        <v/>
      </c>
      <c r="AL127" s="231" t="str">
        <f>IF(OR(AND(E127&lt;&gt;Støtteark!$U$6,N127 = Støtteark!$L$25),N127 = Støtteark!$L$26,N127 = Støtteark!$L$28,AND(N127 = Støtteark!$L$29,O127=Støtteark!$B$34)),1,"")</f>
        <v/>
      </c>
      <c r="AM127" s="231" t="str">
        <f>IF(AND(N127 = Støtteark!$L$29,OR(O127=Støtteark!$B$30,O127=Støtteark!$B$32,O127=Støtteark!$B$33,O127=Støtteark!$B$34,O127=Støtteark!$B$35)),Støtteark!$L$32,"")</f>
        <v/>
      </c>
      <c r="AN127" s="235"/>
      <c r="AO127" s="91"/>
      <c r="AP127" s="170">
        <v>0</v>
      </c>
      <c r="AQ127" s="235"/>
      <c r="AR127" s="64">
        <f t="shared" ca="1" si="120"/>
        <v>44022</v>
      </c>
    </row>
    <row r="128" spans="1:44" hidden="1" x14ac:dyDescent="0.25">
      <c r="A128" s="222"/>
      <c r="B128" s="65"/>
      <c r="C128" s="65"/>
      <c r="D128" s="66"/>
      <c r="E128" s="66"/>
      <c r="F128" s="66"/>
      <c r="G128" s="65"/>
      <c r="H128" s="65"/>
      <c r="I128" s="237"/>
      <c r="J128" s="65"/>
      <c r="K128" s="65"/>
      <c r="L128" s="189"/>
      <c r="M128" s="158"/>
      <c r="N128" s="148"/>
      <c r="O128" s="148"/>
      <c r="P128" s="137"/>
      <c r="Q128" s="148"/>
      <c r="R128" s="237"/>
      <c r="S128" s="236"/>
      <c r="T128" s="236"/>
      <c r="U128" s="236"/>
      <c r="V128" s="236"/>
      <c r="W128" s="236"/>
      <c r="X128" s="236"/>
      <c r="Y128" s="236"/>
      <c r="Z128" s="237"/>
      <c r="AA128" s="236"/>
      <c r="AB128" s="236"/>
      <c r="AC128" s="236"/>
      <c r="AD128" s="236"/>
      <c r="AE128" s="236"/>
      <c r="AF128" s="236"/>
      <c r="AG128" s="236"/>
      <c r="AH128" s="236"/>
      <c r="AI128" s="236"/>
      <c r="AJ128" s="236"/>
      <c r="AK128" s="236"/>
      <c r="AL128" s="236"/>
      <c r="AM128" s="236"/>
      <c r="AN128" s="237"/>
      <c r="AO128" s="138"/>
      <c r="AP128" s="171"/>
      <c r="AQ128" s="237"/>
      <c r="AR128" s="139"/>
    </row>
    <row r="129" spans="1:44" hidden="1" x14ac:dyDescent="0.25">
      <c r="A129" s="223"/>
      <c r="B129" s="70"/>
      <c r="C129" s="70"/>
      <c r="D129" s="70"/>
      <c r="E129" s="70"/>
      <c r="F129" s="71"/>
      <c r="G129" s="70"/>
      <c r="H129" s="70"/>
      <c r="I129" s="237"/>
      <c r="J129" s="70"/>
      <c r="K129" s="70"/>
      <c r="L129" s="190"/>
      <c r="M129" s="159"/>
      <c r="N129" s="149"/>
      <c r="O129" s="149"/>
      <c r="P129" s="140"/>
      <c r="Q129" s="149"/>
      <c r="R129" s="237"/>
      <c r="S129" s="239"/>
      <c r="T129" s="239"/>
      <c r="U129" s="239"/>
      <c r="V129" s="239"/>
      <c r="W129" s="239"/>
      <c r="X129" s="239"/>
      <c r="Y129" s="239"/>
      <c r="Z129" s="237"/>
      <c r="AA129" s="239"/>
      <c r="AB129" s="239"/>
      <c r="AC129" s="239"/>
      <c r="AD129" s="239"/>
      <c r="AE129" s="239"/>
      <c r="AF129" s="239"/>
      <c r="AG129" s="239"/>
      <c r="AH129" s="239"/>
      <c r="AI129" s="239"/>
      <c r="AJ129" s="239"/>
      <c r="AK129" s="239"/>
      <c r="AL129" s="239"/>
      <c r="AM129" s="239"/>
      <c r="AN129" s="237"/>
      <c r="AO129" s="141"/>
      <c r="AP129" s="172"/>
      <c r="AQ129" s="237"/>
      <c r="AR129" s="142"/>
    </row>
    <row r="130" spans="1:44" ht="25.5" hidden="1" x14ac:dyDescent="0.25">
      <c r="A130" s="221" t="str">
        <f>A127</f>
        <v>Kundenr.-Ejendom</v>
      </c>
      <c r="B130" s="61" t="str">
        <f>Ydelser!A130&amp;" - "&amp;Ydelser!C130</f>
        <v>901 - Kundespecifik ydelse 1</v>
      </c>
      <c r="C130" s="61" t="str">
        <f>Ydelser!D130</f>
        <v>Beskrivelse.</v>
      </c>
      <c r="D130" s="61" t="b">
        <f>'FS Aftale'!D130</f>
        <v>0</v>
      </c>
      <c r="E130" s="156" t="str">
        <f>'FS Aftale'!E130</f>
        <v>Månedligt</v>
      </c>
      <c r="F130" s="61" t="str">
        <f>F127</f>
        <v>Team Ansvarlig</v>
      </c>
      <c r="G130" s="61" t="str">
        <f t="shared" ref="G130:H130" si="121">G127</f>
        <v>Ansvarlig</v>
      </c>
      <c r="H130" s="61" t="str">
        <f t="shared" si="121"/>
        <v>Servicemedarb.</v>
      </c>
      <c r="I130" s="235"/>
      <c r="J130" s="61" t="str">
        <f>J127</f>
        <v>Fast</v>
      </c>
      <c r="K130" s="61" t="str">
        <f>K127</f>
        <v>FS aftale</v>
      </c>
      <c r="L130" s="188">
        <f>L127</f>
        <v>1</v>
      </c>
      <c r="M130" s="157" t="str">
        <f>M127</f>
        <v>Mangler planlægning</v>
      </c>
      <c r="N130" s="147" t="str">
        <f>IFERROR(VLOOKUP(O130,Støtteark!$B$21:$F$35,MATCH(E130,Støtteark!$B$21:$F$21,0),0),Støtteark!$L$35)</f>
        <v>Månedligt</v>
      </c>
      <c r="O130" s="62">
        <f>'FS Aftale'!F130</f>
        <v>12</v>
      </c>
      <c r="P130" s="179" t="str">
        <f>P127</f>
        <v>7:00</v>
      </c>
      <c r="Q130" s="63">
        <f>'FS Aftale'!G130*Støtteark!$Q$15</f>
        <v>0</v>
      </c>
      <c r="R130" s="235"/>
      <c r="S130" s="231" t="str">
        <f>IF(OR(AND(OR(N130 = Støtteark!$L$25,N130 = Støtteark!$L$26,N130 = Støtteark!$L$28),E130&lt;&gt;Støtteark!$U$6,OR(O130=Støtteark!$B$22,O130=Støtteark!$B$23,O130=Støtteark!$B$24,O130=Støtteark!$B$25,O130=Støtteark!$B$26,O130=Støtteark!$B$27,O130=Støtteark!$B$28)),AND(E130=Støtteark!$U$6,OR(O130=Støtteark!$B$24,O130=Støtteark!$B$27,O130=Støtteark!$B$29))),1,"")</f>
        <v/>
      </c>
      <c r="T130" s="232" t="str">
        <f>IF(OR(AND(N130 = Støtteark!$L$25,E130&lt;&gt;Støtteark!$U$6,O130=Støtteark!$B$22),AND(E130=Støtteark!$U$6,O130=Støtteark!$B$24),O130=Støtteark!$B$22),1,"")</f>
        <v/>
      </c>
      <c r="U130" s="232" t="str">
        <f>IF(OR(AND(N130 = Støtteark!$L$25,E130&lt;&gt;Støtteark!$U$6,OR(O130=Støtteark!$B$22,O130=Støtteark!$B$23,O130=Støtteark!$B$24)),AND(E130=Støtteark!$U$6,OR(O130=Støtteark!$B$22,O130=Støtteark!$B$24))),1,"")</f>
        <v/>
      </c>
      <c r="V130" s="232" t="str">
        <f>IF(OR(AND(N130 = Støtteark!$L$25,E130&lt;&gt;Støtteark!$U$6,O130=Støtteark!$B$22),AND(E130=Støtteark!$U$6,OR(O130=Støtteark!$B$22,O130=Støtteark!$B$24))),1,"")</f>
        <v/>
      </c>
      <c r="W130" s="232" t="str">
        <f>IF(OR(AND(N130 = Støtteark!$L$25,E130&lt;&gt;Støtteark!$U$6,OR(O130=Støtteark!$B$22,O130=Støtteark!$B$23,O130=Støtteark!$B$24,O130=Støtteark!$B$25)),AND(E130=Støtteark!$U$6,OR(O130=Støtteark!$B$22,O130=Støtteark!$B$24))),1,"")</f>
        <v/>
      </c>
      <c r="X130" s="231"/>
      <c r="Y130" s="231"/>
      <c r="Z130" s="235"/>
      <c r="AA130" s="231">
        <f>IF(OR(AND(E130&lt;&gt;Støtteark!$U$6,N130 = Støtteark!$L$25),N130 = Støtteark!$L$26,N130 = Støtteark!$L$28,AND(N130 = Støtteark!$L$29,E130&lt;&gt;Støtteark!$U$6,OR(O130=Støtteark!$B$30,O130=Støtteark!$B$32,O130=Støtteark!$B$33,AND(E130&lt;&gt;Støtteark!$U$6,O130=Støtteark!$B$34),O130=Støtteark!$B$35))),1,"")</f>
        <v>1</v>
      </c>
      <c r="AB130" s="231">
        <f>IF(OR(AND(E130&lt;&gt;Støtteark!$U$6,N130 = Støtteark!$L$25),N130 = Støtteark!$L$26,N130 = Støtteark!$L$28,AND(N130 = Støtteark!$L$29,O130=Støtteark!$B$34)),1,"")</f>
        <v>1</v>
      </c>
      <c r="AC130" s="231">
        <f>IF(OR(AND(E130&lt;&gt;Støtteark!$U$6,N130 = Støtteark!$L$25),N130 = Støtteark!$L$26,N130 = Støtteark!$L$28,AND(N130 = Støtteark!$L$29,E130&lt;&gt;Støtteark!$U$6,OR(O130=Støtteark!$B$30,O130 = Støtteark!$B$34))),1,"")</f>
        <v>1</v>
      </c>
      <c r="AD130" s="232">
        <f>IF(OR(N130 = Støtteark!$L$25,N130 = Støtteark!$L$26,N130 = Støtteark!$L$28,AND(N130 = Støtteark!$L$29,OR(O130=Støtteark!$B$34,O130=Støtteark!$B$35)),AND(E130=Støtteark!$U$6,OR(O130=Støtteark!$B$29,O130=Støtteark!$B$30,O130=Støtteark!$B$32,O130=Støtteark!$B$33))),1,"")</f>
        <v>1</v>
      </c>
      <c r="AE130" s="231">
        <f>IF(OR(N130 = Støtteark!$L$25,N130 = Støtteark!$L$26,N130 = Støtteark!$L$28,AND(N130 = Støtteark!$L$29,OR(O130=Støtteark!$B$34,O130 = Støtteark!$B$30)),AND(E130=Støtteark!$U$6,O130=Støtteark!$B$29)),1,"")</f>
        <v>1</v>
      </c>
      <c r="AF130" s="231">
        <f>IF(OR(N130 = Støtteark!$L$25,N130 = Støtteark!$L$26,N130 = Støtteark!$L$28,AND(N130 = Støtteark!$L$29,O130=Støtteark!$B$34),AND(E130=Støtteark!$U$6,O130=Støtteark!$B$30),AND(E130=Støtteark!$U$6,O130=Støtteark!$B$29)),1,"")</f>
        <v>1</v>
      </c>
      <c r="AG130" s="231">
        <f>IF(OR(N130 = Støtteark!$L$25,N130 = Støtteark!$L$26,N130 = Støtteark!$L$28,AND(N130 = Støtteark!$L$29,OR(O130=Støtteark!$B$30,O130 = Støtteark!$B$31,O130=Støtteark!$B$32,O130=Støtteark!$B$34)),AND(E130=Støtteark!$U$6,OR(O130=Støtteark!$B$29,O130=Støtteark!$B$31))),1,"")</f>
        <v>1</v>
      </c>
      <c r="AH130" s="231">
        <f>IF(OR(N130 = Støtteark!$L$25,N130 = Støtteark!$L$26,N130 = Støtteark!$L$28,AND(N130 = Støtteark!$L$29,O130=Støtteark!$B$34),AND(E130=Støtteark!$U$6,OR(O130=Støtteark!$B$29,O130=Støtteark!$B$30))),1,"")</f>
        <v>1</v>
      </c>
      <c r="AI130" s="231">
        <f>IF(OR(N130 = Støtteark!$L$25,N130 = Støtteark!$L$26,N130 = Støtteark!$L$28,AND(N130 = Støtteark!$L$29,OR(O130=Støtteark!$B$34,O130 = Støtteark!$B$30)),AND(E130=Støtteark!$U$6,OR(O130=Støtteark!$B$29,O130=Støtteark!$B$30))),1,"")</f>
        <v>1</v>
      </c>
      <c r="AJ130" s="231">
        <f>IF(OR(AND(E130&lt;&gt;Støtteark!$U$6,N130 = Støtteark!$L$25),N130 = Støtteark!$L$26,N130 = Støtteark!$L$28,AND(N130 = Støtteark!$L$29,OR(O130=Støtteark!$B$34,O130=Støtteark!$B$35),O130&lt;&gt;Støtteark!$B$30)),1,"")</f>
        <v>1</v>
      </c>
      <c r="AK130" s="231">
        <f>IF(OR(AND(E130&lt;&gt;Støtteark!$U$6,N130 = Støtteark!$L$25),N130 = Støtteark!$L$26,N130 = Støtteark!$L$28,AND(N130 = Støtteark!$L$29,E130&lt;&gt;Støtteark!$U$6,OR(O130=Støtteark!$B$34,O130 = Støtteark!$B$30))),1,"")</f>
        <v>1</v>
      </c>
      <c r="AL130" s="231">
        <f>IF(OR(AND(E130&lt;&gt;Støtteark!$U$6,N130 = Støtteark!$L$25),N130 = Støtteark!$L$26,N130 = Støtteark!$L$28,AND(N130 = Støtteark!$L$29,O130=Støtteark!$B$34)),1,"")</f>
        <v>1</v>
      </c>
      <c r="AM130" s="231">
        <f>IF(AND(N130 = Støtteark!$L$29,OR(O130=Støtteark!$B$30,O130=Støtteark!$B$32,O130=Støtteark!$B$33,O130=Støtteark!$B$34,O130=Støtteark!$B$35)),Støtteark!$L$32,"")</f>
        <v>801</v>
      </c>
      <c r="AN130" s="235"/>
      <c r="AO130" s="91"/>
      <c r="AP130" s="170">
        <v>0</v>
      </c>
      <c r="AQ130" s="235"/>
      <c r="AR130" s="64">
        <f ca="1">AR127</f>
        <v>44022</v>
      </c>
    </row>
    <row r="131" spans="1:44" ht="25.5" hidden="1" x14ac:dyDescent="0.25">
      <c r="A131" s="221" t="str">
        <f t="shared" ref="A131:A149" si="122">A130</f>
        <v>Kundenr.-Ejendom</v>
      </c>
      <c r="B131" s="61" t="str">
        <f>Ydelser!A131&amp;" - "&amp;Ydelser!C131</f>
        <v>902 - Kundespecifik ydelse 2</v>
      </c>
      <c r="C131" s="61" t="str">
        <f>Ydelser!D131</f>
        <v>Beskrivelse.</v>
      </c>
      <c r="D131" s="61" t="b">
        <f>'FS Aftale'!D131</f>
        <v>0</v>
      </c>
      <c r="E131" s="156" t="str">
        <f>'FS Aftale'!E131</f>
        <v>Månedligt</v>
      </c>
      <c r="F131" s="61" t="str">
        <f t="shared" ref="F131:H131" si="123">F130</f>
        <v>Team Ansvarlig</v>
      </c>
      <c r="G131" s="61" t="str">
        <f t="shared" si="123"/>
        <v>Ansvarlig</v>
      </c>
      <c r="H131" s="61" t="str">
        <f t="shared" si="123"/>
        <v>Servicemedarb.</v>
      </c>
      <c r="I131" s="235"/>
      <c r="J131" s="61" t="str">
        <f t="shared" ref="J131:M131" si="124">J130</f>
        <v>Fast</v>
      </c>
      <c r="K131" s="61" t="str">
        <f t="shared" si="124"/>
        <v>FS aftale</v>
      </c>
      <c r="L131" s="188">
        <f t="shared" si="124"/>
        <v>1</v>
      </c>
      <c r="M131" s="157" t="str">
        <f t="shared" si="124"/>
        <v>Mangler planlægning</v>
      </c>
      <c r="N131" s="147" t="str">
        <f>IFERROR(VLOOKUP(O131,Støtteark!$B$21:$F$35,MATCH(E131,Støtteark!$B$21:$F$21,0),0),Støtteark!$L$35)</f>
        <v>Månedligt</v>
      </c>
      <c r="O131" s="62">
        <f>'FS Aftale'!F131</f>
        <v>12</v>
      </c>
      <c r="P131" s="179" t="str">
        <f t="shared" ref="P131:P149" si="125">P130</f>
        <v>7:00</v>
      </c>
      <c r="Q131" s="63">
        <f>'FS Aftale'!G131*Støtteark!$Q$15</f>
        <v>0</v>
      </c>
      <c r="R131" s="235"/>
      <c r="S131" s="231" t="str">
        <f>IF(OR(AND(OR(N131 = Støtteark!$L$25,N131 = Støtteark!$L$26,N131 = Støtteark!$L$28),E131&lt;&gt;Støtteark!$U$6,OR(O131=Støtteark!$B$22,O131=Støtteark!$B$23,O131=Støtteark!$B$24,O131=Støtteark!$B$25,O131=Støtteark!$B$26,O131=Støtteark!$B$27,O131=Støtteark!$B$28)),AND(E131=Støtteark!$U$6,OR(O131=Støtteark!$B$24,O131=Støtteark!$B$27,O131=Støtteark!$B$29))),1,"")</f>
        <v/>
      </c>
      <c r="T131" s="232" t="str">
        <f>IF(OR(AND(N131 = Støtteark!$L$25,E131&lt;&gt;Støtteark!$U$6,O131=Støtteark!$B$22),AND(E131=Støtteark!$U$6,O131=Støtteark!$B$24),O131=Støtteark!$B$22),1,"")</f>
        <v/>
      </c>
      <c r="U131" s="232" t="str">
        <f>IF(OR(AND(N131 = Støtteark!$L$25,E131&lt;&gt;Støtteark!$U$6,OR(O131=Støtteark!$B$22,O131=Støtteark!$B$23,O131=Støtteark!$B$24)),AND(E131=Støtteark!$U$6,OR(O131=Støtteark!$B$22,O131=Støtteark!$B$24))),1,"")</f>
        <v/>
      </c>
      <c r="V131" s="232" t="str">
        <f>IF(OR(AND(N131 = Støtteark!$L$25,E131&lt;&gt;Støtteark!$U$6,O131=Støtteark!$B$22),AND(E131=Støtteark!$U$6,OR(O131=Støtteark!$B$22,O131=Støtteark!$B$24))),1,"")</f>
        <v/>
      </c>
      <c r="W131" s="232" t="str">
        <f>IF(OR(AND(N131 = Støtteark!$L$25,E131&lt;&gt;Støtteark!$U$6,OR(O131=Støtteark!$B$22,O131=Støtteark!$B$23,O131=Støtteark!$B$24,O131=Støtteark!$B$25)),AND(E131=Støtteark!$U$6,OR(O131=Støtteark!$B$22,O131=Støtteark!$B$24))),1,"")</f>
        <v/>
      </c>
      <c r="X131" s="231"/>
      <c r="Y131" s="231"/>
      <c r="Z131" s="235"/>
      <c r="AA131" s="231">
        <f>IF(OR(AND(E131&lt;&gt;Støtteark!$U$6,N131 = Støtteark!$L$25),N131 = Støtteark!$L$26,N131 = Støtteark!$L$28,AND(N131 = Støtteark!$L$29,E131&lt;&gt;Støtteark!$U$6,OR(O131=Støtteark!$B$30,O131=Støtteark!$B$32,O131=Støtteark!$B$33,AND(E131&lt;&gt;Støtteark!$U$6,O131=Støtteark!$B$34),O131=Støtteark!$B$35))),1,"")</f>
        <v>1</v>
      </c>
      <c r="AB131" s="231">
        <f>IF(OR(AND(E131&lt;&gt;Støtteark!$U$6,N131 = Støtteark!$L$25),N131 = Støtteark!$L$26,N131 = Støtteark!$L$28,AND(N131 = Støtteark!$L$29,O131=Støtteark!$B$34)),1,"")</f>
        <v>1</v>
      </c>
      <c r="AC131" s="231">
        <f>IF(OR(AND(E131&lt;&gt;Støtteark!$U$6,N131 = Støtteark!$L$25),N131 = Støtteark!$L$26,N131 = Støtteark!$L$28,AND(N131 = Støtteark!$L$29,E131&lt;&gt;Støtteark!$U$6,OR(O131=Støtteark!$B$30,O131 = Støtteark!$B$34))),1,"")</f>
        <v>1</v>
      </c>
      <c r="AD131" s="232">
        <f>IF(OR(N131 = Støtteark!$L$25,N131 = Støtteark!$L$26,N131 = Støtteark!$L$28,AND(N131 = Støtteark!$L$29,OR(O131=Støtteark!$B$34,O131=Støtteark!$B$35)),AND(E131=Støtteark!$U$6,OR(O131=Støtteark!$B$29,O131=Støtteark!$B$30,O131=Støtteark!$B$32,O131=Støtteark!$B$33))),1,"")</f>
        <v>1</v>
      </c>
      <c r="AE131" s="231">
        <f>IF(OR(N131 = Støtteark!$L$25,N131 = Støtteark!$L$26,N131 = Støtteark!$L$28,AND(N131 = Støtteark!$L$29,OR(O131=Støtteark!$B$34,O131 = Støtteark!$B$30)),AND(E131=Støtteark!$U$6,O131=Støtteark!$B$29)),1,"")</f>
        <v>1</v>
      </c>
      <c r="AF131" s="231">
        <f>IF(OR(N131 = Støtteark!$L$25,N131 = Støtteark!$L$26,N131 = Støtteark!$L$28,AND(N131 = Støtteark!$L$29,O131=Støtteark!$B$34),AND(E131=Støtteark!$U$6,O131=Støtteark!$B$30),AND(E131=Støtteark!$U$6,O131=Støtteark!$B$29)),1,"")</f>
        <v>1</v>
      </c>
      <c r="AG131" s="231">
        <f>IF(OR(N131 = Støtteark!$L$25,N131 = Støtteark!$L$26,N131 = Støtteark!$L$28,AND(N131 = Støtteark!$L$29,OR(O131=Støtteark!$B$30,O131 = Støtteark!$B$31,O131=Støtteark!$B$32,O131=Støtteark!$B$34)),AND(E131=Støtteark!$U$6,OR(O131=Støtteark!$B$29,O131=Støtteark!$B$31))),1,"")</f>
        <v>1</v>
      </c>
      <c r="AH131" s="231">
        <f>IF(OR(N131 = Støtteark!$L$25,N131 = Støtteark!$L$26,N131 = Støtteark!$L$28,AND(N131 = Støtteark!$L$29,O131=Støtteark!$B$34),AND(E131=Støtteark!$U$6,OR(O131=Støtteark!$B$29,O131=Støtteark!$B$30))),1,"")</f>
        <v>1</v>
      </c>
      <c r="AI131" s="231">
        <f>IF(OR(N131 = Støtteark!$L$25,N131 = Støtteark!$L$26,N131 = Støtteark!$L$28,AND(N131 = Støtteark!$L$29,OR(O131=Støtteark!$B$34,O131 = Støtteark!$B$30)),AND(E131=Støtteark!$U$6,OR(O131=Støtteark!$B$29,O131=Støtteark!$B$30))),1,"")</f>
        <v>1</v>
      </c>
      <c r="AJ131" s="231">
        <f>IF(OR(AND(E131&lt;&gt;Støtteark!$U$6,N131 = Støtteark!$L$25),N131 = Støtteark!$L$26,N131 = Støtteark!$L$28,AND(N131 = Støtteark!$L$29,OR(O131=Støtteark!$B$34,O131=Støtteark!$B$35),O131&lt;&gt;Støtteark!$B$30)),1,"")</f>
        <v>1</v>
      </c>
      <c r="AK131" s="231">
        <f>IF(OR(AND(E131&lt;&gt;Støtteark!$U$6,N131 = Støtteark!$L$25),N131 = Støtteark!$L$26,N131 = Støtteark!$L$28,AND(N131 = Støtteark!$L$29,E131&lt;&gt;Støtteark!$U$6,OR(O131=Støtteark!$B$34,O131 = Støtteark!$B$30))),1,"")</f>
        <v>1</v>
      </c>
      <c r="AL131" s="231">
        <f>IF(OR(AND(E131&lt;&gt;Støtteark!$U$6,N131 = Støtteark!$L$25),N131 = Støtteark!$L$26,N131 = Støtteark!$L$28,AND(N131 = Støtteark!$L$29,O131=Støtteark!$B$34)),1,"")</f>
        <v>1</v>
      </c>
      <c r="AM131" s="231">
        <f>IF(AND(N131 = Støtteark!$L$29,OR(O131=Støtteark!$B$30,O131=Støtteark!$B$32,O131=Støtteark!$B$33,O131=Støtteark!$B$34,O131=Støtteark!$B$35)),Støtteark!$L$32,"")</f>
        <v>801</v>
      </c>
      <c r="AN131" s="235"/>
      <c r="AO131" s="91"/>
      <c r="AP131" s="170">
        <v>0</v>
      </c>
      <c r="AQ131" s="235"/>
      <c r="AR131" s="64">
        <f t="shared" ref="AR131:AR149" ca="1" si="126">AR130</f>
        <v>44022</v>
      </c>
    </row>
    <row r="132" spans="1:44" ht="25.5" hidden="1" x14ac:dyDescent="0.25">
      <c r="A132" s="221" t="str">
        <f t="shared" si="122"/>
        <v>Kundenr.-Ejendom</v>
      </c>
      <c r="B132" s="61" t="str">
        <f>Ydelser!A132&amp;" - "&amp;Ydelser!C132</f>
        <v>903 - Kundespecifik ydelse 3</v>
      </c>
      <c r="C132" s="61" t="str">
        <f>Ydelser!D132</f>
        <v>Beskrivelse.</v>
      </c>
      <c r="D132" s="61" t="b">
        <f>'FS Aftale'!D132</f>
        <v>0</v>
      </c>
      <c r="E132" s="156" t="str">
        <f>'FS Aftale'!E132</f>
        <v>Månedligt</v>
      </c>
      <c r="F132" s="61" t="str">
        <f t="shared" ref="F132:H132" si="127">F131</f>
        <v>Team Ansvarlig</v>
      </c>
      <c r="G132" s="61" t="str">
        <f t="shared" si="127"/>
        <v>Ansvarlig</v>
      </c>
      <c r="H132" s="61" t="str">
        <f t="shared" si="127"/>
        <v>Servicemedarb.</v>
      </c>
      <c r="I132" s="235"/>
      <c r="J132" s="61" t="str">
        <f t="shared" ref="J132:M132" si="128">J131</f>
        <v>Fast</v>
      </c>
      <c r="K132" s="61" t="str">
        <f t="shared" si="128"/>
        <v>FS aftale</v>
      </c>
      <c r="L132" s="188">
        <f t="shared" si="128"/>
        <v>1</v>
      </c>
      <c r="M132" s="157" t="str">
        <f t="shared" si="128"/>
        <v>Mangler planlægning</v>
      </c>
      <c r="N132" s="147" t="str">
        <f>IFERROR(VLOOKUP(O132,Støtteark!$B$21:$F$35,MATCH(E132,Støtteark!$B$21:$F$21,0),0),Støtteark!$L$35)</f>
        <v>Månedligt</v>
      </c>
      <c r="O132" s="62">
        <f>'FS Aftale'!F132</f>
        <v>12</v>
      </c>
      <c r="P132" s="179" t="str">
        <f t="shared" si="125"/>
        <v>7:00</v>
      </c>
      <c r="Q132" s="63">
        <f>'FS Aftale'!G132*Støtteark!$Q$15</f>
        <v>0</v>
      </c>
      <c r="R132" s="235"/>
      <c r="S132" s="231" t="str">
        <f>IF(OR(AND(OR(N132 = Støtteark!$L$25,N132 = Støtteark!$L$26,N132 = Støtteark!$L$28),E132&lt;&gt;Støtteark!$U$6,OR(O132=Støtteark!$B$22,O132=Støtteark!$B$23,O132=Støtteark!$B$24,O132=Støtteark!$B$25,O132=Støtteark!$B$26,O132=Støtteark!$B$27,O132=Støtteark!$B$28)),AND(E132=Støtteark!$U$6,OR(O132=Støtteark!$B$24,O132=Støtteark!$B$27,O132=Støtteark!$B$29))),1,"")</f>
        <v/>
      </c>
      <c r="T132" s="232" t="str">
        <f>IF(OR(AND(N132 = Støtteark!$L$25,E132&lt;&gt;Støtteark!$U$6,O132=Støtteark!$B$22),AND(E132=Støtteark!$U$6,O132=Støtteark!$B$24),O132=Støtteark!$B$22),1,"")</f>
        <v/>
      </c>
      <c r="U132" s="232" t="str">
        <f>IF(OR(AND(N132 = Støtteark!$L$25,E132&lt;&gt;Støtteark!$U$6,OR(O132=Støtteark!$B$22,O132=Støtteark!$B$23,O132=Støtteark!$B$24)),AND(E132=Støtteark!$U$6,OR(O132=Støtteark!$B$22,O132=Støtteark!$B$24))),1,"")</f>
        <v/>
      </c>
      <c r="V132" s="232" t="str">
        <f>IF(OR(AND(N132 = Støtteark!$L$25,E132&lt;&gt;Støtteark!$U$6,O132=Støtteark!$B$22),AND(E132=Støtteark!$U$6,OR(O132=Støtteark!$B$22,O132=Støtteark!$B$24))),1,"")</f>
        <v/>
      </c>
      <c r="W132" s="232" t="str">
        <f>IF(OR(AND(N132 = Støtteark!$L$25,E132&lt;&gt;Støtteark!$U$6,OR(O132=Støtteark!$B$22,O132=Støtteark!$B$23,O132=Støtteark!$B$24,O132=Støtteark!$B$25)),AND(E132=Støtteark!$U$6,OR(O132=Støtteark!$B$22,O132=Støtteark!$B$24))),1,"")</f>
        <v/>
      </c>
      <c r="X132" s="231"/>
      <c r="Y132" s="231"/>
      <c r="Z132" s="235"/>
      <c r="AA132" s="231">
        <f>IF(OR(AND(E132&lt;&gt;Støtteark!$U$6,N132 = Støtteark!$L$25),N132 = Støtteark!$L$26,N132 = Støtteark!$L$28,AND(N132 = Støtteark!$L$29,E132&lt;&gt;Støtteark!$U$6,OR(O132=Støtteark!$B$30,O132=Støtteark!$B$32,O132=Støtteark!$B$33,AND(E132&lt;&gt;Støtteark!$U$6,O132=Støtteark!$B$34),O132=Støtteark!$B$35))),1,"")</f>
        <v>1</v>
      </c>
      <c r="AB132" s="231">
        <f>IF(OR(AND(E132&lt;&gt;Støtteark!$U$6,N132 = Støtteark!$L$25),N132 = Støtteark!$L$26,N132 = Støtteark!$L$28,AND(N132 = Støtteark!$L$29,O132=Støtteark!$B$34)),1,"")</f>
        <v>1</v>
      </c>
      <c r="AC132" s="231">
        <f>IF(OR(AND(E132&lt;&gt;Støtteark!$U$6,N132 = Støtteark!$L$25),N132 = Støtteark!$L$26,N132 = Støtteark!$L$28,AND(N132 = Støtteark!$L$29,E132&lt;&gt;Støtteark!$U$6,OR(O132=Støtteark!$B$30,O132 = Støtteark!$B$34))),1,"")</f>
        <v>1</v>
      </c>
      <c r="AD132" s="232">
        <f>IF(OR(N132 = Støtteark!$L$25,N132 = Støtteark!$L$26,N132 = Støtteark!$L$28,AND(N132 = Støtteark!$L$29,OR(O132=Støtteark!$B$34,O132=Støtteark!$B$35)),AND(E132=Støtteark!$U$6,OR(O132=Støtteark!$B$29,O132=Støtteark!$B$30,O132=Støtteark!$B$32,O132=Støtteark!$B$33))),1,"")</f>
        <v>1</v>
      </c>
      <c r="AE132" s="231">
        <f>IF(OR(N132 = Støtteark!$L$25,N132 = Støtteark!$L$26,N132 = Støtteark!$L$28,AND(N132 = Støtteark!$L$29,OR(O132=Støtteark!$B$34,O132 = Støtteark!$B$30)),AND(E132=Støtteark!$U$6,O132=Støtteark!$B$29)),1,"")</f>
        <v>1</v>
      </c>
      <c r="AF132" s="231">
        <f>IF(OR(N132 = Støtteark!$L$25,N132 = Støtteark!$L$26,N132 = Støtteark!$L$28,AND(N132 = Støtteark!$L$29,O132=Støtteark!$B$34),AND(E132=Støtteark!$U$6,O132=Støtteark!$B$30),AND(E132=Støtteark!$U$6,O132=Støtteark!$B$29)),1,"")</f>
        <v>1</v>
      </c>
      <c r="AG132" s="231">
        <f>IF(OR(N132 = Støtteark!$L$25,N132 = Støtteark!$L$26,N132 = Støtteark!$L$28,AND(N132 = Støtteark!$L$29,OR(O132=Støtteark!$B$30,O132 = Støtteark!$B$31,O132=Støtteark!$B$32,O132=Støtteark!$B$34)),AND(E132=Støtteark!$U$6,OR(O132=Støtteark!$B$29,O132=Støtteark!$B$31))),1,"")</f>
        <v>1</v>
      </c>
      <c r="AH132" s="231">
        <f>IF(OR(N132 = Støtteark!$L$25,N132 = Støtteark!$L$26,N132 = Støtteark!$L$28,AND(N132 = Støtteark!$L$29,O132=Støtteark!$B$34),AND(E132=Støtteark!$U$6,OR(O132=Støtteark!$B$29,O132=Støtteark!$B$30))),1,"")</f>
        <v>1</v>
      </c>
      <c r="AI132" s="231">
        <f>IF(OR(N132 = Støtteark!$L$25,N132 = Støtteark!$L$26,N132 = Støtteark!$L$28,AND(N132 = Støtteark!$L$29,OR(O132=Støtteark!$B$34,O132 = Støtteark!$B$30)),AND(E132=Støtteark!$U$6,OR(O132=Støtteark!$B$29,O132=Støtteark!$B$30))),1,"")</f>
        <v>1</v>
      </c>
      <c r="AJ132" s="231">
        <f>IF(OR(AND(E132&lt;&gt;Støtteark!$U$6,N132 = Støtteark!$L$25),N132 = Støtteark!$L$26,N132 = Støtteark!$L$28,AND(N132 = Støtteark!$L$29,OR(O132=Støtteark!$B$34,O132=Støtteark!$B$35),O132&lt;&gt;Støtteark!$B$30)),1,"")</f>
        <v>1</v>
      </c>
      <c r="AK132" s="231">
        <f>IF(OR(AND(E132&lt;&gt;Støtteark!$U$6,N132 = Støtteark!$L$25),N132 = Støtteark!$L$26,N132 = Støtteark!$L$28,AND(N132 = Støtteark!$L$29,E132&lt;&gt;Støtteark!$U$6,OR(O132=Støtteark!$B$34,O132 = Støtteark!$B$30))),1,"")</f>
        <v>1</v>
      </c>
      <c r="AL132" s="231">
        <f>IF(OR(AND(E132&lt;&gt;Støtteark!$U$6,N132 = Støtteark!$L$25),N132 = Støtteark!$L$26,N132 = Støtteark!$L$28,AND(N132 = Støtteark!$L$29,O132=Støtteark!$B$34)),1,"")</f>
        <v>1</v>
      </c>
      <c r="AM132" s="231">
        <f>IF(AND(N132 = Støtteark!$L$29,OR(O132=Støtteark!$B$30,O132=Støtteark!$B$32,O132=Støtteark!$B$33,O132=Støtteark!$B$34,O132=Støtteark!$B$35)),Støtteark!$L$32,"")</f>
        <v>801</v>
      </c>
      <c r="AN132" s="235"/>
      <c r="AO132" s="91"/>
      <c r="AP132" s="170">
        <v>0</v>
      </c>
      <c r="AQ132" s="235"/>
      <c r="AR132" s="64">
        <f t="shared" ca="1" si="126"/>
        <v>44022</v>
      </c>
    </row>
    <row r="133" spans="1:44" ht="25.5" hidden="1" x14ac:dyDescent="0.25">
      <c r="A133" s="221" t="str">
        <f t="shared" si="122"/>
        <v>Kundenr.-Ejendom</v>
      </c>
      <c r="B133" s="61" t="str">
        <f>Ydelser!A133&amp;" - "&amp;Ydelser!C133</f>
        <v>904 - Kundespecifik ydelse 4</v>
      </c>
      <c r="C133" s="61" t="str">
        <f>Ydelser!D133</f>
        <v>Beskrivelse.</v>
      </c>
      <c r="D133" s="61" t="b">
        <f>'FS Aftale'!D133</f>
        <v>0</v>
      </c>
      <c r="E133" s="156" t="str">
        <f>'FS Aftale'!E133</f>
        <v>Månedligt</v>
      </c>
      <c r="F133" s="61" t="str">
        <f t="shared" ref="F133:H133" si="129">F132</f>
        <v>Team Ansvarlig</v>
      </c>
      <c r="G133" s="61" t="str">
        <f t="shared" si="129"/>
        <v>Ansvarlig</v>
      </c>
      <c r="H133" s="61" t="str">
        <f t="shared" si="129"/>
        <v>Servicemedarb.</v>
      </c>
      <c r="I133" s="235"/>
      <c r="J133" s="61" t="str">
        <f t="shared" ref="J133:M133" si="130">J132</f>
        <v>Fast</v>
      </c>
      <c r="K133" s="61" t="str">
        <f t="shared" si="130"/>
        <v>FS aftale</v>
      </c>
      <c r="L133" s="188">
        <f t="shared" si="130"/>
        <v>1</v>
      </c>
      <c r="M133" s="157" t="str">
        <f t="shared" si="130"/>
        <v>Mangler planlægning</v>
      </c>
      <c r="N133" s="147" t="str">
        <f>IFERROR(VLOOKUP(O133,Støtteark!$B$21:$F$35,MATCH(E133,Støtteark!$B$21:$F$21,0),0),Støtteark!$L$35)</f>
        <v>Månedligt</v>
      </c>
      <c r="O133" s="62">
        <f>'FS Aftale'!F133</f>
        <v>12</v>
      </c>
      <c r="P133" s="179" t="str">
        <f t="shared" si="125"/>
        <v>7:00</v>
      </c>
      <c r="Q133" s="63">
        <f>'FS Aftale'!G133*Støtteark!$Q$15</f>
        <v>0</v>
      </c>
      <c r="R133" s="235"/>
      <c r="S133" s="231" t="str">
        <f>IF(OR(AND(OR(N133 = Støtteark!$L$25,N133 = Støtteark!$L$26,N133 = Støtteark!$L$28),E133&lt;&gt;Støtteark!$U$6,OR(O133=Støtteark!$B$22,O133=Støtteark!$B$23,O133=Støtteark!$B$24,O133=Støtteark!$B$25,O133=Støtteark!$B$26,O133=Støtteark!$B$27,O133=Støtteark!$B$28)),AND(E133=Støtteark!$U$6,OR(O133=Støtteark!$B$24,O133=Støtteark!$B$27,O133=Støtteark!$B$29))),1,"")</f>
        <v/>
      </c>
      <c r="T133" s="232" t="str">
        <f>IF(OR(AND(N133 = Støtteark!$L$25,E133&lt;&gt;Støtteark!$U$6,O133=Støtteark!$B$22),AND(E133=Støtteark!$U$6,O133=Støtteark!$B$24),O133=Støtteark!$B$22),1,"")</f>
        <v/>
      </c>
      <c r="U133" s="232" t="str">
        <f>IF(OR(AND(N133 = Støtteark!$L$25,E133&lt;&gt;Støtteark!$U$6,OR(O133=Støtteark!$B$22,O133=Støtteark!$B$23,O133=Støtteark!$B$24)),AND(E133=Støtteark!$U$6,OR(O133=Støtteark!$B$22,O133=Støtteark!$B$24))),1,"")</f>
        <v/>
      </c>
      <c r="V133" s="232" t="str">
        <f>IF(OR(AND(N133 = Støtteark!$L$25,E133&lt;&gt;Støtteark!$U$6,O133=Støtteark!$B$22),AND(E133=Støtteark!$U$6,OR(O133=Støtteark!$B$22,O133=Støtteark!$B$24))),1,"")</f>
        <v/>
      </c>
      <c r="W133" s="232" t="str">
        <f>IF(OR(AND(N133 = Støtteark!$L$25,E133&lt;&gt;Støtteark!$U$6,OR(O133=Støtteark!$B$22,O133=Støtteark!$B$23,O133=Støtteark!$B$24,O133=Støtteark!$B$25)),AND(E133=Støtteark!$U$6,OR(O133=Støtteark!$B$22,O133=Støtteark!$B$24))),1,"")</f>
        <v/>
      </c>
      <c r="X133" s="231"/>
      <c r="Y133" s="231"/>
      <c r="Z133" s="235"/>
      <c r="AA133" s="231">
        <f>IF(OR(AND(E133&lt;&gt;Støtteark!$U$6,N133 = Støtteark!$L$25),N133 = Støtteark!$L$26,N133 = Støtteark!$L$28,AND(N133 = Støtteark!$L$29,E133&lt;&gt;Støtteark!$U$6,OR(O133=Støtteark!$B$30,O133=Støtteark!$B$32,O133=Støtteark!$B$33,AND(E133&lt;&gt;Støtteark!$U$6,O133=Støtteark!$B$34),O133=Støtteark!$B$35))),1,"")</f>
        <v>1</v>
      </c>
      <c r="AB133" s="231">
        <f>IF(OR(AND(E133&lt;&gt;Støtteark!$U$6,N133 = Støtteark!$L$25),N133 = Støtteark!$L$26,N133 = Støtteark!$L$28,AND(N133 = Støtteark!$L$29,O133=Støtteark!$B$34)),1,"")</f>
        <v>1</v>
      </c>
      <c r="AC133" s="231">
        <f>IF(OR(AND(E133&lt;&gt;Støtteark!$U$6,N133 = Støtteark!$L$25),N133 = Støtteark!$L$26,N133 = Støtteark!$L$28,AND(N133 = Støtteark!$L$29,E133&lt;&gt;Støtteark!$U$6,OR(O133=Støtteark!$B$30,O133 = Støtteark!$B$34))),1,"")</f>
        <v>1</v>
      </c>
      <c r="AD133" s="232">
        <f>IF(OR(N133 = Støtteark!$L$25,N133 = Støtteark!$L$26,N133 = Støtteark!$L$28,AND(N133 = Støtteark!$L$29,OR(O133=Støtteark!$B$34,O133=Støtteark!$B$35)),AND(E133=Støtteark!$U$6,OR(O133=Støtteark!$B$29,O133=Støtteark!$B$30,O133=Støtteark!$B$32,O133=Støtteark!$B$33))),1,"")</f>
        <v>1</v>
      </c>
      <c r="AE133" s="231">
        <f>IF(OR(N133 = Støtteark!$L$25,N133 = Støtteark!$L$26,N133 = Støtteark!$L$28,AND(N133 = Støtteark!$L$29,OR(O133=Støtteark!$B$34,O133 = Støtteark!$B$30)),AND(E133=Støtteark!$U$6,O133=Støtteark!$B$29)),1,"")</f>
        <v>1</v>
      </c>
      <c r="AF133" s="231">
        <f>IF(OR(N133 = Støtteark!$L$25,N133 = Støtteark!$L$26,N133 = Støtteark!$L$28,AND(N133 = Støtteark!$L$29,O133=Støtteark!$B$34),AND(E133=Støtteark!$U$6,O133=Støtteark!$B$30),AND(E133=Støtteark!$U$6,O133=Støtteark!$B$29)),1,"")</f>
        <v>1</v>
      </c>
      <c r="AG133" s="231">
        <f>IF(OR(N133 = Støtteark!$L$25,N133 = Støtteark!$L$26,N133 = Støtteark!$L$28,AND(N133 = Støtteark!$L$29,OR(O133=Støtteark!$B$30,O133 = Støtteark!$B$31,O133=Støtteark!$B$32,O133=Støtteark!$B$34)),AND(E133=Støtteark!$U$6,OR(O133=Støtteark!$B$29,O133=Støtteark!$B$31))),1,"")</f>
        <v>1</v>
      </c>
      <c r="AH133" s="231">
        <f>IF(OR(N133 = Støtteark!$L$25,N133 = Støtteark!$L$26,N133 = Støtteark!$L$28,AND(N133 = Støtteark!$L$29,O133=Støtteark!$B$34),AND(E133=Støtteark!$U$6,OR(O133=Støtteark!$B$29,O133=Støtteark!$B$30))),1,"")</f>
        <v>1</v>
      </c>
      <c r="AI133" s="231">
        <f>IF(OR(N133 = Støtteark!$L$25,N133 = Støtteark!$L$26,N133 = Støtteark!$L$28,AND(N133 = Støtteark!$L$29,OR(O133=Støtteark!$B$34,O133 = Støtteark!$B$30)),AND(E133=Støtteark!$U$6,OR(O133=Støtteark!$B$29,O133=Støtteark!$B$30))),1,"")</f>
        <v>1</v>
      </c>
      <c r="AJ133" s="231">
        <f>IF(OR(AND(E133&lt;&gt;Støtteark!$U$6,N133 = Støtteark!$L$25),N133 = Støtteark!$L$26,N133 = Støtteark!$L$28,AND(N133 = Støtteark!$L$29,OR(O133=Støtteark!$B$34,O133=Støtteark!$B$35),O133&lt;&gt;Støtteark!$B$30)),1,"")</f>
        <v>1</v>
      </c>
      <c r="AK133" s="231">
        <f>IF(OR(AND(E133&lt;&gt;Støtteark!$U$6,N133 = Støtteark!$L$25),N133 = Støtteark!$L$26,N133 = Støtteark!$L$28,AND(N133 = Støtteark!$L$29,E133&lt;&gt;Støtteark!$U$6,OR(O133=Støtteark!$B$34,O133 = Støtteark!$B$30))),1,"")</f>
        <v>1</v>
      </c>
      <c r="AL133" s="231">
        <f>IF(OR(AND(E133&lt;&gt;Støtteark!$U$6,N133 = Støtteark!$L$25),N133 = Støtteark!$L$26,N133 = Støtteark!$L$28,AND(N133 = Støtteark!$L$29,O133=Støtteark!$B$34)),1,"")</f>
        <v>1</v>
      </c>
      <c r="AM133" s="231">
        <f>IF(AND(N133 = Støtteark!$L$29,OR(O133=Støtteark!$B$30,O133=Støtteark!$B$32,O133=Støtteark!$B$33,O133=Støtteark!$B$34,O133=Støtteark!$B$35)),Støtteark!$L$32,"")</f>
        <v>801</v>
      </c>
      <c r="AN133" s="235"/>
      <c r="AO133" s="91"/>
      <c r="AP133" s="170">
        <v>0</v>
      </c>
      <c r="AQ133" s="235"/>
      <c r="AR133" s="64">
        <f t="shared" ca="1" si="126"/>
        <v>44022</v>
      </c>
    </row>
    <row r="134" spans="1:44" ht="25.5" hidden="1" x14ac:dyDescent="0.25">
      <c r="A134" s="221" t="str">
        <f t="shared" si="122"/>
        <v>Kundenr.-Ejendom</v>
      </c>
      <c r="B134" s="61" t="str">
        <f>Ydelser!A134&amp;" - "&amp;Ydelser!C134</f>
        <v>905 - Kundespecifik ydelse 5</v>
      </c>
      <c r="C134" s="61" t="str">
        <f>Ydelser!D134</f>
        <v>Beskrivelse.</v>
      </c>
      <c r="D134" s="61" t="b">
        <f>'FS Aftale'!D134</f>
        <v>0</v>
      </c>
      <c r="E134" s="156" t="str">
        <f>'FS Aftale'!E134</f>
        <v>Månedligt</v>
      </c>
      <c r="F134" s="61" t="str">
        <f t="shared" ref="F134:H134" si="131">F133</f>
        <v>Team Ansvarlig</v>
      </c>
      <c r="G134" s="61" t="str">
        <f t="shared" si="131"/>
        <v>Ansvarlig</v>
      </c>
      <c r="H134" s="61" t="str">
        <f t="shared" si="131"/>
        <v>Servicemedarb.</v>
      </c>
      <c r="I134" s="235"/>
      <c r="J134" s="61" t="str">
        <f t="shared" ref="J134:M134" si="132">J133</f>
        <v>Fast</v>
      </c>
      <c r="K134" s="61" t="str">
        <f t="shared" si="132"/>
        <v>FS aftale</v>
      </c>
      <c r="L134" s="188">
        <f t="shared" si="132"/>
        <v>1</v>
      </c>
      <c r="M134" s="157" t="str">
        <f t="shared" si="132"/>
        <v>Mangler planlægning</v>
      </c>
      <c r="N134" s="147" t="str">
        <f>IFERROR(VLOOKUP(O134,Støtteark!$B$21:$F$35,MATCH(E134,Støtteark!$B$21:$F$21,0),0),Støtteark!$L$35)</f>
        <v>Månedligt</v>
      </c>
      <c r="O134" s="62">
        <f>'FS Aftale'!F134</f>
        <v>12</v>
      </c>
      <c r="P134" s="179" t="str">
        <f t="shared" si="125"/>
        <v>7:00</v>
      </c>
      <c r="Q134" s="63">
        <f>'FS Aftale'!G134*Støtteark!$Q$15</f>
        <v>0</v>
      </c>
      <c r="R134" s="235"/>
      <c r="S134" s="231" t="str">
        <f>IF(OR(AND(OR(N134 = Støtteark!$L$25,N134 = Støtteark!$L$26,N134 = Støtteark!$L$28),E134&lt;&gt;Støtteark!$U$6,OR(O134=Støtteark!$B$22,O134=Støtteark!$B$23,O134=Støtteark!$B$24,O134=Støtteark!$B$25,O134=Støtteark!$B$26,O134=Støtteark!$B$27,O134=Støtteark!$B$28)),AND(E134=Støtteark!$U$6,OR(O134=Støtteark!$B$24,O134=Støtteark!$B$27,O134=Støtteark!$B$29))),1,"")</f>
        <v/>
      </c>
      <c r="T134" s="232" t="str">
        <f>IF(OR(AND(N134 = Støtteark!$L$25,E134&lt;&gt;Støtteark!$U$6,O134=Støtteark!$B$22),AND(E134=Støtteark!$U$6,O134=Støtteark!$B$24),O134=Støtteark!$B$22),1,"")</f>
        <v/>
      </c>
      <c r="U134" s="232" t="str">
        <f>IF(OR(AND(N134 = Støtteark!$L$25,E134&lt;&gt;Støtteark!$U$6,OR(O134=Støtteark!$B$22,O134=Støtteark!$B$23,O134=Støtteark!$B$24)),AND(E134=Støtteark!$U$6,OR(O134=Støtteark!$B$22,O134=Støtteark!$B$24))),1,"")</f>
        <v/>
      </c>
      <c r="V134" s="232" t="str">
        <f>IF(OR(AND(N134 = Støtteark!$L$25,E134&lt;&gt;Støtteark!$U$6,O134=Støtteark!$B$22),AND(E134=Støtteark!$U$6,OR(O134=Støtteark!$B$22,O134=Støtteark!$B$24))),1,"")</f>
        <v/>
      </c>
      <c r="W134" s="232" t="str">
        <f>IF(OR(AND(N134 = Støtteark!$L$25,E134&lt;&gt;Støtteark!$U$6,OR(O134=Støtteark!$B$22,O134=Støtteark!$B$23,O134=Støtteark!$B$24,O134=Støtteark!$B$25)),AND(E134=Støtteark!$U$6,OR(O134=Støtteark!$B$22,O134=Støtteark!$B$24))),1,"")</f>
        <v/>
      </c>
      <c r="X134" s="231"/>
      <c r="Y134" s="231"/>
      <c r="Z134" s="235"/>
      <c r="AA134" s="231">
        <f>IF(OR(AND(E134&lt;&gt;Støtteark!$U$6,N134 = Støtteark!$L$25),N134 = Støtteark!$L$26,N134 = Støtteark!$L$28,AND(N134 = Støtteark!$L$29,E134&lt;&gt;Støtteark!$U$6,OR(O134=Støtteark!$B$30,O134=Støtteark!$B$32,O134=Støtteark!$B$33,AND(E134&lt;&gt;Støtteark!$U$6,O134=Støtteark!$B$34),O134=Støtteark!$B$35))),1,"")</f>
        <v>1</v>
      </c>
      <c r="AB134" s="231">
        <f>IF(OR(AND(E134&lt;&gt;Støtteark!$U$6,N134 = Støtteark!$L$25),N134 = Støtteark!$L$26,N134 = Støtteark!$L$28,AND(N134 = Støtteark!$L$29,O134=Støtteark!$B$34)),1,"")</f>
        <v>1</v>
      </c>
      <c r="AC134" s="231">
        <f>IF(OR(AND(E134&lt;&gt;Støtteark!$U$6,N134 = Støtteark!$L$25),N134 = Støtteark!$L$26,N134 = Støtteark!$L$28,AND(N134 = Støtteark!$L$29,E134&lt;&gt;Støtteark!$U$6,OR(O134=Støtteark!$B$30,O134 = Støtteark!$B$34))),1,"")</f>
        <v>1</v>
      </c>
      <c r="AD134" s="232">
        <f>IF(OR(N134 = Støtteark!$L$25,N134 = Støtteark!$L$26,N134 = Støtteark!$L$28,AND(N134 = Støtteark!$L$29,OR(O134=Støtteark!$B$34,O134=Støtteark!$B$35)),AND(E134=Støtteark!$U$6,OR(O134=Støtteark!$B$29,O134=Støtteark!$B$30,O134=Støtteark!$B$32,O134=Støtteark!$B$33))),1,"")</f>
        <v>1</v>
      </c>
      <c r="AE134" s="231">
        <f>IF(OR(N134 = Støtteark!$L$25,N134 = Støtteark!$L$26,N134 = Støtteark!$L$28,AND(N134 = Støtteark!$L$29,OR(O134=Støtteark!$B$34,O134 = Støtteark!$B$30)),AND(E134=Støtteark!$U$6,O134=Støtteark!$B$29)),1,"")</f>
        <v>1</v>
      </c>
      <c r="AF134" s="231">
        <f>IF(OR(N134 = Støtteark!$L$25,N134 = Støtteark!$L$26,N134 = Støtteark!$L$28,AND(N134 = Støtteark!$L$29,O134=Støtteark!$B$34),AND(E134=Støtteark!$U$6,O134=Støtteark!$B$30),AND(E134=Støtteark!$U$6,O134=Støtteark!$B$29)),1,"")</f>
        <v>1</v>
      </c>
      <c r="AG134" s="231">
        <f>IF(OR(N134 = Støtteark!$L$25,N134 = Støtteark!$L$26,N134 = Støtteark!$L$28,AND(N134 = Støtteark!$L$29,OR(O134=Støtteark!$B$30,O134 = Støtteark!$B$31,O134=Støtteark!$B$32,O134=Støtteark!$B$34)),AND(E134=Støtteark!$U$6,OR(O134=Støtteark!$B$29,O134=Støtteark!$B$31))),1,"")</f>
        <v>1</v>
      </c>
      <c r="AH134" s="231">
        <f>IF(OR(N134 = Støtteark!$L$25,N134 = Støtteark!$L$26,N134 = Støtteark!$L$28,AND(N134 = Støtteark!$L$29,O134=Støtteark!$B$34),AND(E134=Støtteark!$U$6,OR(O134=Støtteark!$B$29,O134=Støtteark!$B$30))),1,"")</f>
        <v>1</v>
      </c>
      <c r="AI134" s="231">
        <f>IF(OR(N134 = Støtteark!$L$25,N134 = Støtteark!$L$26,N134 = Støtteark!$L$28,AND(N134 = Støtteark!$L$29,OR(O134=Støtteark!$B$34,O134 = Støtteark!$B$30)),AND(E134=Støtteark!$U$6,OR(O134=Støtteark!$B$29,O134=Støtteark!$B$30))),1,"")</f>
        <v>1</v>
      </c>
      <c r="AJ134" s="231">
        <f>IF(OR(AND(E134&lt;&gt;Støtteark!$U$6,N134 = Støtteark!$L$25),N134 = Støtteark!$L$26,N134 = Støtteark!$L$28,AND(N134 = Støtteark!$L$29,OR(O134=Støtteark!$B$34,O134=Støtteark!$B$35),O134&lt;&gt;Støtteark!$B$30)),1,"")</f>
        <v>1</v>
      </c>
      <c r="AK134" s="231">
        <f>IF(OR(AND(E134&lt;&gt;Støtteark!$U$6,N134 = Støtteark!$L$25),N134 = Støtteark!$L$26,N134 = Støtteark!$L$28,AND(N134 = Støtteark!$L$29,E134&lt;&gt;Støtteark!$U$6,OR(O134=Støtteark!$B$34,O134 = Støtteark!$B$30))),1,"")</f>
        <v>1</v>
      </c>
      <c r="AL134" s="231">
        <f>IF(OR(AND(E134&lt;&gt;Støtteark!$U$6,N134 = Støtteark!$L$25),N134 = Støtteark!$L$26,N134 = Støtteark!$L$28,AND(N134 = Støtteark!$L$29,O134=Støtteark!$B$34)),1,"")</f>
        <v>1</v>
      </c>
      <c r="AM134" s="231">
        <f>IF(AND(N134 = Støtteark!$L$29,OR(O134=Støtteark!$B$30,O134=Støtteark!$B$32,O134=Støtteark!$B$33,O134=Støtteark!$B$34,O134=Støtteark!$B$35)),Støtteark!$L$32,"")</f>
        <v>801</v>
      </c>
      <c r="AN134" s="235"/>
      <c r="AO134" s="91"/>
      <c r="AP134" s="170">
        <v>0</v>
      </c>
      <c r="AQ134" s="235"/>
      <c r="AR134" s="64">
        <f t="shared" ca="1" si="126"/>
        <v>44022</v>
      </c>
    </row>
    <row r="135" spans="1:44" ht="25.5" hidden="1" x14ac:dyDescent="0.25">
      <c r="A135" s="221" t="str">
        <f t="shared" si="122"/>
        <v>Kundenr.-Ejendom</v>
      </c>
      <c r="B135" s="61" t="str">
        <f>Ydelser!A135&amp;" - "&amp;Ydelser!C135</f>
        <v>906 - Kundespecifik ydelse 6</v>
      </c>
      <c r="C135" s="61" t="str">
        <f>Ydelser!D135</f>
        <v>Beskrivelse.</v>
      </c>
      <c r="D135" s="61" t="b">
        <f>'FS Aftale'!D135</f>
        <v>0</v>
      </c>
      <c r="E135" s="156" t="str">
        <f>'FS Aftale'!E135</f>
        <v>Månedligt</v>
      </c>
      <c r="F135" s="61" t="str">
        <f t="shared" ref="F135:H135" si="133">F134</f>
        <v>Team Ansvarlig</v>
      </c>
      <c r="G135" s="61" t="str">
        <f t="shared" si="133"/>
        <v>Ansvarlig</v>
      </c>
      <c r="H135" s="61" t="str">
        <f t="shared" si="133"/>
        <v>Servicemedarb.</v>
      </c>
      <c r="I135" s="235"/>
      <c r="J135" s="61" t="str">
        <f t="shared" ref="J135:M135" si="134">J134</f>
        <v>Fast</v>
      </c>
      <c r="K135" s="61" t="str">
        <f t="shared" si="134"/>
        <v>FS aftale</v>
      </c>
      <c r="L135" s="188">
        <f t="shared" si="134"/>
        <v>1</v>
      </c>
      <c r="M135" s="157" t="str">
        <f t="shared" si="134"/>
        <v>Mangler planlægning</v>
      </c>
      <c r="N135" s="147" t="str">
        <f>IFERROR(VLOOKUP(O135,Støtteark!$B$21:$F$35,MATCH(E135,Støtteark!$B$21:$F$21,0),0),Støtteark!$L$35)</f>
        <v>Månedligt</v>
      </c>
      <c r="O135" s="62">
        <f>'FS Aftale'!F135</f>
        <v>12</v>
      </c>
      <c r="P135" s="179" t="str">
        <f t="shared" si="125"/>
        <v>7:00</v>
      </c>
      <c r="Q135" s="63">
        <f>'FS Aftale'!G135*Støtteark!$Q$15</f>
        <v>0</v>
      </c>
      <c r="R135" s="235"/>
      <c r="S135" s="231" t="str">
        <f>IF(OR(AND(OR(N135 = Støtteark!$L$25,N135 = Støtteark!$L$26,N135 = Støtteark!$L$28),E135&lt;&gt;Støtteark!$U$6,OR(O135=Støtteark!$B$22,O135=Støtteark!$B$23,O135=Støtteark!$B$24,O135=Støtteark!$B$25,O135=Støtteark!$B$26,O135=Støtteark!$B$27,O135=Støtteark!$B$28)),AND(E135=Støtteark!$U$6,OR(O135=Støtteark!$B$24,O135=Støtteark!$B$27,O135=Støtteark!$B$29))),1,"")</f>
        <v/>
      </c>
      <c r="T135" s="232" t="str">
        <f>IF(OR(AND(N135 = Støtteark!$L$25,E135&lt;&gt;Støtteark!$U$6,O135=Støtteark!$B$22),AND(E135=Støtteark!$U$6,O135=Støtteark!$B$24),O135=Støtteark!$B$22),1,"")</f>
        <v/>
      </c>
      <c r="U135" s="232" t="str">
        <f>IF(OR(AND(N135 = Støtteark!$L$25,E135&lt;&gt;Støtteark!$U$6,OR(O135=Støtteark!$B$22,O135=Støtteark!$B$23,O135=Støtteark!$B$24)),AND(E135=Støtteark!$U$6,OR(O135=Støtteark!$B$22,O135=Støtteark!$B$24))),1,"")</f>
        <v/>
      </c>
      <c r="V135" s="232" t="str">
        <f>IF(OR(AND(N135 = Støtteark!$L$25,E135&lt;&gt;Støtteark!$U$6,O135=Støtteark!$B$22),AND(E135=Støtteark!$U$6,OR(O135=Støtteark!$B$22,O135=Støtteark!$B$24))),1,"")</f>
        <v/>
      </c>
      <c r="W135" s="232" t="str">
        <f>IF(OR(AND(N135 = Støtteark!$L$25,E135&lt;&gt;Støtteark!$U$6,OR(O135=Støtteark!$B$22,O135=Støtteark!$B$23,O135=Støtteark!$B$24,O135=Støtteark!$B$25)),AND(E135=Støtteark!$U$6,OR(O135=Støtteark!$B$22,O135=Støtteark!$B$24))),1,"")</f>
        <v/>
      </c>
      <c r="X135" s="231"/>
      <c r="Y135" s="231"/>
      <c r="Z135" s="235"/>
      <c r="AA135" s="231">
        <f>IF(OR(AND(E135&lt;&gt;Støtteark!$U$6,N135 = Støtteark!$L$25),N135 = Støtteark!$L$26,N135 = Støtteark!$L$28,AND(N135 = Støtteark!$L$29,E135&lt;&gt;Støtteark!$U$6,OR(O135=Støtteark!$B$30,O135=Støtteark!$B$32,O135=Støtteark!$B$33,AND(E135&lt;&gt;Støtteark!$U$6,O135=Støtteark!$B$34),O135=Støtteark!$B$35))),1,"")</f>
        <v>1</v>
      </c>
      <c r="AB135" s="231">
        <f>IF(OR(AND(E135&lt;&gt;Støtteark!$U$6,N135 = Støtteark!$L$25),N135 = Støtteark!$L$26,N135 = Støtteark!$L$28,AND(N135 = Støtteark!$L$29,O135=Støtteark!$B$34)),1,"")</f>
        <v>1</v>
      </c>
      <c r="AC135" s="231">
        <f>IF(OR(AND(E135&lt;&gt;Støtteark!$U$6,N135 = Støtteark!$L$25),N135 = Støtteark!$L$26,N135 = Støtteark!$L$28,AND(N135 = Støtteark!$L$29,E135&lt;&gt;Støtteark!$U$6,OR(O135=Støtteark!$B$30,O135 = Støtteark!$B$34))),1,"")</f>
        <v>1</v>
      </c>
      <c r="AD135" s="232">
        <f>IF(OR(N135 = Støtteark!$L$25,N135 = Støtteark!$L$26,N135 = Støtteark!$L$28,AND(N135 = Støtteark!$L$29,OR(O135=Støtteark!$B$34,O135=Støtteark!$B$35)),AND(E135=Støtteark!$U$6,OR(O135=Støtteark!$B$29,O135=Støtteark!$B$30,O135=Støtteark!$B$32,O135=Støtteark!$B$33))),1,"")</f>
        <v>1</v>
      </c>
      <c r="AE135" s="231">
        <f>IF(OR(N135 = Støtteark!$L$25,N135 = Støtteark!$L$26,N135 = Støtteark!$L$28,AND(N135 = Støtteark!$L$29,OR(O135=Støtteark!$B$34,O135 = Støtteark!$B$30)),AND(E135=Støtteark!$U$6,O135=Støtteark!$B$29)),1,"")</f>
        <v>1</v>
      </c>
      <c r="AF135" s="231">
        <f>IF(OR(N135 = Støtteark!$L$25,N135 = Støtteark!$L$26,N135 = Støtteark!$L$28,AND(N135 = Støtteark!$L$29,O135=Støtteark!$B$34),AND(E135=Støtteark!$U$6,O135=Støtteark!$B$30),AND(E135=Støtteark!$U$6,O135=Støtteark!$B$29)),1,"")</f>
        <v>1</v>
      </c>
      <c r="AG135" s="231">
        <f>IF(OR(N135 = Støtteark!$L$25,N135 = Støtteark!$L$26,N135 = Støtteark!$L$28,AND(N135 = Støtteark!$L$29,OR(O135=Støtteark!$B$30,O135 = Støtteark!$B$31,O135=Støtteark!$B$32,O135=Støtteark!$B$34)),AND(E135=Støtteark!$U$6,OR(O135=Støtteark!$B$29,O135=Støtteark!$B$31))),1,"")</f>
        <v>1</v>
      </c>
      <c r="AH135" s="231">
        <f>IF(OR(N135 = Støtteark!$L$25,N135 = Støtteark!$L$26,N135 = Støtteark!$L$28,AND(N135 = Støtteark!$L$29,O135=Støtteark!$B$34),AND(E135=Støtteark!$U$6,OR(O135=Støtteark!$B$29,O135=Støtteark!$B$30))),1,"")</f>
        <v>1</v>
      </c>
      <c r="AI135" s="231">
        <f>IF(OR(N135 = Støtteark!$L$25,N135 = Støtteark!$L$26,N135 = Støtteark!$L$28,AND(N135 = Støtteark!$L$29,OR(O135=Støtteark!$B$34,O135 = Støtteark!$B$30)),AND(E135=Støtteark!$U$6,OR(O135=Støtteark!$B$29,O135=Støtteark!$B$30))),1,"")</f>
        <v>1</v>
      </c>
      <c r="AJ135" s="231">
        <f>IF(OR(AND(E135&lt;&gt;Støtteark!$U$6,N135 = Støtteark!$L$25),N135 = Støtteark!$L$26,N135 = Støtteark!$L$28,AND(N135 = Støtteark!$L$29,OR(O135=Støtteark!$B$34,O135=Støtteark!$B$35),O135&lt;&gt;Støtteark!$B$30)),1,"")</f>
        <v>1</v>
      </c>
      <c r="AK135" s="231">
        <f>IF(OR(AND(E135&lt;&gt;Støtteark!$U$6,N135 = Støtteark!$L$25),N135 = Støtteark!$L$26,N135 = Støtteark!$L$28,AND(N135 = Støtteark!$L$29,E135&lt;&gt;Støtteark!$U$6,OR(O135=Støtteark!$B$34,O135 = Støtteark!$B$30))),1,"")</f>
        <v>1</v>
      </c>
      <c r="AL135" s="231">
        <f>IF(OR(AND(E135&lt;&gt;Støtteark!$U$6,N135 = Støtteark!$L$25),N135 = Støtteark!$L$26,N135 = Støtteark!$L$28,AND(N135 = Støtteark!$L$29,O135=Støtteark!$B$34)),1,"")</f>
        <v>1</v>
      </c>
      <c r="AM135" s="231">
        <f>IF(AND(N135 = Støtteark!$L$29,OR(O135=Støtteark!$B$30,O135=Støtteark!$B$32,O135=Støtteark!$B$33,O135=Støtteark!$B$34,O135=Støtteark!$B$35)),Støtteark!$L$32,"")</f>
        <v>801</v>
      </c>
      <c r="AN135" s="235"/>
      <c r="AO135" s="91"/>
      <c r="AP135" s="170">
        <v>0</v>
      </c>
      <c r="AQ135" s="235"/>
      <c r="AR135" s="64">
        <f t="shared" ca="1" si="126"/>
        <v>44022</v>
      </c>
    </row>
    <row r="136" spans="1:44" ht="25.5" hidden="1" x14ac:dyDescent="0.25">
      <c r="A136" s="221" t="str">
        <f t="shared" si="122"/>
        <v>Kundenr.-Ejendom</v>
      </c>
      <c r="B136" s="61" t="str">
        <f>Ydelser!A136&amp;" - "&amp;Ydelser!C136</f>
        <v>907 - Kundespecifik ydelse 7</v>
      </c>
      <c r="C136" s="61" t="str">
        <f>Ydelser!D136</f>
        <v>Beskrivelse.</v>
      </c>
      <c r="D136" s="61" t="b">
        <f>'FS Aftale'!D136</f>
        <v>0</v>
      </c>
      <c r="E136" s="156" t="str">
        <f>'FS Aftale'!E136</f>
        <v>Månedligt</v>
      </c>
      <c r="F136" s="61" t="str">
        <f t="shared" ref="F136:H136" si="135">F135</f>
        <v>Team Ansvarlig</v>
      </c>
      <c r="G136" s="61" t="str">
        <f t="shared" si="135"/>
        <v>Ansvarlig</v>
      </c>
      <c r="H136" s="61" t="str">
        <f t="shared" si="135"/>
        <v>Servicemedarb.</v>
      </c>
      <c r="I136" s="235"/>
      <c r="J136" s="61" t="str">
        <f t="shared" ref="J136:M136" si="136">J135</f>
        <v>Fast</v>
      </c>
      <c r="K136" s="61" t="str">
        <f t="shared" si="136"/>
        <v>FS aftale</v>
      </c>
      <c r="L136" s="188">
        <f t="shared" si="136"/>
        <v>1</v>
      </c>
      <c r="M136" s="157" t="str">
        <f t="shared" si="136"/>
        <v>Mangler planlægning</v>
      </c>
      <c r="N136" s="147" t="str">
        <f>IFERROR(VLOOKUP(O136,Støtteark!$B$21:$F$35,MATCH(E136,Støtteark!$B$21:$F$21,0),0),Støtteark!$L$35)</f>
        <v>Månedligt</v>
      </c>
      <c r="O136" s="62">
        <f>'FS Aftale'!F136</f>
        <v>12</v>
      </c>
      <c r="P136" s="179" t="str">
        <f t="shared" si="125"/>
        <v>7:00</v>
      </c>
      <c r="Q136" s="63">
        <f>'FS Aftale'!G136*Støtteark!$Q$15</f>
        <v>0</v>
      </c>
      <c r="R136" s="235"/>
      <c r="S136" s="231" t="str">
        <f>IF(OR(AND(OR(N136 = Støtteark!$L$25,N136 = Støtteark!$L$26,N136 = Støtteark!$L$28),E136&lt;&gt;Støtteark!$U$6,OR(O136=Støtteark!$B$22,O136=Støtteark!$B$23,O136=Støtteark!$B$24,O136=Støtteark!$B$25,O136=Støtteark!$B$26,O136=Støtteark!$B$27,O136=Støtteark!$B$28)),AND(E136=Støtteark!$U$6,OR(O136=Støtteark!$B$24,O136=Støtteark!$B$27,O136=Støtteark!$B$29))),1,"")</f>
        <v/>
      </c>
      <c r="T136" s="232" t="str">
        <f>IF(OR(AND(N136 = Støtteark!$L$25,E136&lt;&gt;Støtteark!$U$6,O136=Støtteark!$B$22),AND(E136=Støtteark!$U$6,O136=Støtteark!$B$24),O136=Støtteark!$B$22),1,"")</f>
        <v/>
      </c>
      <c r="U136" s="232" t="str">
        <f>IF(OR(AND(N136 = Støtteark!$L$25,E136&lt;&gt;Støtteark!$U$6,OR(O136=Støtteark!$B$22,O136=Støtteark!$B$23,O136=Støtteark!$B$24)),AND(E136=Støtteark!$U$6,OR(O136=Støtteark!$B$22,O136=Støtteark!$B$24))),1,"")</f>
        <v/>
      </c>
      <c r="V136" s="232" t="str">
        <f>IF(OR(AND(N136 = Støtteark!$L$25,E136&lt;&gt;Støtteark!$U$6,O136=Støtteark!$B$22),AND(E136=Støtteark!$U$6,OR(O136=Støtteark!$B$22,O136=Støtteark!$B$24))),1,"")</f>
        <v/>
      </c>
      <c r="W136" s="232" t="str">
        <f>IF(OR(AND(N136 = Støtteark!$L$25,E136&lt;&gt;Støtteark!$U$6,OR(O136=Støtteark!$B$22,O136=Støtteark!$B$23,O136=Støtteark!$B$24,O136=Støtteark!$B$25)),AND(E136=Støtteark!$U$6,OR(O136=Støtteark!$B$22,O136=Støtteark!$B$24))),1,"")</f>
        <v/>
      </c>
      <c r="X136" s="231"/>
      <c r="Y136" s="231"/>
      <c r="Z136" s="235"/>
      <c r="AA136" s="231">
        <f>IF(OR(AND(E136&lt;&gt;Støtteark!$U$6,N136 = Støtteark!$L$25),N136 = Støtteark!$L$26,N136 = Støtteark!$L$28,AND(N136 = Støtteark!$L$29,E136&lt;&gt;Støtteark!$U$6,OR(O136=Støtteark!$B$30,O136=Støtteark!$B$32,O136=Støtteark!$B$33,AND(E136&lt;&gt;Støtteark!$U$6,O136=Støtteark!$B$34),O136=Støtteark!$B$35))),1,"")</f>
        <v>1</v>
      </c>
      <c r="AB136" s="231">
        <f>IF(OR(AND(E136&lt;&gt;Støtteark!$U$6,N136 = Støtteark!$L$25),N136 = Støtteark!$L$26,N136 = Støtteark!$L$28,AND(N136 = Støtteark!$L$29,O136=Støtteark!$B$34)),1,"")</f>
        <v>1</v>
      </c>
      <c r="AC136" s="231">
        <f>IF(OR(AND(E136&lt;&gt;Støtteark!$U$6,N136 = Støtteark!$L$25),N136 = Støtteark!$L$26,N136 = Støtteark!$L$28,AND(N136 = Støtteark!$L$29,E136&lt;&gt;Støtteark!$U$6,OR(O136=Støtteark!$B$30,O136 = Støtteark!$B$34))),1,"")</f>
        <v>1</v>
      </c>
      <c r="AD136" s="232">
        <f>IF(OR(N136 = Støtteark!$L$25,N136 = Støtteark!$L$26,N136 = Støtteark!$L$28,AND(N136 = Støtteark!$L$29,OR(O136=Støtteark!$B$34,O136=Støtteark!$B$35)),AND(E136=Støtteark!$U$6,OR(O136=Støtteark!$B$29,O136=Støtteark!$B$30,O136=Støtteark!$B$32,O136=Støtteark!$B$33))),1,"")</f>
        <v>1</v>
      </c>
      <c r="AE136" s="231">
        <f>IF(OR(N136 = Støtteark!$L$25,N136 = Støtteark!$L$26,N136 = Støtteark!$L$28,AND(N136 = Støtteark!$L$29,OR(O136=Støtteark!$B$34,O136 = Støtteark!$B$30)),AND(E136=Støtteark!$U$6,O136=Støtteark!$B$29)),1,"")</f>
        <v>1</v>
      </c>
      <c r="AF136" s="231">
        <f>IF(OR(N136 = Støtteark!$L$25,N136 = Støtteark!$L$26,N136 = Støtteark!$L$28,AND(N136 = Støtteark!$L$29,O136=Støtteark!$B$34),AND(E136=Støtteark!$U$6,O136=Støtteark!$B$30),AND(E136=Støtteark!$U$6,O136=Støtteark!$B$29)),1,"")</f>
        <v>1</v>
      </c>
      <c r="AG136" s="231">
        <f>IF(OR(N136 = Støtteark!$L$25,N136 = Støtteark!$L$26,N136 = Støtteark!$L$28,AND(N136 = Støtteark!$L$29,OR(O136=Støtteark!$B$30,O136 = Støtteark!$B$31,O136=Støtteark!$B$32,O136=Støtteark!$B$34)),AND(E136=Støtteark!$U$6,OR(O136=Støtteark!$B$29,O136=Støtteark!$B$31))),1,"")</f>
        <v>1</v>
      </c>
      <c r="AH136" s="231">
        <f>IF(OR(N136 = Støtteark!$L$25,N136 = Støtteark!$L$26,N136 = Støtteark!$L$28,AND(N136 = Støtteark!$L$29,O136=Støtteark!$B$34),AND(E136=Støtteark!$U$6,OR(O136=Støtteark!$B$29,O136=Støtteark!$B$30))),1,"")</f>
        <v>1</v>
      </c>
      <c r="AI136" s="231">
        <f>IF(OR(N136 = Støtteark!$L$25,N136 = Støtteark!$L$26,N136 = Støtteark!$L$28,AND(N136 = Støtteark!$L$29,OR(O136=Støtteark!$B$34,O136 = Støtteark!$B$30)),AND(E136=Støtteark!$U$6,OR(O136=Støtteark!$B$29,O136=Støtteark!$B$30))),1,"")</f>
        <v>1</v>
      </c>
      <c r="AJ136" s="231">
        <f>IF(OR(AND(E136&lt;&gt;Støtteark!$U$6,N136 = Støtteark!$L$25),N136 = Støtteark!$L$26,N136 = Støtteark!$L$28,AND(N136 = Støtteark!$L$29,OR(O136=Støtteark!$B$34,O136=Støtteark!$B$35),O136&lt;&gt;Støtteark!$B$30)),1,"")</f>
        <v>1</v>
      </c>
      <c r="AK136" s="231">
        <f>IF(OR(AND(E136&lt;&gt;Støtteark!$U$6,N136 = Støtteark!$L$25),N136 = Støtteark!$L$26,N136 = Støtteark!$L$28,AND(N136 = Støtteark!$L$29,E136&lt;&gt;Støtteark!$U$6,OR(O136=Støtteark!$B$34,O136 = Støtteark!$B$30))),1,"")</f>
        <v>1</v>
      </c>
      <c r="AL136" s="231">
        <f>IF(OR(AND(E136&lt;&gt;Støtteark!$U$6,N136 = Støtteark!$L$25),N136 = Støtteark!$L$26,N136 = Støtteark!$L$28,AND(N136 = Støtteark!$L$29,O136=Støtteark!$B$34)),1,"")</f>
        <v>1</v>
      </c>
      <c r="AM136" s="231">
        <f>IF(AND(N136 = Støtteark!$L$29,OR(O136=Støtteark!$B$30,O136=Støtteark!$B$32,O136=Støtteark!$B$33,O136=Støtteark!$B$34,O136=Støtteark!$B$35)),Støtteark!$L$32,"")</f>
        <v>801</v>
      </c>
      <c r="AN136" s="235"/>
      <c r="AO136" s="91"/>
      <c r="AP136" s="170">
        <v>0</v>
      </c>
      <c r="AQ136" s="235"/>
      <c r="AR136" s="64">
        <f t="shared" ca="1" si="126"/>
        <v>44022</v>
      </c>
    </row>
    <row r="137" spans="1:44" ht="25.5" hidden="1" x14ac:dyDescent="0.25">
      <c r="A137" s="221" t="str">
        <f t="shared" si="122"/>
        <v>Kundenr.-Ejendom</v>
      </c>
      <c r="B137" s="61" t="str">
        <f>Ydelser!A137&amp;" - "&amp;Ydelser!C137</f>
        <v>908 - Kundespecifik ydelse 8</v>
      </c>
      <c r="C137" s="61" t="str">
        <f>Ydelser!D137</f>
        <v>Beskrivelse.</v>
      </c>
      <c r="D137" s="61" t="b">
        <f>'FS Aftale'!D137</f>
        <v>0</v>
      </c>
      <c r="E137" s="156" t="str">
        <f>'FS Aftale'!E137</f>
        <v>Månedligt</v>
      </c>
      <c r="F137" s="61" t="str">
        <f t="shared" ref="F137:H137" si="137">F136</f>
        <v>Team Ansvarlig</v>
      </c>
      <c r="G137" s="61" t="str">
        <f t="shared" si="137"/>
        <v>Ansvarlig</v>
      </c>
      <c r="H137" s="61" t="str">
        <f t="shared" si="137"/>
        <v>Servicemedarb.</v>
      </c>
      <c r="I137" s="235"/>
      <c r="J137" s="61" t="str">
        <f t="shared" ref="J137:M137" si="138">J136</f>
        <v>Fast</v>
      </c>
      <c r="K137" s="61" t="str">
        <f t="shared" si="138"/>
        <v>FS aftale</v>
      </c>
      <c r="L137" s="188">
        <f t="shared" si="138"/>
        <v>1</v>
      </c>
      <c r="M137" s="157" t="str">
        <f t="shared" si="138"/>
        <v>Mangler planlægning</v>
      </c>
      <c r="N137" s="147" t="str">
        <f>IFERROR(VLOOKUP(O137,Støtteark!$B$21:$F$35,MATCH(E137,Støtteark!$B$21:$F$21,0),0),Støtteark!$L$35)</f>
        <v>Månedligt</v>
      </c>
      <c r="O137" s="62">
        <f>'FS Aftale'!F137</f>
        <v>12</v>
      </c>
      <c r="P137" s="179" t="str">
        <f t="shared" si="125"/>
        <v>7:00</v>
      </c>
      <c r="Q137" s="63">
        <f>'FS Aftale'!G137*Støtteark!$Q$15</f>
        <v>0</v>
      </c>
      <c r="R137" s="235"/>
      <c r="S137" s="231" t="str">
        <f>IF(OR(AND(OR(N137 = Støtteark!$L$25,N137 = Støtteark!$L$26,N137 = Støtteark!$L$28),E137&lt;&gt;Støtteark!$U$6,OR(O137=Støtteark!$B$22,O137=Støtteark!$B$23,O137=Støtteark!$B$24,O137=Støtteark!$B$25,O137=Støtteark!$B$26,O137=Støtteark!$B$27,O137=Støtteark!$B$28)),AND(E137=Støtteark!$U$6,OR(O137=Støtteark!$B$24,O137=Støtteark!$B$27,O137=Støtteark!$B$29))),1,"")</f>
        <v/>
      </c>
      <c r="T137" s="232" t="str">
        <f>IF(OR(AND(N137 = Støtteark!$L$25,E137&lt;&gt;Støtteark!$U$6,O137=Støtteark!$B$22),AND(E137=Støtteark!$U$6,O137=Støtteark!$B$24),O137=Støtteark!$B$22),1,"")</f>
        <v/>
      </c>
      <c r="U137" s="232" t="str">
        <f>IF(OR(AND(N137 = Støtteark!$L$25,E137&lt;&gt;Støtteark!$U$6,OR(O137=Støtteark!$B$22,O137=Støtteark!$B$23,O137=Støtteark!$B$24)),AND(E137=Støtteark!$U$6,OR(O137=Støtteark!$B$22,O137=Støtteark!$B$24))),1,"")</f>
        <v/>
      </c>
      <c r="V137" s="232" t="str">
        <f>IF(OR(AND(N137 = Støtteark!$L$25,E137&lt;&gt;Støtteark!$U$6,O137=Støtteark!$B$22),AND(E137=Støtteark!$U$6,OR(O137=Støtteark!$B$22,O137=Støtteark!$B$24))),1,"")</f>
        <v/>
      </c>
      <c r="W137" s="232" t="str">
        <f>IF(OR(AND(N137 = Støtteark!$L$25,E137&lt;&gt;Støtteark!$U$6,OR(O137=Støtteark!$B$22,O137=Støtteark!$B$23,O137=Støtteark!$B$24,O137=Støtteark!$B$25)),AND(E137=Støtteark!$U$6,OR(O137=Støtteark!$B$22,O137=Støtteark!$B$24))),1,"")</f>
        <v/>
      </c>
      <c r="X137" s="231"/>
      <c r="Y137" s="231"/>
      <c r="Z137" s="235"/>
      <c r="AA137" s="231">
        <f>IF(OR(AND(E137&lt;&gt;Støtteark!$U$6,N137 = Støtteark!$L$25),N137 = Støtteark!$L$26,N137 = Støtteark!$L$28,AND(N137 = Støtteark!$L$29,E137&lt;&gt;Støtteark!$U$6,OR(O137=Støtteark!$B$30,O137=Støtteark!$B$32,O137=Støtteark!$B$33,AND(E137&lt;&gt;Støtteark!$U$6,O137=Støtteark!$B$34),O137=Støtteark!$B$35))),1,"")</f>
        <v>1</v>
      </c>
      <c r="AB137" s="231">
        <f>IF(OR(AND(E137&lt;&gt;Støtteark!$U$6,N137 = Støtteark!$L$25),N137 = Støtteark!$L$26,N137 = Støtteark!$L$28,AND(N137 = Støtteark!$L$29,O137=Støtteark!$B$34)),1,"")</f>
        <v>1</v>
      </c>
      <c r="AC137" s="231">
        <f>IF(OR(AND(E137&lt;&gt;Støtteark!$U$6,N137 = Støtteark!$L$25),N137 = Støtteark!$L$26,N137 = Støtteark!$L$28,AND(N137 = Støtteark!$L$29,E137&lt;&gt;Støtteark!$U$6,OR(O137=Støtteark!$B$30,O137 = Støtteark!$B$34))),1,"")</f>
        <v>1</v>
      </c>
      <c r="AD137" s="232">
        <f>IF(OR(N137 = Støtteark!$L$25,N137 = Støtteark!$L$26,N137 = Støtteark!$L$28,AND(N137 = Støtteark!$L$29,OR(O137=Støtteark!$B$34,O137=Støtteark!$B$35)),AND(E137=Støtteark!$U$6,OR(O137=Støtteark!$B$29,O137=Støtteark!$B$30,O137=Støtteark!$B$32,O137=Støtteark!$B$33))),1,"")</f>
        <v>1</v>
      </c>
      <c r="AE137" s="231">
        <f>IF(OR(N137 = Støtteark!$L$25,N137 = Støtteark!$L$26,N137 = Støtteark!$L$28,AND(N137 = Støtteark!$L$29,OR(O137=Støtteark!$B$34,O137 = Støtteark!$B$30)),AND(E137=Støtteark!$U$6,O137=Støtteark!$B$29)),1,"")</f>
        <v>1</v>
      </c>
      <c r="AF137" s="231">
        <f>IF(OR(N137 = Støtteark!$L$25,N137 = Støtteark!$L$26,N137 = Støtteark!$L$28,AND(N137 = Støtteark!$L$29,O137=Støtteark!$B$34),AND(E137=Støtteark!$U$6,O137=Støtteark!$B$30),AND(E137=Støtteark!$U$6,O137=Støtteark!$B$29)),1,"")</f>
        <v>1</v>
      </c>
      <c r="AG137" s="231">
        <f>IF(OR(N137 = Støtteark!$L$25,N137 = Støtteark!$L$26,N137 = Støtteark!$L$28,AND(N137 = Støtteark!$L$29,OR(O137=Støtteark!$B$30,O137 = Støtteark!$B$31,O137=Støtteark!$B$32,O137=Støtteark!$B$34)),AND(E137=Støtteark!$U$6,OR(O137=Støtteark!$B$29,O137=Støtteark!$B$31))),1,"")</f>
        <v>1</v>
      </c>
      <c r="AH137" s="231">
        <f>IF(OR(N137 = Støtteark!$L$25,N137 = Støtteark!$L$26,N137 = Støtteark!$L$28,AND(N137 = Støtteark!$L$29,O137=Støtteark!$B$34),AND(E137=Støtteark!$U$6,OR(O137=Støtteark!$B$29,O137=Støtteark!$B$30))),1,"")</f>
        <v>1</v>
      </c>
      <c r="AI137" s="231">
        <f>IF(OR(N137 = Støtteark!$L$25,N137 = Støtteark!$L$26,N137 = Støtteark!$L$28,AND(N137 = Støtteark!$L$29,OR(O137=Støtteark!$B$34,O137 = Støtteark!$B$30)),AND(E137=Støtteark!$U$6,OR(O137=Støtteark!$B$29,O137=Støtteark!$B$30))),1,"")</f>
        <v>1</v>
      </c>
      <c r="AJ137" s="231">
        <f>IF(OR(AND(E137&lt;&gt;Støtteark!$U$6,N137 = Støtteark!$L$25),N137 = Støtteark!$L$26,N137 = Støtteark!$L$28,AND(N137 = Støtteark!$L$29,OR(O137=Støtteark!$B$34,O137=Støtteark!$B$35),O137&lt;&gt;Støtteark!$B$30)),1,"")</f>
        <v>1</v>
      </c>
      <c r="AK137" s="231">
        <f>IF(OR(AND(E137&lt;&gt;Støtteark!$U$6,N137 = Støtteark!$L$25),N137 = Støtteark!$L$26,N137 = Støtteark!$L$28,AND(N137 = Støtteark!$L$29,E137&lt;&gt;Støtteark!$U$6,OR(O137=Støtteark!$B$34,O137 = Støtteark!$B$30))),1,"")</f>
        <v>1</v>
      </c>
      <c r="AL137" s="231">
        <f>IF(OR(AND(E137&lt;&gt;Støtteark!$U$6,N137 = Støtteark!$L$25),N137 = Støtteark!$L$26,N137 = Støtteark!$L$28,AND(N137 = Støtteark!$L$29,O137=Støtteark!$B$34)),1,"")</f>
        <v>1</v>
      </c>
      <c r="AM137" s="231">
        <f>IF(AND(N137 = Støtteark!$L$29,OR(O137=Støtteark!$B$30,O137=Støtteark!$B$32,O137=Støtteark!$B$33,O137=Støtteark!$B$34,O137=Støtteark!$B$35)),Støtteark!$L$32,"")</f>
        <v>801</v>
      </c>
      <c r="AN137" s="235"/>
      <c r="AO137" s="91"/>
      <c r="AP137" s="170">
        <v>0</v>
      </c>
      <c r="AQ137" s="235"/>
      <c r="AR137" s="64">
        <f t="shared" ca="1" si="126"/>
        <v>44022</v>
      </c>
    </row>
    <row r="138" spans="1:44" ht="25.5" hidden="1" x14ac:dyDescent="0.25">
      <c r="A138" s="221" t="str">
        <f t="shared" si="122"/>
        <v>Kundenr.-Ejendom</v>
      </c>
      <c r="B138" s="61" t="str">
        <f>Ydelser!A138&amp;" - "&amp;Ydelser!C138</f>
        <v>909 - Kundespecifik ydelse 9</v>
      </c>
      <c r="C138" s="61" t="str">
        <f>Ydelser!D138</f>
        <v>Beskrivelse.</v>
      </c>
      <c r="D138" s="61" t="b">
        <f>'FS Aftale'!D138</f>
        <v>0</v>
      </c>
      <c r="E138" s="156" t="str">
        <f>'FS Aftale'!E138</f>
        <v>Månedligt</v>
      </c>
      <c r="F138" s="61" t="str">
        <f t="shared" ref="F138:H138" si="139">F137</f>
        <v>Team Ansvarlig</v>
      </c>
      <c r="G138" s="61" t="str">
        <f t="shared" si="139"/>
        <v>Ansvarlig</v>
      </c>
      <c r="H138" s="61" t="str">
        <f t="shared" si="139"/>
        <v>Servicemedarb.</v>
      </c>
      <c r="I138" s="235"/>
      <c r="J138" s="61" t="str">
        <f t="shared" ref="J138:M138" si="140">J137</f>
        <v>Fast</v>
      </c>
      <c r="K138" s="61" t="str">
        <f t="shared" si="140"/>
        <v>FS aftale</v>
      </c>
      <c r="L138" s="188">
        <f t="shared" si="140"/>
        <v>1</v>
      </c>
      <c r="M138" s="157" t="str">
        <f t="shared" si="140"/>
        <v>Mangler planlægning</v>
      </c>
      <c r="N138" s="147" t="str">
        <f>IFERROR(VLOOKUP(O138,Støtteark!$B$21:$F$35,MATCH(E138,Støtteark!$B$21:$F$21,0),0),Støtteark!$L$35)</f>
        <v>Månedligt</v>
      </c>
      <c r="O138" s="62">
        <f>'FS Aftale'!F138</f>
        <v>12</v>
      </c>
      <c r="P138" s="179" t="str">
        <f t="shared" si="125"/>
        <v>7:00</v>
      </c>
      <c r="Q138" s="63">
        <f>'FS Aftale'!G138*Støtteark!$Q$15</f>
        <v>0</v>
      </c>
      <c r="R138" s="235"/>
      <c r="S138" s="231" t="str">
        <f>IF(OR(AND(OR(N138 = Støtteark!$L$25,N138 = Støtteark!$L$26,N138 = Støtteark!$L$28),E138&lt;&gt;Støtteark!$U$6,OR(O138=Støtteark!$B$22,O138=Støtteark!$B$23,O138=Støtteark!$B$24,O138=Støtteark!$B$25,O138=Støtteark!$B$26,O138=Støtteark!$B$27,O138=Støtteark!$B$28)),AND(E138=Støtteark!$U$6,OR(O138=Støtteark!$B$24,O138=Støtteark!$B$27,O138=Støtteark!$B$29))),1,"")</f>
        <v/>
      </c>
      <c r="T138" s="232" t="str">
        <f>IF(OR(AND(N138 = Støtteark!$L$25,E138&lt;&gt;Støtteark!$U$6,O138=Støtteark!$B$22),AND(E138=Støtteark!$U$6,O138=Støtteark!$B$24),O138=Støtteark!$B$22),1,"")</f>
        <v/>
      </c>
      <c r="U138" s="232" t="str">
        <f>IF(OR(AND(N138 = Støtteark!$L$25,E138&lt;&gt;Støtteark!$U$6,OR(O138=Støtteark!$B$22,O138=Støtteark!$B$23,O138=Støtteark!$B$24)),AND(E138=Støtteark!$U$6,OR(O138=Støtteark!$B$22,O138=Støtteark!$B$24))),1,"")</f>
        <v/>
      </c>
      <c r="V138" s="232" t="str">
        <f>IF(OR(AND(N138 = Støtteark!$L$25,E138&lt;&gt;Støtteark!$U$6,O138=Støtteark!$B$22),AND(E138=Støtteark!$U$6,OR(O138=Støtteark!$B$22,O138=Støtteark!$B$24))),1,"")</f>
        <v/>
      </c>
      <c r="W138" s="232" t="str">
        <f>IF(OR(AND(N138 = Støtteark!$L$25,E138&lt;&gt;Støtteark!$U$6,OR(O138=Støtteark!$B$22,O138=Støtteark!$B$23,O138=Støtteark!$B$24,O138=Støtteark!$B$25)),AND(E138=Støtteark!$U$6,OR(O138=Støtteark!$B$22,O138=Støtteark!$B$24))),1,"")</f>
        <v/>
      </c>
      <c r="X138" s="231"/>
      <c r="Y138" s="231"/>
      <c r="Z138" s="235"/>
      <c r="AA138" s="231">
        <f>IF(OR(AND(E138&lt;&gt;Støtteark!$U$6,N138 = Støtteark!$L$25),N138 = Støtteark!$L$26,N138 = Støtteark!$L$28,AND(N138 = Støtteark!$L$29,E138&lt;&gt;Støtteark!$U$6,OR(O138=Støtteark!$B$30,O138=Støtteark!$B$32,O138=Støtteark!$B$33,AND(E138&lt;&gt;Støtteark!$U$6,O138=Støtteark!$B$34),O138=Støtteark!$B$35))),1,"")</f>
        <v>1</v>
      </c>
      <c r="AB138" s="231">
        <f>IF(OR(AND(E138&lt;&gt;Støtteark!$U$6,N138 = Støtteark!$L$25),N138 = Støtteark!$L$26,N138 = Støtteark!$L$28,AND(N138 = Støtteark!$L$29,O138=Støtteark!$B$34)),1,"")</f>
        <v>1</v>
      </c>
      <c r="AC138" s="231">
        <f>IF(OR(AND(E138&lt;&gt;Støtteark!$U$6,N138 = Støtteark!$L$25),N138 = Støtteark!$L$26,N138 = Støtteark!$L$28,AND(N138 = Støtteark!$L$29,E138&lt;&gt;Støtteark!$U$6,OR(O138=Støtteark!$B$30,O138 = Støtteark!$B$34))),1,"")</f>
        <v>1</v>
      </c>
      <c r="AD138" s="232">
        <f>IF(OR(N138 = Støtteark!$L$25,N138 = Støtteark!$L$26,N138 = Støtteark!$L$28,AND(N138 = Støtteark!$L$29,OR(O138=Støtteark!$B$34,O138=Støtteark!$B$35)),AND(E138=Støtteark!$U$6,OR(O138=Støtteark!$B$29,O138=Støtteark!$B$30,O138=Støtteark!$B$32,O138=Støtteark!$B$33))),1,"")</f>
        <v>1</v>
      </c>
      <c r="AE138" s="231">
        <f>IF(OR(N138 = Støtteark!$L$25,N138 = Støtteark!$L$26,N138 = Støtteark!$L$28,AND(N138 = Støtteark!$L$29,OR(O138=Støtteark!$B$34,O138 = Støtteark!$B$30)),AND(E138=Støtteark!$U$6,O138=Støtteark!$B$29)),1,"")</f>
        <v>1</v>
      </c>
      <c r="AF138" s="231">
        <f>IF(OR(N138 = Støtteark!$L$25,N138 = Støtteark!$L$26,N138 = Støtteark!$L$28,AND(N138 = Støtteark!$L$29,O138=Støtteark!$B$34),AND(E138=Støtteark!$U$6,O138=Støtteark!$B$30),AND(E138=Støtteark!$U$6,O138=Støtteark!$B$29)),1,"")</f>
        <v>1</v>
      </c>
      <c r="AG138" s="231">
        <f>IF(OR(N138 = Støtteark!$L$25,N138 = Støtteark!$L$26,N138 = Støtteark!$L$28,AND(N138 = Støtteark!$L$29,OR(O138=Støtteark!$B$30,O138 = Støtteark!$B$31,O138=Støtteark!$B$32,O138=Støtteark!$B$34)),AND(E138=Støtteark!$U$6,OR(O138=Støtteark!$B$29,O138=Støtteark!$B$31))),1,"")</f>
        <v>1</v>
      </c>
      <c r="AH138" s="231">
        <f>IF(OR(N138 = Støtteark!$L$25,N138 = Støtteark!$L$26,N138 = Støtteark!$L$28,AND(N138 = Støtteark!$L$29,O138=Støtteark!$B$34),AND(E138=Støtteark!$U$6,OR(O138=Støtteark!$B$29,O138=Støtteark!$B$30))),1,"")</f>
        <v>1</v>
      </c>
      <c r="AI138" s="231">
        <f>IF(OR(N138 = Støtteark!$L$25,N138 = Støtteark!$L$26,N138 = Støtteark!$L$28,AND(N138 = Støtteark!$L$29,OR(O138=Støtteark!$B$34,O138 = Støtteark!$B$30)),AND(E138=Støtteark!$U$6,OR(O138=Støtteark!$B$29,O138=Støtteark!$B$30))),1,"")</f>
        <v>1</v>
      </c>
      <c r="AJ138" s="231">
        <f>IF(OR(AND(E138&lt;&gt;Støtteark!$U$6,N138 = Støtteark!$L$25),N138 = Støtteark!$L$26,N138 = Støtteark!$L$28,AND(N138 = Støtteark!$L$29,OR(O138=Støtteark!$B$34,O138=Støtteark!$B$35),O138&lt;&gt;Støtteark!$B$30)),1,"")</f>
        <v>1</v>
      </c>
      <c r="AK138" s="231">
        <f>IF(OR(AND(E138&lt;&gt;Støtteark!$U$6,N138 = Støtteark!$L$25),N138 = Støtteark!$L$26,N138 = Støtteark!$L$28,AND(N138 = Støtteark!$L$29,E138&lt;&gt;Støtteark!$U$6,OR(O138=Støtteark!$B$34,O138 = Støtteark!$B$30))),1,"")</f>
        <v>1</v>
      </c>
      <c r="AL138" s="231">
        <f>IF(OR(AND(E138&lt;&gt;Støtteark!$U$6,N138 = Støtteark!$L$25),N138 = Støtteark!$L$26,N138 = Støtteark!$L$28,AND(N138 = Støtteark!$L$29,O138=Støtteark!$B$34)),1,"")</f>
        <v>1</v>
      </c>
      <c r="AM138" s="231">
        <f>IF(AND(N138 = Støtteark!$L$29,OR(O138=Støtteark!$B$30,O138=Støtteark!$B$32,O138=Støtteark!$B$33,O138=Støtteark!$B$34,O138=Støtteark!$B$35)),Støtteark!$L$32,"")</f>
        <v>801</v>
      </c>
      <c r="AN138" s="235"/>
      <c r="AO138" s="91"/>
      <c r="AP138" s="170">
        <v>0</v>
      </c>
      <c r="AQ138" s="235"/>
      <c r="AR138" s="64">
        <f t="shared" ca="1" si="126"/>
        <v>44022</v>
      </c>
    </row>
    <row r="139" spans="1:44" ht="25.5" hidden="1" x14ac:dyDescent="0.25">
      <c r="A139" s="221" t="str">
        <f t="shared" si="122"/>
        <v>Kundenr.-Ejendom</v>
      </c>
      <c r="B139" s="61" t="str">
        <f>Ydelser!A139&amp;" - "&amp;Ydelser!C139</f>
        <v>910 - Kundespecifik ydelse 10</v>
      </c>
      <c r="C139" s="61" t="str">
        <f>Ydelser!D139</f>
        <v>Beskrivelse.</v>
      </c>
      <c r="D139" s="61" t="b">
        <f>'FS Aftale'!D139</f>
        <v>0</v>
      </c>
      <c r="E139" s="156" t="str">
        <f>'FS Aftale'!E139</f>
        <v>Månedligt</v>
      </c>
      <c r="F139" s="61" t="str">
        <f t="shared" ref="F139:H139" si="141">F138</f>
        <v>Team Ansvarlig</v>
      </c>
      <c r="G139" s="61" t="str">
        <f t="shared" si="141"/>
        <v>Ansvarlig</v>
      </c>
      <c r="H139" s="61" t="str">
        <f t="shared" si="141"/>
        <v>Servicemedarb.</v>
      </c>
      <c r="I139" s="235"/>
      <c r="J139" s="61" t="str">
        <f t="shared" ref="J139:M139" si="142">J138</f>
        <v>Fast</v>
      </c>
      <c r="K139" s="61" t="str">
        <f t="shared" si="142"/>
        <v>FS aftale</v>
      </c>
      <c r="L139" s="188">
        <f t="shared" si="142"/>
        <v>1</v>
      </c>
      <c r="M139" s="157" t="str">
        <f t="shared" si="142"/>
        <v>Mangler planlægning</v>
      </c>
      <c r="N139" s="147" t="str">
        <f>IFERROR(VLOOKUP(O139,Støtteark!$B$21:$F$35,MATCH(E139,Støtteark!$B$21:$F$21,0),0),Støtteark!$L$35)</f>
        <v>Månedligt</v>
      </c>
      <c r="O139" s="62">
        <f>'FS Aftale'!F139</f>
        <v>12</v>
      </c>
      <c r="P139" s="179" t="str">
        <f t="shared" si="125"/>
        <v>7:00</v>
      </c>
      <c r="Q139" s="63">
        <f>'FS Aftale'!G139*Støtteark!$Q$15</f>
        <v>0</v>
      </c>
      <c r="R139" s="235"/>
      <c r="S139" s="231" t="str">
        <f>IF(OR(AND(OR(N139 = Støtteark!$L$25,N139 = Støtteark!$L$26,N139 = Støtteark!$L$28),E139&lt;&gt;Støtteark!$U$6,OR(O139=Støtteark!$B$22,O139=Støtteark!$B$23,O139=Støtteark!$B$24,O139=Støtteark!$B$25,O139=Støtteark!$B$26,O139=Støtteark!$B$27,O139=Støtteark!$B$28)),AND(E139=Støtteark!$U$6,OR(O139=Støtteark!$B$24,O139=Støtteark!$B$27,O139=Støtteark!$B$29))),1,"")</f>
        <v/>
      </c>
      <c r="T139" s="232" t="str">
        <f>IF(OR(AND(N139 = Støtteark!$L$25,E139&lt;&gt;Støtteark!$U$6,O139=Støtteark!$B$22),AND(E139=Støtteark!$U$6,O139=Støtteark!$B$24),O139=Støtteark!$B$22),1,"")</f>
        <v/>
      </c>
      <c r="U139" s="232" t="str">
        <f>IF(OR(AND(N139 = Støtteark!$L$25,E139&lt;&gt;Støtteark!$U$6,OR(O139=Støtteark!$B$22,O139=Støtteark!$B$23,O139=Støtteark!$B$24)),AND(E139=Støtteark!$U$6,OR(O139=Støtteark!$B$22,O139=Støtteark!$B$24))),1,"")</f>
        <v/>
      </c>
      <c r="V139" s="232" t="str">
        <f>IF(OR(AND(N139 = Støtteark!$L$25,E139&lt;&gt;Støtteark!$U$6,O139=Støtteark!$B$22),AND(E139=Støtteark!$U$6,OR(O139=Støtteark!$B$22,O139=Støtteark!$B$24))),1,"")</f>
        <v/>
      </c>
      <c r="W139" s="232" t="str">
        <f>IF(OR(AND(N139 = Støtteark!$L$25,E139&lt;&gt;Støtteark!$U$6,OR(O139=Støtteark!$B$22,O139=Støtteark!$B$23,O139=Støtteark!$B$24,O139=Støtteark!$B$25)),AND(E139=Støtteark!$U$6,OR(O139=Støtteark!$B$22,O139=Støtteark!$B$24))),1,"")</f>
        <v/>
      </c>
      <c r="X139" s="231"/>
      <c r="Y139" s="231"/>
      <c r="Z139" s="235"/>
      <c r="AA139" s="231">
        <f>IF(OR(AND(E139&lt;&gt;Støtteark!$U$6,N139 = Støtteark!$L$25),N139 = Støtteark!$L$26,N139 = Støtteark!$L$28,AND(N139 = Støtteark!$L$29,E139&lt;&gt;Støtteark!$U$6,OR(O139=Støtteark!$B$30,O139=Støtteark!$B$32,O139=Støtteark!$B$33,AND(E139&lt;&gt;Støtteark!$U$6,O139=Støtteark!$B$34),O139=Støtteark!$B$35))),1,"")</f>
        <v>1</v>
      </c>
      <c r="AB139" s="231">
        <f>IF(OR(AND(E139&lt;&gt;Støtteark!$U$6,N139 = Støtteark!$L$25),N139 = Støtteark!$L$26,N139 = Støtteark!$L$28,AND(N139 = Støtteark!$L$29,O139=Støtteark!$B$34)),1,"")</f>
        <v>1</v>
      </c>
      <c r="AC139" s="231">
        <f>IF(OR(AND(E139&lt;&gt;Støtteark!$U$6,N139 = Støtteark!$L$25),N139 = Støtteark!$L$26,N139 = Støtteark!$L$28,AND(N139 = Støtteark!$L$29,E139&lt;&gt;Støtteark!$U$6,OR(O139=Støtteark!$B$30,O139 = Støtteark!$B$34))),1,"")</f>
        <v>1</v>
      </c>
      <c r="AD139" s="232">
        <f>IF(OR(N139 = Støtteark!$L$25,N139 = Støtteark!$L$26,N139 = Støtteark!$L$28,AND(N139 = Støtteark!$L$29,OR(O139=Støtteark!$B$34,O139=Støtteark!$B$35)),AND(E139=Støtteark!$U$6,OR(O139=Støtteark!$B$29,O139=Støtteark!$B$30,O139=Støtteark!$B$32,O139=Støtteark!$B$33))),1,"")</f>
        <v>1</v>
      </c>
      <c r="AE139" s="231">
        <f>IF(OR(N139 = Støtteark!$L$25,N139 = Støtteark!$L$26,N139 = Støtteark!$L$28,AND(N139 = Støtteark!$L$29,OR(O139=Støtteark!$B$34,O139 = Støtteark!$B$30)),AND(E139=Støtteark!$U$6,O139=Støtteark!$B$29)),1,"")</f>
        <v>1</v>
      </c>
      <c r="AF139" s="231">
        <f>IF(OR(N139 = Støtteark!$L$25,N139 = Støtteark!$L$26,N139 = Støtteark!$L$28,AND(N139 = Støtteark!$L$29,O139=Støtteark!$B$34),AND(E139=Støtteark!$U$6,O139=Støtteark!$B$30),AND(E139=Støtteark!$U$6,O139=Støtteark!$B$29)),1,"")</f>
        <v>1</v>
      </c>
      <c r="AG139" s="231">
        <f>IF(OR(N139 = Støtteark!$L$25,N139 = Støtteark!$L$26,N139 = Støtteark!$L$28,AND(N139 = Støtteark!$L$29,OR(O139=Støtteark!$B$30,O139 = Støtteark!$B$31,O139=Støtteark!$B$32,O139=Støtteark!$B$34)),AND(E139=Støtteark!$U$6,OR(O139=Støtteark!$B$29,O139=Støtteark!$B$31))),1,"")</f>
        <v>1</v>
      </c>
      <c r="AH139" s="231">
        <f>IF(OR(N139 = Støtteark!$L$25,N139 = Støtteark!$L$26,N139 = Støtteark!$L$28,AND(N139 = Støtteark!$L$29,O139=Støtteark!$B$34),AND(E139=Støtteark!$U$6,OR(O139=Støtteark!$B$29,O139=Støtteark!$B$30))),1,"")</f>
        <v>1</v>
      </c>
      <c r="AI139" s="231">
        <f>IF(OR(N139 = Støtteark!$L$25,N139 = Støtteark!$L$26,N139 = Støtteark!$L$28,AND(N139 = Støtteark!$L$29,OR(O139=Støtteark!$B$34,O139 = Støtteark!$B$30)),AND(E139=Støtteark!$U$6,OR(O139=Støtteark!$B$29,O139=Støtteark!$B$30))),1,"")</f>
        <v>1</v>
      </c>
      <c r="AJ139" s="231">
        <f>IF(OR(AND(E139&lt;&gt;Støtteark!$U$6,N139 = Støtteark!$L$25),N139 = Støtteark!$L$26,N139 = Støtteark!$L$28,AND(N139 = Støtteark!$L$29,OR(O139=Støtteark!$B$34,O139=Støtteark!$B$35),O139&lt;&gt;Støtteark!$B$30)),1,"")</f>
        <v>1</v>
      </c>
      <c r="AK139" s="231">
        <f>IF(OR(AND(E139&lt;&gt;Støtteark!$U$6,N139 = Støtteark!$L$25),N139 = Støtteark!$L$26,N139 = Støtteark!$L$28,AND(N139 = Støtteark!$L$29,E139&lt;&gt;Støtteark!$U$6,OR(O139=Støtteark!$B$34,O139 = Støtteark!$B$30))),1,"")</f>
        <v>1</v>
      </c>
      <c r="AL139" s="231">
        <f>IF(OR(AND(E139&lt;&gt;Støtteark!$U$6,N139 = Støtteark!$L$25),N139 = Støtteark!$L$26,N139 = Støtteark!$L$28,AND(N139 = Støtteark!$L$29,O139=Støtteark!$B$34)),1,"")</f>
        <v>1</v>
      </c>
      <c r="AM139" s="231">
        <f>IF(AND(N139 = Støtteark!$L$29,OR(O139=Støtteark!$B$30,O139=Støtteark!$B$32,O139=Støtteark!$B$33,O139=Støtteark!$B$34,O139=Støtteark!$B$35)),Støtteark!$L$32,"")</f>
        <v>801</v>
      </c>
      <c r="AN139" s="235"/>
      <c r="AO139" s="91"/>
      <c r="AP139" s="170">
        <v>0</v>
      </c>
      <c r="AQ139" s="235"/>
      <c r="AR139" s="64">
        <f t="shared" ca="1" si="126"/>
        <v>44022</v>
      </c>
    </row>
    <row r="140" spans="1:44" ht="25.5" hidden="1" x14ac:dyDescent="0.25">
      <c r="A140" s="221" t="str">
        <f t="shared" si="122"/>
        <v>Kundenr.-Ejendom</v>
      </c>
      <c r="B140" s="61" t="str">
        <f>Ydelser!A140&amp;" - "&amp;Ydelser!C140</f>
        <v>911 - Kundespecifik ydelse 11</v>
      </c>
      <c r="C140" s="61" t="str">
        <f>Ydelser!D140</f>
        <v>Beskrivelse.</v>
      </c>
      <c r="D140" s="61" t="b">
        <f>'FS Aftale'!D140</f>
        <v>0</v>
      </c>
      <c r="E140" s="156" t="str">
        <f>'FS Aftale'!E140</f>
        <v>Månedligt</v>
      </c>
      <c r="F140" s="61" t="str">
        <f t="shared" ref="F140:H140" si="143">F139</f>
        <v>Team Ansvarlig</v>
      </c>
      <c r="G140" s="61" t="str">
        <f t="shared" si="143"/>
        <v>Ansvarlig</v>
      </c>
      <c r="H140" s="61" t="str">
        <f t="shared" si="143"/>
        <v>Servicemedarb.</v>
      </c>
      <c r="I140" s="235"/>
      <c r="J140" s="61" t="str">
        <f t="shared" ref="J140:M140" si="144">J139</f>
        <v>Fast</v>
      </c>
      <c r="K140" s="61" t="str">
        <f t="shared" si="144"/>
        <v>FS aftale</v>
      </c>
      <c r="L140" s="188">
        <f t="shared" si="144"/>
        <v>1</v>
      </c>
      <c r="M140" s="157" t="str">
        <f t="shared" si="144"/>
        <v>Mangler planlægning</v>
      </c>
      <c r="N140" s="147" t="str">
        <f>IFERROR(VLOOKUP(O140,Støtteark!$B$21:$F$35,MATCH(E140,Støtteark!$B$21:$F$21,0),0),Støtteark!$L$35)</f>
        <v>Månedligt</v>
      </c>
      <c r="O140" s="62">
        <f>'FS Aftale'!F140</f>
        <v>12</v>
      </c>
      <c r="P140" s="179" t="str">
        <f t="shared" si="125"/>
        <v>7:00</v>
      </c>
      <c r="Q140" s="63">
        <f>'FS Aftale'!G140*Støtteark!$Q$15</f>
        <v>0</v>
      </c>
      <c r="R140" s="235"/>
      <c r="S140" s="231" t="str">
        <f>IF(OR(AND(OR(N140 = Støtteark!$L$25,N140 = Støtteark!$L$26,N140 = Støtteark!$L$28),E140&lt;&gt;Støtteark!$U$6,OR(O140=Støtteark!$B$22,O140=Støtteark!$B$23,O140=Støtteark!$B$24,O140=Støtteark!$B$25,O140=Støtteark!$B$26,O140=Støtteark!$B$27,O140=Støtteark!$B$28)),AND(E140=Støtteark!$U$6,OR(O140=Støtteark!$B$24,O140=Støtteark!$B$27,O140=Støtteark!$B$29))),1,"")</f>
        <v/>
      </c>
      <c r="T140" s="232" t="str">
        <f>IF(OR(AND(N140 = Støtteark!$L$25,E140&lt;&gt;Støtteark!$U$6,O140=Støtteark!$B$22),AND(E140=Støtteark!$U$6,O140=Støtteark!$B$24),O140=Støtteark!$B$22),1,"")</f>
        <v/>
      </c>
      <c r="U140" s="232" t="str">
        <f>IF(OR(AND(N140 = Støtteark!$L$25,E140&lt;&gt;Støtteark!$U$6,OR(O140=Støtteark!$B$22,O140=Støtteark!$B$23,O140=Støtteark!$B$24)),AND(E140=Støtteark!$U$6,OR(O140=Støtteark!$B$22,O140=Støtteark!$B$24))),1,"")</f>
        <v/>
      </c>
      <c r="V140" s="232" t="str">
        <f>IF(OR(AND(N140 = Støtteark!$L$25,E140&lt;&gt;Støtteark!$U$6,O140=Støtteark!$B$22),AND(E140=Støtteark!$U$6,OR(O140=Støtteark!$B$22,O140=Støtteark!$B$24))),1,"")</f>
        <v/>
      </c>
      <c r="W140" s="232" t="str">
        <f>IF(OR(AND(N140 = Støtteark!$L$25,E140&lt;&gt;Støtteark!$U$6,OR(O140=Støtteark!$B$22,O140=Støtteark!$B$23,O140=Støtteark!$B$24,O140=Støtteark!$B$25)),AND(E140=Støtteark!$U$6,OR(O140=Støtteark!$B$22,O140=Støtteark!$B$24))),1,"")</f>
        <v/>
      </c>
      <c r="X140" s="231"/>
      <c r="Y140" s="231"/>
      <c r="Z140" s="235"/>
      <c r="AA140" s="231">
        <f>IF(OR(AND(E140&lt;&gt;Støtteark!$U$6,N140 = Støtteark!$L$25),N140 = Støtteark!$L$26,N140 = Støtteark!$L$28,AND(N140 = Støtteark!$L$29,E140&lt;&gt;Støtteark!$U$6,OR(O140=Støtteark!$B$30,O140=Støtteark!$B$32,O140=Støtteark!$B$33,AND(E140&lt;&gt;Støtteark!$U$6,O140=Støtteark!$B$34),O140=Støtteark!$B$35))),1,"")</f>
        <v>1</v>
      </c>
      <c r="AB140" s="231">
        <f>IF(OR(AND(E140&lt;&gt;Støtteark!$U$6,N140 = Støtteark!$L$25),N140 = Støtteark!$L$26,N140 = Støtteark!$L$28,AND(N140 = Støtteark!$L$29,O140=Støtteark!$B$34)),1,"")</f>
        <v>1</v>
      </c>
      <c r="AC140" s="231">
        <f>IF(OR(AND(E140&lt;&gt;Støtteark!$U$6,N140 = Støtteark!$L$25),N140 = Støtteark!$L$26,N140 = Støtteark!$L$28,AND(N140 = Støtteark!$L$29,E140&lt;&gt;Støtteark!$U$6,OR(O140=Støtteark!$B$30,O140 = Støtteark!$B$34))),1,"")</f>
        <v>1</v>
      </c>
      <c r="AD140" s="232">
        <f>IF(OR(N140 = Støtteark!$L$25,N140 = Støtteark!$L$26,N140 = Støtteark!$L$28,AND(N140 = Støtteark!$L$29,OR(O140=Støtteark!$B$34,O140=Støtteark!$B$35)),AND(E140=Støtteark!$U$6,OR(O140=Støtteark!$B$29,O140=Støtteark!$B$30,O140=Støtteark!$B$32,O140=Støtteark!$B$33))),1,"")</f>
        <v>1</v>
      </c>
      <c r="AE140" s="231">
        <f>IF(OR(N140 = Støtteark!$L$25,N140 = Støtteark!$L$26,N140 = Støtteark!$L$28,AND(N140 = Støtteark!$L$29,OR(O140=Støtteark!$B$34,O140 = Støtteark!$B$30)),AND(E140=Støtteark!$U$6,O140=Støtteark!$B$29)),1,"")</f>
        <v>1</v>
      </c>
      <c r="AF140" s="231">
        <f>IF(OR(N140 = Støtteark!$L$25,N140 = Støtteark!$L$26,N140 = Støtteark!$L$28,AND(N140 = Støtteark!$L$29,O140=Støtteark!$B$34),AND(E140=Støtteark!$U$6,O140=Støtteark!$B$30),AND(E140=Støtteark!$U$6,O140=Støtteark!$B$29)),1,"")</f>
        <v>1</v>
      </c>
      <c r="AG140" s="231">
        <f>IF(OR(N140 = Støtteark!$L$25,N140 = Støtteark!$L$26,N140 = Støtteark!$L$28,AND(N140 = Støtteark!$L$29,OR(O140=Støtteark!$B$30,O140 = Støtteark!$B$31,O140=Støtteark!$B$32,O140=Støtteark!$B$34)),AND(E140=Støtteark!$U$6,OR(O140=Støtteark!$B$29,O140=Støtteark!$B$31))),1,"")</f>
        <v>1</v>
      </c>
      <c r="AH140" s="231">
        <f>IF(OR(N140 = Støtteark!$L$25,N140 = Støtteark!$L$26,N140 = Støtteark!$L$28,AND(N140 = Støtteark!$L$29,O140=Støtteark!$B$34),AND(E140=Støtteark!$U$6,OR(O140=Støtteark!$B$29,O140=Støtteark!$B$30))),1,"")</f>
        <v>1</v>
      </c>
      <c r="AI140" s="231">
        <f>IF(OR(N140 = Støtteark!$L$25,N140 = Støtteark!$L$26,N140 = Støtteark!$L$28,AND(N140 = Støtteark!$L$29,OR(O140=Støtteark!$B$34,O140 = Støtteark!$B$30)),AND(E140=Støtteark!$U$6,OR(O140=Støtteark!$B$29,O140=Støtteark!$B$30))),1,"")</f>
        <v>1</v>
      </c>
      <c r="AJ140" s="231">
        <f>IF(OR(AND(E140&lt;&gt;Støtteark!$U$6,N140 = Støtteark!$L$25),N140 = Støtteark!$L$26,N140 = Støtteark!$L$28,AND(N140 = Støtteark!$L$29,OR(O140=Støtteark!$B$34,O140=Støtteark!$B$35),O140&lt;&gt;Støtteark!$B$30)),1,"")</f>
        <v>1</v>
      </c>
      <c r="AK140" s="231">
        <f>IF(OR(AND(E140&lt;&gt;Støtteark!$U$6,N140 = Støtteark!$L$25),N140 = Støtteark!$L$26,N140 = Støtteark!$L$28,AND(N140 = Støtteark!$L$29,E140&lt;&gt;Støtteark!$U$6,OR(O140=Støtteark!$B$34,O140 = Støtteark!$B$30))),1,"")</f>
        <v>1</v>
      </c>
      <c r="AL140" s="231">
        <f>IF(OR(AND(E140&lt;&gt;Støtteark!$U$6,N140 = Støtteark!$L$25),N140 = Støtteark!$L$26,N140 = Støtteark!$L$28,AND(N140 = Støtteark!$L$29,O140=Støtteark!$B$34)),1,"")</f>
        <v>1</v>
      </c>
      <c r="AM140" s="231">
        <f>IF(AND(N140 = Støtteark!$L$29,OR(O140=Støtteark!$B$30,O140=Støtteark!$B$32,O140=Støtteark!$B$33,O140=Støtteark!$B$34,O140=Støtteark!$B$35)),Støtteark!$L$32,"")</f>
        <v>801</v>
      </c>
      <c r="AN140" s="235"/>
      <c r="AO140" s="91"/>
      <c r="AP140" s="170">
        <v>0</v>
      </c>
      <c r="AQ140" s="235"/>
      <c r="AR140" s="64">
        <f t="shared" ca="1" si="126"/>
        <v>44022</v>
      </c>
    </row>
    <row r="141" spans="1:44" ht="25.5" hidden="1" x14ac:dyDescent="0.25">
      <c r="A141" s="221" t="str">
        <f t="shared" si="122"/>
        <v>Kundenr.-Ejendom</v>
      </c>
      <c r="B141" s="61" t="str">
        <f>Ydelser!A141&amp;" - "&amp;Ydelser!C141</f>
        <v>912 - Kundespecifik ydelse 12</v>
      </c>
      <c r="C141" s="61" t="str">
        <f>Ydelser!D141</f>
        <v>Beskrivelse.</v>
      </c>
      <c r="D141" s="61" t="b">
        <f>'FS Aftale'!D141</f>
        <v>0</v>
      </c>
      <c r="E141" s="156" t="str">
        <f>'FS Aftale'!E141</f>
        <v>Månedligt</v>
      </c>
      <c r="F141" s="61" t="str">
        <f t="shared" ref="F141:H141" si="145">F140</f>
        <v>Team Ansvarlig</v>
      </c>
      <c r="G141" s="61" t="str">
        <f t="shared" si="145"/>
        <v>Ansvarlig</v>
      </c>
      <c r="H141" s="61" t="str">
        <f t="shared" si="145"/>
        <v>Servicemedarb.</v>
      </c>
      <c r="I141" s="235"/>
      <c r="J141" s="61" t="str">
        <f t="shared" ref="J141:M141" si="146">J140</f>
        <v>Fast</v>
      </c>
      <c r="K141" s="61" t="str">
        <f t="shared" si="146"/>
        <v>FS aftale</v>
      </c>
      <c r="L141" s="188">
        <f t="shared" si="146"/>
        <v>1</v>
      </c>
      <c r="M141" s="157" t="str">
        <f t="shared" si="146"/>
        <v>Mangler planlægning</v>
      </c>
      <c r="N141" s="147" t="str">
        <f>IFERROR(VLOOKUP(O141,Støtteark!$B$21:$F$35,MATCH(E141,Støtteark!$B$21:$F$21,0),0),Støtteark!$L$35)</f>
        <v>Månedligt</v>
      </c>
      <c r="O141" s="62">
        <f>'FS Aftale'!F141</f>
        <v>12</v>
      </c>
      <c r="P141" s="179" t="str">
        <f t="shared" si="125"/>
        <v>7:00</v>
      </c>
      <c r="Q141" s="63">
        <f>'FS Aftale'!G141*Støtteark!$Q$15</f>
        <v>0</v>
      </c>
      <c r="R141" s="235"/>
      <c r="S141" s="231" t="str">
        <f>IF(OR(AND(OR(N141 = Støtteark!$L$25,N141 = Støtteark!$L$26,N141 = Støtteark!$L$28),E141&lt;&gt;Støtteark!$U$6,OR(O141=Støtteark!$B$22,O141=Støtteark!$B$23,O141=Støtteark!$B$24,O141=Støtteark!$B$25,O141=Støtteark!$B$26,O141=Støtteark!$B$27,O141=Støtteark!$B$28)),AND(E141=Støtteark!$U$6,OR(O141=Støtteark!$B$24,O141=Støtteark!$B$27,O141=Støtteark!$B$29))),1,"")</f>
        <v/>
      </c>
      <c r="T141" s="232" t="str">
        <f>IF(OR(AND(N141 = Støtteark!$L$25,E141&lt;&gt;Støtteark!$U$6,O141=Støtteark!$B$22),AND(E141=Støtteark!$U$6,O141=Støtteark!$B$24),O141=Støtteark!$B$22),1,"")</f>
        <v/>
      </c>
      <c r="U141" s="232" t="str">
        <f>IF(OR(AND(N141 = Støtteark!$L$25,E141&lt;&gt;Støtteark!$U$6,OR(O141=Støtteark!$B$22,O141=Støtteark!$B$23,O141=Støtteark!$B$24)),AND(E141=Støtteark!$U$6,OR(O141=Støtteark!$B$22,O141=Støtteark!$B$24))),1,"")</f>
        <v/>
      </c>
      <c r="V141" s="232" t="str">
        <f>IF(OR(AND(N141 = Støtteark!$L$25,E141&lt;&gt;Støtteark!$U$6,O141=Støtteark!$B$22),AND(E141=Støtteark!$U$6,OR(O141=Støtteark!$B$22,O141=Støtteark!$B$24))),1,"")</f>
        <v/>
      </c>
      <c r="W141" s="232" t="str">
        <f>IF(OR(AND(N141 = Støtteark!$L$25,E141&lt;&gt;Støtteark!$U$6,OR(O141=Støtteark!$B$22,O141=Støtteark!$B$23,O141=Støtteark!$B$24,O141=Støtteark!$B$25)),AND(E141=Støtteark!$U$6,OR(O141=Støtteark!$B$22,O141=Støtteark!$B$24))),1,"")</f>
        <v/>
      </c>
      <c r="X141" s="231"/>
      <c r="Y141" s="231"/>
      <c r="Z141" s="235"/>
      <c r="AA141" s="231">
        <f>IF(OR(AND(E141&lt;&gt;Støtteark!$U$6,N141 = Støtteark!$L$25),N141 = Støtteark!$L$26,N141 = Støtteark!$L$28,AND(N141 = Støtteark!$L$29,E141&lt;&gt;Støtteark!$U$6,OR(O141=Støtteark!$B$30,O141=Støtteark!$B$32,O141=Støtteark!$B$33,AND(E141&lt;&gt;Støtteark!$U$6,O141=Støtteark!$B$34),O141=Støtteark!$B$35))),1,"")</f>
        <v>1</v>
      </c>
      <c r="AB141" s="231">
        <f>IF(OR(AND(E141&lt;&gt;Støtteark!$U$6,N141 = Støtteark!$L$25),N141 = Støtteark!$L$26,N141 = Støtteark!$L$28,AND(N141 = Støtteark!$L$29,O141=Støtteark!$B$34)),1,"")</f>
        <v>1</v>
      </c>
      <c r="AC141" s="231">
        <f>IF(OR(AND(E141&lt;&gt;Støtteark!$U$6,N141 = Støtteark!$L$25),N141 = Støtteark!$L$26,N141 = Støtteark!$L$28,AND(N141 = Støtteark!$L$29,E141&lt;&gt;Støtteark!$U$6,OR(O141=Støtteark!$B$30,O141 = Støtteark!$B$34))),1,"")</f>
        <v>1</v>
      </c>
      <c r="AD141" s="232">
        <f>IF(OR(N141 = Støtteark!$L$25,N141 = Støtteark!$L$26,N141 = Støtteark!$L$28,AND(N141 = Støtteark!$L$29,OR(O141=Støtteark!$B$34,O141=Støtteark!$B$35)),AND(E141=Støtteark!$U$6,OR(O141=Støtteark!$B$29,O141=Støtteark!$B$30,O141=Støtteark!$B$32,O141=Støtteark!$B$33))),1,"")</f>
        <v>1</v>
      </c>
      <c r="AE141" s="231">
        <f>IF(OR(N141 = Støtteark!$L$25,N141 = Støtteark!$L$26,N141 = Støtteark!$L$28,AND(N141 = Støtteark!$L$29,OR(O141=Støtteark!$B$34,O141 = Støtteark!$B$30)),AND(E141=Støtteark!$U$6,O141=Støtteark!$B$29)),1,"")</f>
        <v>1</v>
      </c>
      <c r="AF141" s="231">
        <f>IF(OR(N141 = Støtteark!$L$25,N141 = Støtteark!$L$26,N141 = Støtteark!$L$28,AND(N141 = Støtteark!$L$29,O141=Støtteark!$B$34),AND(E141=Støtteark!$U$6,O141=Støtteark!$B$30),AND(E141=Støtteark!$U$6,O141=Støtteark!$B$29)),1,"")</f>
        <v>1</v>
      </c>
      <c r="AG141" s="231">
        <f>IF(OR(N141 = Støtteark!$L$25,N141 = Støtteark!$L$26,N141 = Støtteark!$L$28,AND(N141 = Støtteark!$L$29,OR(O141=Støtteark!$B$30,O141 = Støtteark!$B$31,O141=Støtteark!$B$32,O141=Støtteark!$B$34)),AND(E141=Støtteark!$U$6,OR(O141=Støtteark!$B$29,O141=Støtteark!$B$31))),1,"")</f>
        <v>1</v>
      </c>
      <c r="AH141" s="231">
        <f>IF(OR(N141 = Støtteark!$L$25,N141 = Støtteark!$L$26,N141 = Støtteark!$L$28,AND(N141 = Støtteark!$L$29,O141=Støtteark!$B$34),AND(E141=Støtteark!$U$6,OR(O141=Støtteark!$B$29,O141=Støtteark!$B$30))),1,"")</f>
        <v>1</v>
      </c>
      <c r="AI141" s="231">
        <f>IF(OR(N141 = Støtteark!$L$25,N141 = Støtteark!$L$26,N141 = Støtteark!$L$28,AND(N141 = Støtteark!$L$29,OR(O141=Støtteark!$B$34,O141 = Støtteark!$B$30)),AND(E141=Støtteark!$U$6,OR(O141=Støtteark!$B$29,O141=Støtteark!$B$30))),1,"")</f>
        <v>1</v>
      </c>
      <c r="AJ141" s="231">
        <f>IF(OR(AND(E141&lt;&gt;Støtteark!$U$6,N141 = Støtteark!$L$25),N141 = Støtteark!$L$26,N141 = Støtteark!$L$28,AND(N141 = Støtteark!$L$29,OR(O141=Støtteark!$B$34,O141=Støtteark!$B$35),O141&lt;&gt;Støtteark!$B$30)),1,"")</f>
        <v>1</v>
      </c>
      <c r="AK141" s="231">
        <f>IF(OR(AND(E141&lt;&gt;Støtteark!$U$6,N141 = Støtteark!$L$25),N141 = Støtteark!$L$26,N141 = Støtteark!$L$28,AND(N141 = Støtteark!$L$29,E141&lt;&gt;Støtteark!$U$6,OR(O141=Støtteark!$B$34,O141 = Støtteark!$B$30))),1,"")</f>
        <v>1</v>
      </c>
      <c r="AL141" s="231">
        <f>IF(OR(AND(E141&lt;&gt;Støtteark!$U$6,N141 = Støtteark!$L$25),N141 = Støtteark!$L$26,N141 = Støtteark!$L$28,AND(N141 = Støtteark!$L$29,O141=Støtteark!$B$34)),1,"")</f>
        <v>1</v>
      </c>
      <c r="AM141" s="231">
        <f>IF(AND(N141 = Støtteark!$L$29,OR(O141=Støtteark!$B$30,O141=Støtteark!$B$32,O141=Støtteark!$B$33,O141=Støtteark!$B$34,O141=Støtteark!$B$35)),Støtteark!$L$32,"")</f>
        <v>801</v>
      </c>
      <c r="AN141" s="235"/>
      <c r="AO141" s="91"/>
      <c r="AP141" s="170">
        <v>0</v>
      </c>
      <c r="AQ141" s="235"/>
      <c r="AR141" s="64">
        <f t="shared" ca="1" si="126"/>
        <v>44022</v>
      </c>
    </row>
    <row r="142" spans="1:44" ht="25.5" hidden="1" x14ac:dyDescent="0.25">
      <c r="A142" s="221" t="str">
        <f t="shared" si="122"/>
        <v>Kundenr.-Ejendom</v>
      </c>
      <c r="B142" s="61" t="str">
        <f>Ydelser!A142&amp;" - "&amp;Ydelser!C142</f>
        <v>913 - Kundespecifik ydelse 13</v>
      </c>
      <c r="C142" s="61" t="str">
        <f>Ydelser!D142</f>
        <v>Beskrivelse.</v>
      </c>
      <c r="D142" s="61" t="b">
        <f>'FS Aftale'!D142</f>
        <v>0</v>
      </c>
      <c r="E142" s="156" t="str">
        <f>'FS Aftale'!E142</f>
        <v>Månedligt</v>
      </c>
      <c r="F142" s="61" t="str">
        <f t="shared" ref="F142:H142" si="147">F141</f>
        <v>Team Ansvarlig</v>
      </c>
      <c r="G142" s="61" t="str">
        <f t="shared" si="147"/>
        <v>Ansvarlig</v>
      </c>
      <c r="H142" s="61" t="str">
        <f t="shared" si="147"/>
        <v>Servicemedarb.</v>
      </c>
      <c r="I142" s="235"/>
      <c r="J142" s="61" t="str">
        <f t="shared" ref="J142:M142" si="148">J141</f>
        <v>Fast</v>
      </c>
      <c r="K142" s="61" t="str">
        <f t="shared" si="148"/>
        <v>FS aftale</v>
      </c>
      <c r="L142" s="188">
        <f t="shared" si="148"/>
        <v>1</v>
      </c>
      <c r="M142" s="157" t="str">
        <f t="shared" si="148"/>
        <v>Mangler planlægning</v>
      </c>
      <c r="N142" s="147" t="str">
        <f>IFERROR(VLOOKUP(O142,Støtteark!$B$21:$F$35,MATCH(E142,Støtteark!$B$21:$F$21,0),0),Støtteark!$L$35)</f>
        <v>Månedligt</v>
      </c>
      <c r="O142" s="62">
        <f>'FS Aftale'!F142</f>
        <v>12</v>
      </c>
      <c r="P142" s="179" t="str">
        <f t="shared" si="125"/>
        <v>7:00</v>
      </c>
      <c r="Q142" s="63">
        <f>'FS Aftale'!G142*Støtteark!$Q$15</f>
        <v>0</v>
      </c>
      <c r="R142" s="235"/>
      <c r="S142" s="231" t="str">
        <f>IF(OR(AND(OR(N142 = Støtteark!$L$25,N142 = Støtteark!$L$26,N142 = Støtteark!$L$28),E142&lt;&gt;Støtteark!$U$6,OR(O142=Støtteark!$B$22,O142=Støtteark!$B$23,O142=Støtteark!$B$24,O142=Støtteark!$B$25,O142=Støtteark!$B$26,O142=Støtteark!$B$27,O142=Støtteark!$B$28)),AND(E142=Støtteark!$U$6,OR(O142=Støtteark!$B$24,O142=Støtteark!$B$27,O142=Støtteark!$B$29))),1,"")</f>
        <v/>
      </c>
      <c r="T142" s="232" t="str">
        <f>IF(OR(AND(N142 = Støtteark!$L$25,E142&lt;&gt;Støtteark!$U$6,O142=Støtteark!$B$22),AND(E142=Støtteark!$U$6,O142=Støtteark!$B$24),O142=Støtteark!$B$22),1,"")</f>
        <v/>
      </c>
      <c r="U142" s="232" t="str">
        <f>IF(OR(AND(N142 = Støtteark!$L$25,E142&lt;&gt;Støtteark!$U$6,OR(O142=Støtteark!$B$22,O142=Støtteark!$B$23,O142=Støtteark!$B$24)),AND(E142=Støtteark!$U$6,OR(O142=Støtteark!$B$22,O142=Støtteark!$B$24))),1,"")</f>
        <v/>
      </c>
      <c r="V142" s="232" t="str">
        <f>IF(OR(AND(N142 = Støtteark!$L$25,E142&lt;&gt;Støtteark!$U$6,O142=Støtteark!$B$22),AND(E142=Støtteark!$U$6,OR(O142=Støtteark!$B$22,O142=Støtteark!$B$24))),1,"")</f>
        <v/>
      </c>
      <c r="W142" s="232" t="str">
        <f>IF(OR(AND(N142 = Støtteark!$L$25,E142&lt;&gt;Støtteark!$U$6,OR(O142=Støtteark!$B$22,O142=Støtteark!$B$23,O142=Støtteark!$B$24,O142=Støtteark!$B$25)),AND(E142=Støtteark!$U$6,OR(O142=Støtteark!$B$22,O142=Støtteark!$B$24))),1,"")</f>
        <v/>
      </c>
      <c r="X142" s="231"/>
      <c r="Y142" s="231"/>
      <c r="Z142" s="235"/>
      <c r="AA142" s="231">
        <f>IF(OR(AND(E142&lt;&gt;Støtteark!$U$6,N142 = Støtteark!$L$25),N142 = Støtteark!$L$26,N142 = Støtteark!$L$28,AND(N142 = Støtteark!$L$29,E142&lt;&gt;Støtteark!$U$6,OR(O142=Støtteark!$B$30,O142=Støtteark!$B$32,O142=Støtteark!$B$33,AND(E142&lt;&gt;Støtteark!$U$6,O142=Støtteark!$B$34),O142=Støtteark!$B$35))),1,"")</f>
        <v>1</v>
      </c>
      <c r="AB142" s="231">
        <f>IF(OR(AND(E142&lt;&gt;Støtteark!$U$6,N142 = Støtteark!$L$25),N142 = Støtteark!$L$26,N142 = Støtteark!$L$28,AND(N142 = Støtteark!$L$29,O142=Støtteark!$B$34)),1,"")</f>
        <v>1</v>
      </c>
      <c r="AC142" s="231">
        <f>IF(OR(AND(E142&lt;&gt;Støtteark!$U$6,N142 = Støtteark!$L$25),N142 = Støtteark!$L$26,N142 = Støtteark!$L$28,AND(N142 = Støtteark!$L$29,E142&lt;&gt;Støtteark!$U$6,OR(O142=Støtteark!$B$30,O142 = Støtteark!$B$34))),1,"")</f>
        <v>1</v>
      </c>
      <c r="AD142" s="232">
        <f>IF(OR(N142 = Støtteark!$L$25,N142 = Støtteark!$L$26,N142 = Støtteark!$L$28,AND(N142 = Støtteark!$L$29,OR(O142=Støtteark!$B$34,O142=Støtteark!$B$35)),AND(E142=Støtteark!$U$6,OR(O142=Støtteark!$B$29,O142=Støtteark!$B$30,O142=Støtteark!$B$32,O142=Støtteark!$B$33))),1,"")</f>
        <v>1</v>
      </c>
      <c r="AE142" s="231">
        <f>IF(OR(N142 = Støtteark!$L$25,N142 = Støtteark!$L$26,N142 = Støtteark!$L$28,AND(N142 = Støtteark!$L$29,OR(O142=Støtteark!$B$34,O142 = Støtteark!$B$30)),AND(E142=Støtteark!$U$6,O142=Støtteark!$B$29)),1,"")</f>
        <v>1</v>
      </c>
      <c r="AF142" s="231">
        <f>IF(OR(N142 = Støtteark!$L$25,N142 = Støtteark!$L$26,N142 = Støtteark!$L$28,AND(N142 = Støtteark!$L$29,O142=Støtteark!$B$34),AND(E142=Støtteark!$U$6,O142=Støtteark!$B$30),AND(E142=Støtteark!$U$6,O142=Støtteark!$B$29)),1,"")</f>
        <v>1</v>
      </c>
      <c r="AG142" s="231">
        <f>IF(OR(N142 = Støtteark!$L$25,N142 = Støtteark!$L$26,N142 = Støtteark!$L$28,AND(N142 = Støtteark!$L$29,OR(O142=Støtteark!$B$30,O142 = Støtteark!$B$31,O142=Støtteark!$B$32,O142=Støtteark!$B$34)),AND(E142=Støtteark!$U$6,OR(O142=Støtteark!$B$29,O142=Støtteark!$B$31))),1,"")</f>
        <v>1</v>
      </c>
      <c r="AH142" s="231">
        <f>IF(OR(N142 = Støtteark!$L$25,N142 = Støtteark!$L$26,N142 = Støtteark!$L$28,AND(N142 = Støtteark!$L$29,O142=Støtteark!$B$34),AND(E142=Støtteark!$U$6,OR(O142=Støtteark!$B$29,O142=Støtteark!$B$30))),1,"")</f>
        <v>1</v>
      </c>
      <c r="AI142" s="231">
        <f>IF(OR(N142 = Støtteark!$L$25,N142 = Støtteark!$L$26,N142 = Støtteark!$L$28,AND(N142 = Støtteark!$L$29,OR(O142=Støtteark!$B$34,O142 = Støtteark!$B$30)),AND(E142=Støtteark!$U$6,OR(O142=Støtteark!$B$29,O142=Støtteark!$B$30))),1,"")</f>
        <v>1</v>
      </c>
      <c r="AJ142" s="231">
        <f>IF(OR(AND(E142&lt;&gt;Støtteark!$U$6,N142 = Støtteark!$L$25),N142 = Støtteark!$L$26,N142 = Støtteark!$L$28,AND(N142 = Støtteark!$L$29,OR(O142=Støtteark!$B$34,O142=Støtteark!$B$35),O142&lt;&gt;Støtteark!$B$30)),1,"")</f>
        <v>1</v>
      </c>
      <c r="AK142" s="231">
        <f>IF(OR(AND(E142&lt;&gt;Støtteark!$U$6,N142 = Støtteark!$L$25),N142 = Støtteark!$L$26,N142 = Støtteark!$L$28,AND(N142 = Støtteark!$L$29,E142&lt;&gt;Støtteark!$U$6,OR(O142=Støtteark!$B$34,O142 = Støtteark!$B$30))),1,"")</f>
        <v>1</v>
      </c>
      <c r="AL142" s="231">
        <f>IF(OR(AND(E142&lt;&gt;Støtteark!$U$6,N142 = Støtteark!$L$25),N142 = Støtteark!$L$26,N142 = Støtteark!$L$28,AND(N142 = Støtteark!$L$29,O142=Støtteark!$B$34)),1,"")</f>
        <v>1</v>
      </c>
      <c r="AM142" s="231">
        <f>IF(AND(N142 = Støtteark!$L$29,OR(O142=Støtteark!$B$30,O142=Støtteark!$B$32,O142=Støtteark!$B$33,O142=Støtteark!$B$34,O142=Støtteark!$B$35)),Støtteark!$L$32,"")</f>
        <v>801</v>
      </c>
      <c r="AN142" s="235"/>
      <c r="AO142" s="91"/>
      <c r="AP142" s="170">
        <v>0</v>
      </c>
      <c r="AQ142" s="235"/>
      <c r="AR142" s="64">
        <f t="shared" ca="1" si="126"/>
        <v>44022</v>
      </c>
    </row>
    <row r="143" spans="1:44" ht="25.5" hidden="1" x14ac:dyDescent="0.25">
      <c r="A143" s="221" t="str">
        <f t="shared" si="122"/>
        <v>Kundenr.-Ejendom</v>
      </c>
      <c r="B143" s="61" t="str">
        <f>Ydelser!A143&amp;" - "&amp;Ydelser!C143</f>
        <v>914 - Kundespecifik ydelse 14</v>
      </c>
      <c r="C143" s="61" t="str">
        <f>Ydelser!D143</f>
        <v>Beskrivelse.</v>
      </c>
      <c r="D143" s="61">
        <f>'FS Aftale'!D143</f>
        <v>0</v>
      </c>
      <c r="E143" s="156" t="str">
        <f>'FS Aftale'!E143</f>
        <v>Månedligt</v>
      </c>
      <c r="F143" s="61" t="str">
        <f t="shared" ref="F143:H143" si="149">F142</f>
        <v>Team Ansvarlig</v>
      </c>
      <c r="G143" s="61" t="str">
        <f t="shared" si="149"/>
        <v>Ansvarlig</v>
      </c>
      <c r="H143" s="61" t="str">
        <f t="shared" si="149"/>
        <v>Servicemedarb.</v>
      </c>
      <c r="I143" s="235"/>
      <c r="J143" s="61" t="str">
        <f t="shared" ref="J143:M143" si="150">J142</f>
        <v>Fast</v>
      </c>
      <c r="K143" s="61" t="str">
        <f t="shared" si="150"/>
        <v>FS aftale</v>
      </c>
      <c r="L143" s="188">
        <f t="shared" si="150"/>
        <v>1</v>
      </c>
      <c r="M143" s="157" t="str">
        <f t="shared" si="150"/>
        <v>Mangler planlægning</v>
      </c>
      <c r="N143" s="147" t="str">
        <f>IFERROR(VLOOKUP(O143,Støtteark!$B$21:$F$35,MATCH(E143,Støtteark!$B$21:$F$21,0),0),Støtteark!$L$35)</f>
        <v>Månedligt</v>
      </c>
      <c r="O143" s="62">
        <f>'FS Aftale'!F143</f>
        <v>12</v>
      </c>
      <c r="P143" s="179" t="str">
        <f t="shared" si="125"/>
        <v>7:00</v>
      </c>
      <c r="Q143" s="63">
        <f>'FS Aftale'!G143*Støtteark!$Q$15</f>
        <v>0</v>
      </c>
      <c r="R143" s="235"/>
      <c r="S143" s="231" t="str">
        <f>IF(OR(AND(OR(N143 = Støtteark!$L$25,N143 = Støtteark!$L$26,N143 = Støtteark!$L$28),E143&lt;&gt;Støtteark!$U$6,OR(O143=Støtteark!$B$22,O143=Støtteark!$B$23,O143=Støtteark!$B$24,O143=Støtteark!$B$25,O143=Støtteark!$B$26,O143=Støtteark!$B$27,O143=Støtteark!$B$28)),AND(E143=Støtteark!$U$6,OR(O143=Støtteark!$B$24,O143=Støtteark!$B$27,O143=Støtteark!$B$29))),1,"")</f>
        <v/>
      </c>
      <c r="T143" s="232" t="str">
        <f>IF(OR(AND(N143 = Støtteark!$L$25,E143&lt;&gt;Støtteark!$U$6,O143=Støtteark!$B$22),AND(E143=Støtteark!$U$6,O143=Støtteark!$B$24),O143=Støtteark!$B$22),1,"")</f>
        <v/>
      </c>
      <c r="U143" s="232" t="str">
        <f>IF(OR(AND(N143 = Støtteark!$L$25,E143&lt;&gt;Støtteark!$U$6,OR(O143=Støtteark!$B$22,O143=Støtteark!$B$23,O143=Støtteark!$B$24)),AND(E143=Støtteark!$U$6,OR(O143=Støtteark!$B$22,O143=Støtteark!$B$24))),1,"")</f>
        <v/>
      </c>
      <c r="V143" s="232" t="str">
        <f>IF(OR(AND(N143 = Støtteark!$L$25,E143&lt;&gt;Støtteark!$U$6,O143=Støtteark!$B$22),AND(E143=Støtteark!$U$6,OR(O143=Støtteark!$B$22,O143=Støtteark!$B$24))),1,"")</f>
        <v/>
      </c>
      <c r="W143" s="232" t="str">
        <f>IF(OR(AND(N143 = Støtteark!$L$25,E143&lt;&gt;Støtteark!$U$6,OR(O143=Støtteark!$B$22,O143=Støtteark!$B$23,O143=Støtteark!$B$24,O143=Støtteark!$B$25)),AND(E143=Støtteark!$U$6,OR(O143=Støtteark!$B$22,O143=Støtteark!$B$24))),1,"")</f>
        <v/>
      </c>
      <c r="X143" s="231"/>
      <c r="Y143" s="231"/>
      <c r="Z143" s="235"/>
      <c r="AA143" s="231">
        <f>IF(OR(AND(E143&lt;&gt;Støtteark!$U$6,N143 = Støtteark!$L$25),N143 = Støtteark!$L$26,N143 = Støtteark!$L$28,AND(N143 = Støtteark!$L$29,E143&lt;&gt;Støtteark!$U$6,OR(O143=Støtteark!$B$30,O143=Støtteark!$B$32,O143=Støtteark!$B$33,AND(E143&lt;&gt;Støtteark!$U$6,O143=Støtteark!$B$34),O143=Støtteark!$B$35))),1,"")</f>
        <v>1</v>
      </c>
      <c r="AB143" s="231">
        <f>IF(OR(AND(E143&lt;&gt;Støtteark!$U$6,N143 = Støtteark!$L$25),N143 = Støtteark!$L$26,N143 = Støtteark!$L$28,AND(N143 = Støtteark!$L$29,O143=Støtteark!$B$34)),1,"")</f>
        <v>1</v>
      </c>
      <c r="AC143" s="231">
        <f>IF(OR(AND(E143&lt;&gt;Støtteark!$U$6,N143 = Støtteark!$L$25),N143 = Støtteark!$L$26,N143 = Støtteark!$L$28,AND(N143 = Støtteark!$L$29,E143&lt;&gt;Støtteark!$U$6,OR(O143=Støtteark!$B$30,O143 = Støtteark!$B$34))),1,"")</f>
        <v>1</v>
      </c>
      <c r="AD143" s="232">
        <f>IF(OR(N143 = Støtteark!$L$25,N143 = Støtteark!$L$26,N143 = Støtteark!$L$28,AND(N143 = Støtteark!$L$29,OR(O143=Støtteark!$B$34,O143=Støtteark!$B$35)),AND(E143=Støtteark!$U$6,OR(O143=Støtteark!$B$29,O143=Støtteark!$B$30,O143=Støtteark!$B$32,O143=Støtteark!$B$33))),1,"")</f>
        <v>1</v>
      </c>
      <c r="AE143" s="231">
        <f>IF(OR(N143 = Støtteark!$L$25,N143 = Støtteark!$L$26,N143 = Støtteark!$L$28,AND(N143 = Støtteark!$L$29,OR(O143=Støtteark!$B$34,O143 = Støtteark!$B$30)),AND(E143=Støtteark!$U$6,O143=Støtteark!$B$29)),1,"")</f>
        <v>1</v>
      </c>
      <c r="AF143" s="231">
        <f>IF(OR(N143 = Støtteark!$L$25,N143 = Støtteark!$L$26,N143 = Støtteark!$L$28,AND(N143 = Støtteark!$L$29,O143=Støtteark!$B$34),AND(E143=Støtteark!$U$6,O143=Støtteark!$B$30),AND(E143=Støtteark!$U$6,O143=Støtteark!$B$29)),1,"")</f>
        <v>1</v>
      </c>
      <c r="AG143" s="231">
        <f>IF(OR(N143 = Støtteark!$L$25,N143 = Støtteark!$L$26,N143 = Støtteark!$L$28,AND(N143 = Støtteark!$L$29,OR(O143=Støtteark!$B$30,O143 = Støtteark!$B$31,O143=Støtteark!$B$32,O143=Støtteark!$B$34)),AND(E143=Støtteark!$U$6,OR(O143=Støtteark!$B$29,O143=Støtteark!$B$31))),1,"")</f>
        <v>1</v>
      </c>
      <c r="AH143" s="231">
        <f>IF(OR(N143 = Støtteark!$L$25,N143 = Støtteark!$L$26,N143 = Støtteark!$L$28,AND(N143 = Støtteark!$L$29,O143=Støtteark!$B$34),AND(E143=Støtteark!$U$6,OR(O143=Støtteark!$B$29,O143=Støtteark!$B$30))),1,"")</f>
        <v>1</v>
      </c>
      <c r="AI143" s="231">
        <f>IF(OR(N143 = Støtteark!$L$25,N143 = Støtteark!$L$26,N143 = Støtteark!$L$28,AND(N143 = Støtteark!$L$29,OR(O143=Støtteark!$B$34,O143 = Støtteark!$B$30)),AND(E143=Støtteark!$U$6,OR(O143=Støtteark!$B$29,O143=Støtteark!$B$30))),1,"")</f>
        <v>1</v>
      </c>
      <c r="AJ143" s="231">
        <f>IF(OR(AND(E143&lt;&gt;Støtteark!$U$6,N143 = Støtteark!$L$25),N143 = Støtteark!$L$26,N143 = Støtteark!$L$28,AND(N143 = Støtteark!$L$29,OR(O143=Støtteark!$B$34,O143=Støtteark!$B$35),O143&lt;&gt;Støtteark!$B$30)),1,"")</f>
        <v>1</v>
      </c>
      <c r="AK143" s="231">
        <f>IF(OR(AND(E143&lt;&gt;Støtteark!$U$6,N143 = Støtteark!$L$25),N143 = Støtteark!$L$26,N143 = Støtteark!$L$28,AND(N143 = Støtteark!$L$29,E143&lt;&gt;Støtteark!$U$6,OR(O143=Støtteark!$B$34,O143 = Støtteark!$B$30))),1,"")</f>
        <v>1</v>
      </c>
      <c r="AL143" s="231">
        <f>IF(OR(AND(E143&lt;&gt;Støtteark!$U$6,N143 = Støtteark!$L$25),N143 = Støtteark!$L$26,N143 = Støtteark!$L$28,AND(N143 = Støtteark!$L$29,O143=Støtteark!$B$34)),1,"")</f>
        <v>1</v>
      </c>
      <c r="AM143" s="231">
        <f>IF(AND(N143 = Støtteark!$L$29,OR(O143=Støtteark!$B$30,O143=Støtteark!$B$32,O143=Støtteark!$B$33,O143=Støtteark!$B$34,O143=Støtteark!$B$35)),Støtteark!$L$32,"")</f>
        <v>801</v>
      </c>
      <c r="AN143" s="235"/>
      <c r="AO143" s="91"/>
      <c r="AP143" s="170">
        <v>0</v>
      </c>
      <c r="AQ143" s="235"/>
      <c r="AR143" s="64">
        <f t="shared" ca="1" si="126"/>
        <v>44022</v>
      </c>
    </row>
    <row r="144" spans="1:44" ht="25.5" hidden="1" x14ac:dyDescent="0.25">
      <c r="A144" s="221" t="str">
        <f t="shared" si="122"/>
        <v>Kundenr.-Ejendom</v>
      </c>
      <c r="B144" s="61" t="str">
        <f>Ydelser!A144&amp;" - "&amp;Ydelser!C144</f>
        <v>915 - Kundespecifik ydelse 15</v>
      </c>
      <c r="C144" s="61" t="str">
        <f>Ydelser!D144</f>
        <v>Beskrivelse.</v>
      </c>
      <c r="D144" s="61">
        <f>'FS Aftale'!D144</f>
        <v>0</v>
      </c>
      <c r="E144" s="156" t="str">
        <f>'FS Aftale'!E144</f>
        <v>Månedligt</v>
      </c>
      <c r="F144" s="61" t="str">
        <f t="shared" ref="F144:H144" si="151">F143</f>
        <v>Team Ansvarlig</v>
      </c>
      <c r="G144" s="61" t="str">
        <f t="shared" si="151"/>
        <v>Ansvarlig</v>
      </c>
      <c r="H144" s="61" t="str">
        <f t="shared" si="151"/>
        <v>Servicemedarb.</v>
      </c>
      <c r="I144" s="235"/>
      <c r="J144" s="61" t="str">
        <f t="shared" ref="J144:M144" si="152">J143</f>
        <v>Fast</v>
      </c>
      <c r="K144" s="61" t="str">
        <f t="shared" si="152"/>
        <v>FS aftale</v>
      </c>
      <c r="L144" s="188">
        <f t="shared" si="152"/>
        <v>1</v>
      </c>
      <c r="M144" s="157" t="str">
        <f t="shared" si="152"/>
        <v>Mangler planlægning</v>
      </c>
      <c r="N144" s="147" t="str">
        <f>IFERROR(VLOOKUP(O144,Støtteark!$B$21:$F$35,MATCH(E144,Støtteark!$B$21:$F$21,0),0),Støtteark!$L$35)</f>
        <v>Månedligt</v>
      </c>
      <c r="O144" s="62">
        <f>'FS Aftale'!F144</f>
        <v>12</v>
      </c>
      <c r="P144" s="179" t="str">
        <f t="shared" si="125"/>
        <v>7:00</v>
      </c>
      <c r="Q144" s="63">
        <f>'FS Aftale'!G144*Støtteark!$Q$15</f>
        <v>0</v>
      </c>
      <c r="R144" s="235"/>
      <c r="S144" s="231" t="str">
        <f>IF(OR(AND(OR(N144 = Støtteark!$L$25,N144 = Støtteark!$L$26,N144 = Støtteark!$L$28),E144&lt;&gt;Støtteark!$U$6,OR(O144=Støtteark!$B$22,O144=Støtteark!$B$23,O144=Støtteark!$B$24,O144=Støtteark!$B$25,O144=Støtteark!$B$26,O144=Støtteark!$B$27,O144=Støtteark!$B$28)),AND(E144=Støtteark!$U$6,OR(O144=Støtteark!$B$24,O144=Støtteark!$B$27,O144=Støtteark!$B$29))),1,"")</f>
        <v/>
      </c>
      <c r="T144" s="232" t="str">
        <f>IF(OR(AND(N144 = Støtteark!$L$25,E144&lt;&gt;Støtteark!$U$6,O144=Støtteark!$B$22),AND(E144=Støtteark!$U$6,O144=Støtteark!$B$24),O144=Støtteark!$B$22),1,"")</f>
        <v/>
      </c>
      <c r="U144" s="232" t="str">
        <f>IF(OR(AND(N144 = Støtteark!$L$25,E144&lt;&gt;Støtteark!$U$6,OR(O144=Støtteark!$B$22,O144=Støtteark!$B$23,O144=Støtteark!$B$24)),AND(E144=Støtteark!$U$6,OR(O144=Støtteark!$B$22,O144=Støtteark!$B$24))),1,"")</f>
        <v/>
      </c>
      <c r="V144" s="232" t="str">
        <f>IF(OR(AND(N144 = Støtteark!$L$25,E144&lt;&gt;Støtteark!$U$6,O144=Støtteark!$B$22),AND(E144=Støtteark!$U$6,OR(O144=Støtteark!$B$22,O144=Støtteark!$B$24))),1,"")</f>
        <v/>
      </c>
      <c r="W144" s="232" t="str">
        <f>IF(OR(AND(N144 = Støtteark!$L$25,E144&lt;&gt;Støtteark!$U$6,OR(O144=Støtteark!$B$22,O144=Støtteark!$B$23,O144=Støtteark!$B$24,O144=Støtteark!$B$25)),AND(E144=Støtteark!$U$6,OR(O144=Støtteark!$B$22,O144=Støtteark!$B$24))),1,"")</f>
        <v/>
      </c>
      <c r="X144" s="231"/>
      <c r="Y144" s="231"/>
      <c r="Z144" s="235"/>
      <c r="AA144" s="231">
        <f>IF(OR(AND(E144&lt;&gt;Støtteark!$U$6,N144 = Støtteark!$L$25),N144 = Støtteark!$L$26,N144 = Støtteark!$L$28,AND(N144 = Støtteark!$L$29,E144&lt;&gt;Støtteark!$U$6,OR(O144=Støtteark!$B$30,O144=Støtteark!$B$32,O144=Støtteark!$B$33,AND(E144&lt;&gt;Støtteark!$U$6,O144=Støtteark!$B$34),O144=Støtteark!$B$35))),1,"")</f>
        <v>1</v>
      </c>
      <c r="AB144" s="231">
        <f>IF(OR(AND(E144&lt;&gt;Støtteark!$U$6,N144 = Støtteark!$L$25),N144 = Støtteark!$L$26,N144 = Støtteark!$L$28,AND(N144 = Støtteark!$L$29,O144=Støtteark!$B$34)),1,"")</f>
        <v>1</v>
      </c>
      <c r="AC144" s="231">
        <f>IF(OR(AND(E144&lt;&gt;Støtteark!$U$6,N144 = Støtteark!$L$25),N144 = Støtteark!$L$26,N144 = Støtteark!$L$28,AND(N144 = Støtteark!$L$29,E144&lt;&gt;Støtteark!$U$6,OR(O144=Støtteark!$B$30,O144 = Støtteark!$B$34))),1,"")</f>
        <v>1</v>
      </c>
      <c r="AD144" s="232">
        <f>IF(OR(N144 = Støtteark!$L$25,N144 = Støtteark!$L$26,N144 = Støtteark!$L$28,AND(N144 = Støtteark!$L$29,OR(O144=Støtteark!$B$34,O144=Støtteark!$B$35)),AND(E144=Støtteark!$U$6,OR(O144=Støtteark!$B$29,O144=Støtteark!$B$30,O144=Støtteark!$B$32,O144=Støtteark!$B$33))),1,"")</f>
        <v>1</v>
      </c>
      <c r="AE144" s="231">
        <f>IF(OR(N144 = Støtteark!$L$25,N144 = Støtteark!$L$26,N144 = Støtteark!$L$28,AND(N144 = Støtteark!$L$29,OR(O144=Støtteark!$B$34,O144 = Støtteark!$B$30)),AND(E144=Støtteark!$U$6,O144=Støtteark!$B$29)),1,"")</f>
        <v>1</v>
      </c>
      <c r="AF144" s="231">
        <f>IF(OR(N144 = Støtteark!$L$25,N144 = Støtteark!$L$26,N144 = Støtteark!$L$28,AND(N144 = Støtteark!$L$29,O144=Støtteark!$B$34),AND(E144=Støtteark!$U$6,O144=Støtteark!$B$30),AND(E144=Støtteark!$U$6,O144=Støtteark!$B$29)),1,"")</f>
        <v>1</v>
      </c>
      <c r="AG144" s="231">
        <f>IF(OR(N144 = Støtteark!$L$25,N144 = Støtteark!$L$26,N144 = Støtteark!$L$28,AND(N144 = Støtteark!$L$29,OR(O144=Støtteark!$B$30,O144 = Støtteark!$B$31,O144=Støtteark!$B$32,O144=Støtteark!$B$34)),AND(E144=Støtteark!$U$6,OR(O144=Støtteark!$B$29,O144=Støtteark!$B$31))),1,"")</f>
        <v>1</v>
      </c>
      <c r="AH144" s="231">
        <f>IF(OR(N144 = Støtteark!$L$25,N144 = Støtteark!$L$26,N144 = Støtteark!$L$28,AND(N144 = Støtteark!$L$29,O144=Støtteark!$B$34),AND(E144=Støtteark!$U$6,OR(O144=Støtteark!$B$29,O144=Støtteark!$B$30))),1,"")</f>
        <v>1</v>
      </c>
      <c r="AI144" s="231">
        <f>IF(OR(N144 = Støtteark!$L$25,N144 = Støtteark!$L$26,N144 = Støtteark!$L$28,AND(N144 = Støtteark!$L$29,OR(O144=Støtteark!$B$34,O144 = Støtteark!$B$30)),AND(E144=Støtteark!$U$6,OR(O144=Støtteark!$B$29,O144=Støtteark!$B$30))),1,"")</f>
        <v>1</v>
      </c>
      <c r="AJ144" s="231">
        <f>IF(OR(AND(E144&lt;&gt;Støtteark!$U$6,N144 = Støtteark!$L$25),N144 = Støtteark!$L$26,N144 = Støtteark!$L$28,AND(N144 = Støtteark!$L$29,OR(O144=Støtteark!$B$34,O144=Støtteark!$B$35),O144&lt;&gt;Støtteark!$B$30)),1,"")</f>
        <v>1</v>
      </c>
      <c r="AK144" s="231">
        <f>IF(OR(AND(E144&lt;&gt;Støtteark!$U$6,N144 = Støtteark!$L$25),N144 = Støtteark!$L$26,N144 = Støtteark!$L$28,AND(N144 = Støtteark!$L$29,E144&lt;&gt;Støtteark!$U$6,OR(O144=Støtteark!$B$34,O144 = Støtteark!$B$30))),1,"")</f>
        <v>1</v>
      </c>
      <c r="AL144" s="231">
        <f>IF(OR(AND(E144&lt;&gt;Støtteark!$U$6,N144 = Støtteark!$L$25),N144 = Støtteark!$L$26,N144 = Støtteark!$L$28,AND(N144 = Støtteark!$L$29,O144=Støtteark!$B$34)),1,"")</f>
        <v>1</v>
      </c>
      <c r="AM144" s="231">
        <f>IF(AND(N144 = Støtteark!$L$29,OR(O144=Støtteark!$B$30,O144=Støtteark!$B$32,O144=Støtteark!$B$33,O144=Støtteark!$B$34,O144=Støtteark!$B$35)),Støtteark!$L$32,"")</f>
        <v>801</v>
      </c>
      <c r="AN144" s="235"/>
      <c r="AO144" s="91"/>
      <c r="AP144" s="170">
        <v>0</v>
      </c>
      <c r="AQ144" s="235"/>
      <c r="AR144" s="64">
        <f t="shared" ca="1" si="126"/>
        <v>44022</v>
      </c>
    </row>
    <row r="145" spans="1:44" ht="25.5" hidden="1" x14ac:dyDescent="0.25">
      <c r="A145" s="221" t="str">
        <f t="shared" si="122"/>
        <v>Kundenr.-Ejendom</v>
      </c>
      <c r="B145" s="61" t="str">
        <f>Ydelser!A145&amp;" - "&amp;Ydelser!C145</f>
        <v>916 - Kundespecifik ydelse 16</v>
      </c>
      <c r="C145" s="61" t="str">
        <f>Ydelser!D145</f>
        <v>Beskrivelse.</v>
      </c>
      <c r="D145" s="61">
        <f>'FS Aftale'!D145</f>
        <v>0</v>
      </c>
      <c r="E145" s="156" t="str">
        <f>'FS Aftale'!E145</f>
        <v>Månedligt</v>
      </c>
      <c r="F145" s="61" t="str">
        <f t="shared" ref="F145:H145" si="153">F144</f>
        <v>Team Ansvarlig</v>
      </c>
      <c r="G145" s="61" t="str">
        <f t="shared" si="153"/>
        <v>Ansvarlig</v>
      </c>
      <c r="H145" s="61" t="str">
        <f t="shared" si="153"/>
        <v>Servicemedarb.</v>
      </c>
      <c r="I145" s="235"/>
      <c r="J145" s="61" t="str">
        <f t="shared" ref="J145:M145" si="154">J144</f>
        <v>Fast</v>
      </c>
      <c r="K145" s="61" t="str">
        <f t="shared" si="154"/>
        <v>FS aftale</v>
      </c>
      <c r="L145" s="188">
        <f t="shared" si="154"/>
        <v>1</v>
      </c>
      <c r="M145" s="157" t="str">
        <f t="shared" si="154"/>
        <v>Mangler planlægning</v>
      </c>
      <c r="N145" s="147" t="str">
        <f>IFERROR(VLOOKUP(O145,Støtteark!$B$21:$F$35,MATCH(E145,Støtteark!$B$21:$F$21,0),0),Støtteark!$L$35)</f>
        <v>Månedligt</v>
      </c>
      <c r="O145" s="62">
        <f>'FS Aftale'!F145</f>
        <v>12</v>
      </c>
      <c r="P145" s="179" t="str">
        <f t="shared" si="125"/>
        <v>7:00</v>
      </c>
      <c r="Q145" s="63">
        <f>'FS Aftale'!G145*Støtteark!$Q$15</f>
        <v>0</v>
      </c>
      <c r="R145" s="235"/>
      <c r="S145" s="231" t="str">
        <f>IF(OR(AND(OR(N145 = Støtteark!$L$25,N145 = Støtteark!$L$26,N145 = Støtteark!$L$28),E145&lt;&gt;Støtteark!$U$6,OR(O145=Støtteark!$B$22,O145=Støtteark!$B$23,O145=Støtteark!$B$24,O145=Støtteark!$B$25,O145=Støtteark!$B$26,O145=Støtteark!$B$27,O145=Støtteark!$B$28)),AND(E145=Støtteark!$U$6,OR(O145=Støtteark!$B$24,O145=Støtteark!$B$27,O145=Støtteark!$B$29))),1,"")</f>
        <v/>
      </c>
      <c r="T145" s="232" t="str">
        <f>IF(OR(AND(N145 = Støtteark!$L$25,E145&lt;&gt;Støtteark!$U$6,O145=Støtteark!$B$22),AND(E145=Støtteark!$U$6,O145=Støtteark!$B$24),O145=Støtteark!$B$22),1,"")</f>
        <v/>
      </c>
      <c r="U145" s="232" t="str">
        <f>IF(OR(AND(N145 = Støtteark!$L$25,E145&lt;&gt;Støtteark!$U$6,OR(O145=Støtteark!$B$22,O145=Støtteark!$B$23,O145=Støtteark!$B$24)),AND(E145=Støtteark!$U$6,OR(O145=Støtteark!$B$22,O145=Støtteark!$B$24))),1,"")</f>
        <v/>
      </c>
      <c r="V145" s="232" t="str">
        <f>IF(OR(AND(N145 = Støtteark!$L$25,E145&lt;&gt;Støtteark!$U$6,O145=Støtteark!$B$22),AND(E145=Støtteark!$U$6,OR(O145=Støtteark!$B$22,O145=Støtteark!$B$24))),1,"")</f>
        <v/>
      </c>
      <c r="W145" s="232" t="str">
        <f>IF(OR(AND(N145 = Støtteark!$L$25,E145&lt;&gt;Støtteark!$U$6,OR(O145=Støtteark!$B$22,O145=Støtteark!$B$23,O145=Støtteark!$B$24,O145=Støtteark!$B$25)),AND(E145=Støtteark!$U$6,OR(O145=Støtteark!$B$22,O145=Støtteark!$B$24))),1,"")</f>
        <v/>
      </c>
      <c r="X145" s="231"/>
      <c r="Y145" s="231"/>
      <c r="Z145" s="235"/>
      <c r="AA145" s="231">
        <f>IF(OR(AND(E145&lt;&gt;Støtteark!$U$6,N145 = Støtteark!$L$25),N145 = Støtteark!$L$26,N145 = Støtteark!$L$28,AND(N145 = Støtteark!$L$29,E145&lt;&gt;Støtteark!$U$6,OR(O145=Støtteark!$B$30,O145=Støtteark!$B$32,O145=Støtteark!$B$33,AND(E145&lt;&gt;Støtteark!$U$6,O145=Støtteark!$B$34),O145=Støtteark!$B$35))),1,"")</f>
        <v>1</v>
      </c>
      <c r="AB145" s="231">
        <f>IF(OR(AND(E145&lt;&gt;Støtteark!$U$6,N145 = Støtteark!$L$25),N145 = Støtteark!$L$26,N145 = Støtteark!$L$28,AND(N145 = Støtteark!$L$29,O145=Støtteark!$B$34)),1,"")</f>
        <v>1</v>
      </c>
      <c r="AC145" s="231">
        <f>IF(OR(AND(E145&lt;&gt;Støtteark!$U$6,N145 = Støtteark!$L$25),N145 = Støtteark!$L$26,N145 = Støtteark!$L$28,AND(N145 = Støtteark!$L$29,E145&lt;&gt;Støtteark!$U$6,OR(O145=Støtteark!$B$30,O145 = Støtteark!$B$34))),1,"")</f>
        <v>1</v>
      </c>
      <c r="AD145" s="232">
        <f>IF(OR(N145 = Støtteark!$L$25,N145 = Støtteark!$L$26,N145 = Støtteark!$L$28,AND(N145 = Støtteark!$L$29,OR(O145=Støtteark!$B$34,O145=Støtteark!$B$35)),AND(E145=Støtteark!$U$6,OR(O145=Støtteark!$B$29,O145=Støtteark!$B$30,O145=Støtteark!$B$32,O145=Støtteark!$B$33))),1,"")</f>
        <v>1</v>
      </c>
      <c r="AE145" s="231">
        <f>IF(OR(N145 = Støtteark!$L$25,N145 = Støtteark!$L$26,N145 = Støtteark!$L$28,AND(N145 = Støtteark!$L$29,OR(O145=Støtteark!$B$34,O145 = Støtteark!$B$30)),AND(E145=Støtteark!$U$6,O145=Støtteark!$B$29)),1,"")</f>
        <v>1</v>
      </c>
      <c r="AF145" s="231">
        <f>IF(OR(N145 = Støtteark!$L$25,N145 = Støtteark!$L$26,N145 = Støtteark!$L$28,AND(N145 = Støtteark!$L$29,O145=Støtteark!$B$34),AND(E145=Støtteark!$U$6,O145=Støtteark!$B$30),AND(E145=Støtteark!$U$6,O145=Støtteark!$B$29)),1,"")</f>
        <v>1</v>
      </c>
      <c r="AG145" s="231">
        <f>IF(OR(N145 = Støtteark!$L$25,N145 = Støtteark!$L$26,N145 = Støtteark!$L$28,AND(N145 = Støtteark!$L$29,OR(O145=Støtteark!$B$30,O145 = Støtteark!$B$31,O145=Støtteark!$B$32,O145=Støtteark!$B$34)),AND(E145=Støtteark!$U$6,OR(O145=Støtteark!$B$29,O145=Støtteark!$B$31))),1,"")</f>
        <v>1</v>
      </c>
      <c r="AH145" s="231">
        <f>IF(OR(N145 = Støtteark!$L$25,N145 = Støtteark!$L$26,N145 = Støtteark!$L$28,AND(N145 = Støtteark!$L$29,O145=Støtteark!$B$34),AND(E145=Støtteark!$U$6,OR(O145=Støtteark!$B$29,O145=Støtteark!$B$30))),1,"")</f>
        <v>1</v>
      </c>
      <c r="AI145" s="231">
        <f>IF(OR(N145 = Støtteark!$L$25,N145 = Støtteark!$L$26,N145 = Støtteark!$L$28,AND(N145 = Støtteark!$L$29,OR(O145=Støtteark!$B$34,O145 = Støtteark!$B$30)),AND(E145=Støtteark!$U$6,OR(O145=Støtteark!$B$29,O145=Støtteark!$B$30))),1,"")</f>
        <v>1</v>
      </c>
      <c r="AJ145" s="231">
        <f>IF(OR(AND(E145&lt;&gt;Støtteark!$U$6,N145 = Støtteark!$L$25),N145 = Støtteark!$L$26,N145 = Støtteark!$L$28,AND(N145 = Støtteark!$L$29,OR(O145=Støtteark!$B$34,O145=Støtteark!$B$35),O145&lt;&gt;Støtteark!$B$30)),1,"")</f>
        <v>1</v>
      </c>
      <c r="AK145" s="231">
        <f>IF(OR(AND(E145&lt;&gt;Støtteark!$U$6,N145 = Støtteark!$L$25),N145 = Støtteark!$L$26,N145 = Støtteark!$L$28,AND(N145 = Støtteark!$L$29,E145&lt;&gt;Støtteark!$U$6,OR(O145=Støtteark!$B$34,O145 = Støtteark!$B$30))),1,"")</f>
        <v>1</v>
      </c>
      <c r="AL145" s="231">
        <f>IF(OR(AND(E145&lt;&gt;Støtteark!$U$6,N145 = Støtteark!$L$25),N145 = Støtteark!$L$26,N145 = Støtteark!$L$28,AND(N145 = Støtteark!$L$29,O145=Støtteark!$B$34)),1,"")</f>
        <v>1</v>
      </c>
      <c r="AM145" s="231">
        <f>IF(AND(N145 = Støtteark!$L$29,OR(O145=Støtteark!$B$30,O145=Støtteark!$B$32,O145=Støtteark!$B$33,O145=Støtteark!$B$34,O145=Støtteark!$B$35)),Støtteark!$L$32,"")</f>
        <v>801</v>
      </c>
      <c r="AN145" s="235"/>
      <c r="AO145" s="91"/>
      <c r="AP145" s="170">
        <v>0</v>
      </c>
      <c r="AQ145" s="235"/>
      <c r="AR145" s="64">
        <f t="shared" ca="1" si="126"/>
        <v>44022</v>
      </c>
    </row>
    <row r="146" spans="1:44" ht="25.5" hidden="1" x14ac:dyDescent="0.25">
      <c r="A146" s="221" t="str">
        <f t="shared" si="122"/>
        <v>Kundenr.-Ejendom</v>
      </c>
      <c r="B146" s="61" t="str">
        <f>Ydelser!A146&amp;" - "&amp;Ydelser!C146</f>
        <v>917 - Kundespecifik ydelse 17</v>
      </c>
      <c r="C146" s="61" t="str">
        <f>Ydelser!D146</f>
        <v>Beskrivelse.</v>
      </c>
      <c r="D146" s="61">
        <f>'FS Aftale'!D146</f>
        <v>0</v>
      </c>
      <c r="E146" s="156" t="str">
        <f>'FS Aftale'!E146</f>
        <v>Månedligt</v>
      </c>
      <c r="F146" s="61" t="str">
        <f t="shared" ref="F146:H146" si="155">F145</f>
        <v>Team Ansvarlig</v>
      </c>
      <c r="G146" s="61" t="str">
        <f t="shared" si="155"/>
        <v>Ansvarlig</v>
      </c>
      <c r="H146" s="61" t="str">
        <f t="shared" si="155"/>
        <v>Servicemedarb.</v>
      </c>
      <c r="I146" s="235"/>
      <c r="J146" s="61" t="str">
        <f t="shared" ref="J146:M146" si="156">J145</f>
        <v>Fast</v>
      </c>
      <c r="K146" s="61" t="str">
        <f t="shared" si="156"/>
        <v>FS aftale</v>
      </c>
      <c r="L146" s="188">
        <f t="shared" si="156"/>
        <v>1</v>
      </c>
      <c r="M146" s="157" t="str">
        <f t="shared" si="156"/>
        <v>Mangler planlægning</v>
      </c>
      <c r="N146" s="147" t="str">
        <f>IFERROR(VLOOKUP(O146,Støtteark!$B$21:$F$35,MATCH(E146,Støtteark!$B$21:$F$21,0),0),Støtteark!$L$35)</f>
        <v>Månedligt</v>
      </c>
      <c r="O146" s="62">
        <f>'FS Aftale'!F146</f>
        <v>12</v>
      </c>
      <c r="P146" s="179" t="str">
        <f t="shared" si="125"/>
        <v>7:00</v>
      </c>
      <c r="Q146" s="63">
        <f>'FS Aftale'!G146*Støtteark!$Q$15</f>
        <v>0</v>
      </c>
      <c r="R146" s="235"/>
      <c r="S146" s="231" t="str">
        <f>IF(OR(AND(OR(N146 = Støtteark!$L$25,N146 = Støtteark!$L$26,N146 = Støtteark!$L$28),E146&lt;&gt;Støtteark!$U$6,OR(O146=Støtteark!$B$22,O146=Støtteark!$B$23,O146=Støtteark!$B$24,O146=Støtteark!$B$25,O146=Støtteark!$B$26,O146=Støtteark!$B$27,O146=Støtteark!$B$28)),AND(E146=Støtteark!$U$6,OR(O146=Støtteark!$B$24,O146=Støtteark!$B$27,O146=Støtteark!$B$29))),1,"")</f>
        <v/>
      </c>
      <c r="T146" s="232" t="str">
        <f>IF(OR(AND(N146 = Støtteark!$L$25,E146&lt;&gt;Støtteark!$U$6,O146=Støtteark!$B$22),AND(E146=Støtteark!$U$6,O146=Støtteark!$B$24),O146=Støtteark!$B$22),1,"")</f>
        <v/>
      </c>
      <c r="U146" s="232" t="str">
        <f>IF(OR(AND(N146 = Støtteark!$L$25,E146&lt;&gt;Støtteark!$U$6,OR(O146=Støtteark!$B$22,O146=Støtteark!$B$23,O146=Støtteark!$B$24)),AND(E146=Støtteark!$U$6,OR(O146=Støtteark!$B$22,O146=Støtteark!$B$24))),1,"")</f>
        <v/>
      </c>
      <c r="V146" s="232" t="str">
        <f>IF(OR(AND(N146 = Støtteark!$L$25,E146&lt;&gt;Støtteark!$U$6,O146=Støtteark!$B$22),AND(E146=Støtteark!$U$6,OR(O146=Støtteark!$B$22,O146=Støtteark!$B$24))),1,"")</f>
        <v/>
      </c>
      <c r="W146" s="232" t="str">
        <f>IF(OR(AND(N146 = Støtteark!$L$25,E146&lt;&gt;Støtteark!$U$6,OR(O146=Støtteark!$B$22,O146=Støtteark!$B$23,O146=Støtteark!$B$24,O146=Støtteark!$B$25)),AND(E146=Støtteark!$U$6,OR(O146=Støtteark!$B$22,O146=Støtteark!$B$24))),1,"")</f>
        <v/>
      </c>
      <c r="X146" s="231"/>
      <c r="Y146" s="231"/>
      <c r="Z146" s="235"/>
      <c r="AA146" s="231">
        <f>IF(OR(AND(E146&lt;&gt;Støtteark!$U$6,N146 = Støtteark!$L$25),N146 = Støtteark!$L$26,N146 = Støtteark!$L$28,AND(N146 = Støtteark!$L$29,E146&lt;&gt;Støtteark!$U$6,OR(O146=Støtteark!$B$30,O146=Støtteark!$B$32,O146=Støtteark!$B$33,AND(E146&lt;&gt;Støtteark!$U$6,O146=Støtteark!$B$34),O146=Støtteark!$B$35))),1,"")</f>
        <v>1</v>
      </c>
      <c r="AB146" s="231">
        <f>IF(OR(AND(E146&lt;&gt;Støtteark!$U$6,N146 = Støtteark!$L$25),N146 = Støtteark!$L$26,N146 = Støtteark!$L$28,AND(N146 = Støtteark!$L$29,O146=Støtteark!$B$34)),1,"")</f>
        <v>1</v>
      </c>
      <c r="AC146" s="231">
        <f>IF(OR(AND(E146&lt;&gt;Støtteark!$U$6,N146 = Støtteark!$L$25),N146 = Støtteark!$L$26,N146 = Støtteark!$L$28,AND(N146 = Støtteark!$L$29,E146&lt;&gt;Støtteark!$U$6,OR(O146=Støtteark!$B$30,O146 = Støtteark!$B$34))),1,"")</f>
        <v>1</v>
      </c>
      <c r="AD146" s="232">
        <f>IF(OR(N146 = Støtteark!$L$25,N146 = Støtteark!$L$26,N146 = Støtteark!$L$28,AND(N146 = Støtteark!$L$29,OR(O146=Støtteark!$B$34,O146=Støtteark!$B$35)),AND(E146=Støtteark!$U$6,OR(O146=Støtteark!$B$29,O146=Støtteark!$B$30,O146=Støtteark!$B$32,O146=Støtteark!$B$33))),1,"")</f>
        <v>1</v>
      </c>
      <c r="AE146" s="231">
        <f>IF(OR(N146 = Støtteark!$L$25,N146 = Støtteark!$L$26,N146 = Støtteark!$L$28,AND(N146 = Støtteark!$L$29,OR(O146=Støtteark!$B$34,O146 = Støtteark!$B$30)),AND(E146=Støtteark!$U$6,O146=Støtteark!$B$29)),1,"")</f>
        <v>1</v>
      </c>
      <c r="AF146" s="231">
        <f>IF(OR(N146 = Støtteark!$L$25,N146 = Støtteark!$L$26,N146 = Støtteark!$L$28,AND(N146 = Støtteark!$L$29,O146=Støtteark!$B$34),AND(E146=Støtteark!$U$6,O146=Støtteark!$B$30),AND(E146=Støtteark!$U$6,O146=Støtteark!$B$29)),1,"")</f>
        <v>1</v>
      </c>
      <c r="AG146" s="231">
        <f>IF(OR(N146 = Støtteark!$L$25,N146 = Støtteark!$L$26,N146 = Støtteark!$L$28,AND(N146 = Støtteark!$L$29,OR(O146=Støtteark!$B$30,O146 = Støtteark!$B$31,O146=Støtteark!$B$32,O146=Støtteark!$B$34)),AND(E146=Støtteark!$U$6,OR(O146=Støtteark!$B$29,O146=Støtteark!$B$31))),1,"")</f>
        <v>1</v>
      </c>
      <c r="AH146" s="231">
        <f>IF(OR(N146 = Støtteark!$L$25,N146 = Støtteark!$L$26,N146 = Støtteark!$L$28,AND(N146 = Støtteark!$L$29,O146=Støtteark!$B$34),AND(E146=Støtteark!$U$6,OR(O146=Støtteark!$B$29,O146=Støtteark!$B$30))),1,"")</f>
        <v>1</v>
      </c>
      <c r="AI146" s="231">
        <f>IF(OR(N146 = Støtteark!$L$25,N146 = Støtteark!$L$26,N146 = Støtteark!$L$28,AND(N146 = Støtteark!$L$29,OR(O146=Støtteark!$B$34,O146 = Støtteark!$B$30)),AND(E146=Støtteark!$U$6,OR(O146=Støtteark!$B$29,O146=Støtteark!$B$30))),1,"")</f>
        <v>1</v>
      </c>
      <c r="AJ146" s="231">
        <f>IF(OR(AND(E146&lt;&gt;Støtteark!$U$6,N146 = Støtteark!$L$25),N146 = Støtteark!$L$26,N146 = Støtteark!$L$28,AND(N146 = Støtteark!$L$29,OR(O146=Støtteark!$B$34,O146=Støtteark!$B$35),O146&lt;&gt;Støtteark!$B$30)),1,"")</f>
        <v>1</v>
      </c>
      <c r="AK146" s="231">
        <f>IF(OR(AND(E146&lt;&gt;Støtteark!$U$6,N146 = Støtteark!$L$25),N146 = Støtteark!$L$26,N146 = Støtteark!$L$28,AND(N146 = Støtteark!$L$29,E146&lt;&gt;Støtteark!$U$6,OR(O146=Støtteark!$B$34,O146 = Støtteark!$B$30))),1,"")</f>
        <v>1</v>
      </c>
      <c r="AL146" s="231">
        <f>IF(OR(AND(E146&lt;&gt;Støtteark!$U$6,N146 = Støtteark!$L$25),N146 = Støtteark!$L$26,N146 = Støtteark!$L$28,AND(N146 = Støtteark!$L$29,O146=Støtteark!$B$34)),1,"")</f>
        <v>1</v>
      </c>
      <c r="AM146" s="231">
        <f>IF(AND(N146 = Støtteark!$L$29,OR(O146=Støtteark!$B$30,O146=Støtteark!$B$32,O146=Støtteark!$B$33,O146=Støtteark!$B$34,O146=Støtteark!$B$35)),Støtteark!$L$32,"")</f>
        <v>801</v>
      </c>
      <c r="AN146" s="235"/>
      <c r="AO146" s="91"/>
      <c r="AP146" s="170">
        <v>0</v>
      </c>
      <c r="AQ146" s="235"/>
      <c r="AR146" s="64">
        <f t="shared" ca="1" si="126"/>
        <v>44022</v>
      </c>
    </row>
    <row r="147" spans="1:44" ht="25.5" hidden="1" x14ac:dyDescent="0.25">
      <c r="A147" s="221" t="str">
        <f t="shared" si="122"/>
        <v>Kundenr.-Ejendom</v>
      </c>
      <c r="B147" s="61" t="str">
        <f>Ydelser!A147&amp;" - "&amp;Ydelser!C147</f>
        <v>918 - Kundespecifik ydelse 18</v>
      </c>
      <c r="C147" s="61" t="str">
        <f>Ydelser!D147</f>
        <v>Beskrivelse.</v>
      </c>
      <c r="D147" s="61">
        <f>'FS Aftale'!D147</f>
        <v>0</v>
      </c>
      <c r="E147" s="156" t="str">
        <f>'FS Aftale'!E147</f>
        <v>Månedligt</v>
      </c>
      <c r="F147" s="61" t="str">
        <f t="shared" ref="F147:H147" si="157">F146</f>
        <v>Team Ansvarlig</v>
      </c>
      <c r="G147" s="61" t="str">
        <f t="shared" si="157"/>
        <v>Ansvarlig</v>
      </c>
      <c r="H147" s="61" t="str">
        <f t="shared" si="157"/>
        <v>Servicemedarb.</v>
      </c>
      <c r="I147" s="235"/>
      <c r="J147" s="61" t="str">
        <f t="shared" ref="J147:M147" si="158">J146</f>
        <v>Fast</v>
      </c>
      <c r="K147" s="61" t="str">
        <f t="shared" si="158"/>
        <v>FS aftale</v>
      </c>
      <c r="L147" s="188">
        <f t="shared" si="158"/>
        <v>1</v>
      </c>
      <c r="M147" s="157" t="str">
        <f t="shared" si="158"/>
        <v>Mangler planlægning</v>
      </c>
      <c r="N147" s="147" t="str">
        <f>IFERROR(VLOOKUP(O147,Støtteark!$B$21:$F$35,MATCH(E147,Støtteark!$B$21:$F$21,0),0),Støtteark!$L$35)</f>
        <v>Månedligt</v>
      </c>
      <c r="O147" s="62">
        <f>'FS Aftale'!F147</f>
        <v>12</v>
      </c>
      <c r="P147" s="179" t="str">
        <f t="shared" si="125"/>
        <v>7:00</v>
      </c>
      <c r="Q147" s="63">
        <f>'FS Aftale'!G147*Støtteark!$Q$15</f>
        <v>0</v>
      </c>
      <c r="R147" s="235"/>
      <c r="S147" s="231" t="str">
        <f>IF(OR(AND(OR(N147 = Støtteark!$L$25,N147 = Støtteark!$L$26,N147 = Støtteark!$L$28),E147&lt;&gt;Støtteark!$U$6,OR(O147=Støtteark!$B$22,O147=Støtteark!$B$23,O147=Støtteark!$B$24,O147=Støtteark!$B$25,O147=Støtteark!$B$26,O147=Støtteark!$B$27,O147=Støtteark!$B$28)),AND(E147=Støtteark!$U$6,OR(O147=Støtteark!$B$24,O147=Støtteark!$B$27,O147=Støtteark!$B$29))),1,"")</f>
        <v/>
      </c>
      <c r="T147" s="232" t="str">
        <f>IF(OR(AND(N147 = Støtteark!$L$25,E147&lt;&gt;Støtteark!$U$6,O147=Støtteark!$B$22),AND(E147=Støtteark!$U$6,O147=Støtteark!$B$24),O147=Støtteark!$B$22),1,"")</f>
        <v/>
      </c>
      <c r="U147" s="232" t="str">
        <f>IF(OR(AND(N147 = Støtteark!$L$25,E147&lt;&gt;Støtteark!$U$6,OR(O147=Støtteark!$B$22,O147=Støtteark!$B$23,O147=Støtteark!$B$24)),AND(E147=Støtteark!$U$6,OR(O147=Støtteark!$B$22,O147=Støtteark!$B$24))),1,"")</f>
        <v/>
      </c>
      <c r="V147" s="232" t="str">
        <f>IF(OR(AND(N147 = Støtteark!$L$25,E147&lt;&gt;Støtteark!$U$6,O147=Støtteark!$B$22),AND(E147=Støtteark!$U$6,OR(O147=Støtteark!$B$22,O147=Støtteark!$B$24))),1,"")</f>
        <v/>
      </c>
      <c r="W147" s="232" t="str">
        <f>IF(OR(AND(N147 = Støtteark!$L$25,E147&lt;&gt;Støtteark!$U$6,OR(O147=Støtteark!$B$22,O147=Støtteark!$B$23,O147=Støtteark!$B$24,O147=Støtteark!$B$25)),AND(E147=Støtteark!$U$6,OR(O147=Støtteark!$B$22,O147=Støtteark!$B$24))),1,"")</f>
        <v/>
      </c>
      <c r="X147" s="231"/>
      <c r="Y147" s="231"/>
      <c r="Z147" s="235"/>
      <c r="AA147" s="231">
        <f>IF(OR(AND(E147&lt;&gt;Støtteark!$U$6,N147 = Støtteark!$L$25),N147 = Støtteark!$L$26,N147 = Støtteark!$L$28,AND(N147 = Støtteark!$L$29,E147&lt;&gt;Støtteark!$U$6,OR(O147=Støtteark!$B$30,O147=Støtteark!$B$32,O147=Støtteark!$B$33,AND(E147&lt;&gt;Støtteark!$U$6,O147=Støtteark!$B$34),O147=Støtteark!$B$35))),1,"")</f>
        <v>1</v>
      </c>
      <c r="AB147" s="231">
        <f>IF(OR(AND(E147&lt;&gt;Støtteark!$U$6,N147 = Støtteark!$L$25),N147 = Støtteark!$L$26,N147 = Støtteark!$L$28,AND(N147 = Støtteark!$L$29,O147=Støtteark!$B$34)),1,"")</f>
        <v>1</v>
      </c>
      <c r="AC147" s="231">
        <f>IF(OR(AND(E147&lt;&gt;Støtteark!$U$6,N147 = Støtteark!$L$25),N147 = Støtteark!$L$26,N147 = Støtteark!$L$28,AND(N147 = Støtteark!$L$29,E147&lt;&gt;Støtteark!$U$6,OR(O147=Støtteark!$B$30,O147 = Støtteark!$B$34))),1,"")</f>
        <v>1</v>
      </c>
      <c r="AD147" s="232">
        <f>IF(OR(N147 = Støtteark!$L$25,N147 = Støtteark!$L$26,N147 = Støtteark!$L$28,AND(N147 = Støtteark!$L$29,OR(O147=Støtteark!$B$34,O147=Støtteark!$B$35)),AND(E147=Støtteark!$U$6,OR(O147=Støtteark!$B$29,O147=Støtteark!$B$30,O147=Støtteark!$B$32,O147=Støtteark!$B$33))),1,"")</f>
        <v>1</v>
      </c>
      <c r="AE147" s="231">
        <f>IF(OR(N147 = Støtteark!$L$25,N147 = Støtteark!$L$26,N147 = Støtteark!$L$28,AND(N147 = Støtteark!$L$29,OR(O147=Støtteark!$B$34,O147 = Støtteark!$B$30)),AND(E147=Støtteark!$U$6,O147=Støtteark!$B$29)),1,"")</f>
        <v>1</v>
      </c>
      <c r="AF147" s="231">
        <f>IF(OR(N147 = Støtteark!$L$25,N147 = Støtteark!$L$26,N147 = Støtteark!$L$28,AND(N147 = Støtteark!$L$29,O147=Støtteark!$B$34),AND(E147=Støtteark!$U$6,O147=Støtteark!$B$30),AND(E147=Støtteark!$U$6,O147=Støtteark!$B$29)),1,"")</f>
        <v>1</v>
      </c>
      <c r="AG147" s="231">
        <f>IF(OR(N147 = Støtteark!$L$25,N147 = Støtteark!$L$26,N147 = Støtteark!$L$28,AND(N147 = Støtteark!$L$29,OR(O147=Støtteark!$B$30,O147 = Støtteark!$B$31,O147=Støtteark!$B$32,O147=Støtteark!$B$34)),AND(E147=Støtteark!$U$6,OR(O147=Støtteark!$B$29,O147=Støtteark!$B$31))),1,"")</f>
        <v>1</v>
      </c>
      <c r="AH147" s="231">
        <f>IF(OR(N147 = Støtteark!$L$25,N147 = Støtteark!$L$26,N147 = Støtteark!$L$28,AND(N147 = Støtteark!$L$29,O147=Støtteark!$B$34),AND(E147=Støtteark!$U$6,OR(O147=Støtteark!$B$29,O147=Støtteark!$B$30))),1,"")</f>
        <v>1</v>
      </c>
      <c r="AI147" s="231">
        <f>IF(OR(N147 = Støtteark!$L$25,N147 = Støtteark!$L$26,N147 = Støtteark!$L$28,AND(N147 = Støtteark!$L$29,OR(O147=Støtteark!$B$34,O147 = Støtteark!$B$30)),AND(E147=Støtteark!$U$6,OR(O147=Støtteark!$B$29,O147=Støtteark!$B$30))),1,"")</f>
        <v>1</v>
      </c>
      <c r="AJ147" s="231">
        <f>IF(OR(AND(E147&lt;&gt;Støtteark!$U$6,N147 = Støtteark!$L$25),N147 = Støtteark!$L$26,N147 = Støtteark!$L$28,AND(N147 = Støtteark!$L$29,OR(O147=Støtteark!$B$34,O147=Støtteark!$B$35),O147&lt;&gt;Støtteark!$B$30)),1,"")</f>
        <v>1</v>
      </c>
      <c r="AK147" s="231">
        <f>IF(OR(AND(E147&lt;&gt;Støtteark!$U$6,N147 = Støtteark!$L$25),N147 = Støtteark!$L$26,N147 = Støtteark!$L$28,AND(N147 = Støtteark!$L$29,E147&lt;&gt;Støtteark!$U$6,OR(O147=Støtteark!$B$34,O147 = Støtteark!$B$30))),1,"")</f>
        <v>1</v>
      </c>
      <c r="AL147" s="231">
        <f>IF(OR(AND(E147&lt;&gt;Støtteark!$U$6,N147 = Støtteark!$L$25),N147 = Støtteark!$L$26,N147 = Støtteark!$L$28,AND(N147 = Støtteark!$L$29,O147=Støtteark!$B$34)),1,"")</f>
        <v>1</v>
      </c>
      <c r="AM147" s="231">
        <f>IF(AND(N147 = Støtteark!$L$29,OR(O147=Støtteark!$B$30,O147=Støtteark!$B$32,O147=Støtteark!$B$33,O147=Støtteark!$B$34,O147=Støtteark!$B$35)),Støtteark!$L$32,"")</f>
        <v>801</v>
      </c>
      <c r="AN147" s="235"/>
      <c r="AO147" s="91"/>
      <c r="AP147" s="170">
        <v>0</v>
      </c>
      <c r="AQ147" s="235"/>
      <c r="AR147" s="64">
        <f t="shared" ca="1" si="126"/>
        <v>44022</v>
      </c>
    </row>
    <row r="148" spans="1:44" ht="25.5" hidden="1" x14ac:dyDescent="0.25">
      <c r="A148" s="221" t="str">
        <f t="shared" si="122"/>
        <v>Kundenr.-Ejendom</v>
      </c>
      <c r="B148" s="61" t="str">
        <f>Ydelser!A148&amp;" - "&amp;Ydelser!C148</f>
        <v>919 - Kundespecifik ydelse 19</v>
      </c>
      <c r="C148" s="61" t="str">
        <f>Ydelser!D148</f>
        <v>Beskrivelse.</v>
      </c>
      <c r="D148" s="61">
        <f>'FS Aftale'!D148</f>
        <v>0</v>
      </c>
      <c r="E148" s="156" t="str">
        <f>'FS Aftale'!E148</f>
        <v>Månedligt</v>
      </c>
      <c r="F148" s="61" t="str">
        <f t="shared" ref="F148:H148" si="159">F147</f>
        <v>Team Ansvarlig</v>
      </c>
      <c r="G148" s="61" t="str">
        <f t="shared" si="159"/>
        <v>Ansvarlig</v>
      </c>
      <c r="H148" s="61" t="str">
        <f t="shared" si="159"/>
        <v>Servicemedarb.</v>
      </c>
      <c r="I148" s="235"/>
      <c r="J148" s="61" t="str">
        <f t="shared" ref="J148:M148" si="160">J147</f>
        <v>Fast</v>
      </c>
      <c r="K148" s="61" t="str">
        <f t="shared" si="160"/>
        <v>FS aftale</v>
      </c>
      <c r="L148" s="188">
        <f t="shared" si="160"/>
        <v>1</v>
      </c>
      <c r="M148" s="157" t="str">
        <f t="shared" si="160"/>
        <v>Mangler planlægning</v>
      </c>
      <c r="N148" s="147" t="str">
        <f>IFERROR(VLOOKUP(O148,Støtteark!$B$21:$F$35,MATCH(E148,Støtteark!$B$21:$F$21,0),0),Støtteark!$L$35)</f>
        <v>Månedligt</v>
      </c>
      <c r="O148" s="62">
        <f>'FS Aftale'!F148</f>
        <v>12</v>
      </c>
      <c r="P148" s="179" t="str">
        <f t="shared" si="125"/>
        <v>7:00</v>
      </c>
      <c r="Q148" s="63">
        <f>'FS Aftale'!G148*Støtteark!$Q$15</f>
        <v>0</v>
      </c>
      <c r="R148" s="235"/>
      <c r="S148" s="231" t="str">
        <f>IF(OR(AND(OR(N148 = Støtteark!$L$25,N148 = Støtteark!$L$26,N148 = Støtteark!$L$28),E148&lt;&gt;Støtteark!$U$6,OR(O148=Støtteark!$B$22,O148=Støtteark!$B$23,O148=Støtteark!$B$24,O148=Støtteark!$B$25,O148=Støtteark!$B$26,O148=Støtteark!$B$27,O148=Støtteark!$B$28)),AND(E148=Støtteark!$U$6,OR(O148=Støtteark!$B$24,O148=Støtteark!$B$27,O148=Støtteark!$B$29))),1,"")</f>
        <v/>
      </c>
      <c r="T148" s="232" t="str">
        <f>IF(OR(AND(N148 = Støtteark!$L$25,E148&lt;&gt;Støtteark!$U$6,O148=Støtteark!$B$22),AND(E148=Støtteark!$U$6,O148=Støtteark!$B$24),O148=Støtteark!$B$22),1,"")</f>
        <v/>
      </c>
      <c r="U148" s="232" t="str">
        <f>IF(OR(AND(N148 = Støtteark!$L$25,E148&lt;&gt;Støtteark!$U$6,OR(O148=Støtteark!$B$22,O148=Støtteark!$B$23,O148=Støtteark!$B$24)),AND(E148=Støtteark!$U$6,OR(O148=Støtteark!$B$22,O148=Støtteark!$B$24))),1,"")</f>
        <v/>
      </c>
      <c r="V148" s="232" t="str">
        <f>IF(OR(AND(N148 = Støtteark!$L$25,E148&lt;&gt;Støtteark!$U$6,O148=Støtteark!$B$22),AND(E148=Støtteark!$U$6,OR(O148=Støtteark!$B$22,O148=Støtteark!$B$24))),1,"")</f>
        <v/>
      </c>
      <c r="W148" s="232" t="str">
        <f>IF(OR(AND(N148 = Støtteark!$L$25,E148&lt;&gt;Støtteark!$U$6,OR(O148=Støtteark!$B$22,O148=Støtteark!$B$23,O148=Støtteark!$B$24,O148=Støtteark!$B$25)),AND(E148=Støtteark!$U$6,OR(O148=Støtteark!$B$22,O148=Støtteark!$B$24))),1,"")</f>
        <v/>
      </c>
      <c r="X148" s="231"/>
      <c r="Y148" s="231"/>
      <c r="Z148" s="235"/>
      <c r="AA148" s="231">
        <f>IF(OR(AND(E148&lt;&gt;Støtteark!$U$6,N148 = Støtteark!$L$25),N148 = Støtteark!$L$26,N148 = Støtteark!$L$28,AND(N148 = Støtteark!$L$29,E148&lt;&gt;Støtteark!$U$6,OR(O148=Støtteark!$B$30,O148=Støtteark!$B$32,O148=Støtteark!$B$33,AND(E148&lt;&gt;Støtteark!$U$6,O148=Støtteark!$B$34),O148=Støtteark!$B$35))),1,"")</f>
        <v>1</v>
      </c>
      <c r="AB148" s="231">
        <f>IF(OR(AND(E148&lt;&gt;Støtteark!$U$6,N148 = Støtteark!$L$25),N148 = Støtteark!$L$26,N148 = Støtteark!$L$28,AND(N148 = Støtteark!$L$29,O148=Støtteark!$B$34)),1,"")</f>
        <v>1</v>
      </c>
      <c r="AC148" s="231">
        <f>IF(OR(AND(E148&lt;&gt;Støtteark!$U$6,N148 = Støtteark!$L$25),N148 = Støtteark!$L$26,N148 = Støtteark!$L$28,AND(N148 = Støtteark!$L$29,E148&lt;&gt;Støtteark!$U$6,OR(O148=Støtteark!$B$30,O148 = Støtteark!$B$34))),1,"")</f>
        <v>1</v>
      </c>
      <c r="AD148" s="232">
        <f>IF(OR(N148 = Støtteark!$L$25,N148 = Støtteark!$L$26,N148 = Støtteark!$L$28,AND(N148 = Støtteark!$L$29,OR(O148=Støtteark!$B$34,O148=Støtteark!$B$35)),AND(E148=Støtteark!$U$6,OR(O148=Støtteark!$B$29,O148=Støtteark!$B$30,O148=Støtteark!$B$32,O148=Støtteark!$B$33))),1,"")</f>
        <v>1</v>
      </c>
      <c r="AE148" s="231">
        <f>IF(OR(N148 = Støtteark!$L$25,N148 = Støtteark!$L$26,N148 = Støtteark!$L$28,AND(N148 = Støtteark!$L$29,OR(O148=Støtteark!$B$34,O148 = Støtteark!$B$30)),AND(E148=Støtteark!$U$6,O148=Støtteark!$B$29)),1,"")</f>
        <v>1</v>
      </c>
      <c r="AF148" s="231">
        <f>IF(OR(N148 = Støtteark!$L$25,N148 = Støtteark!$L$26,N148 = Støtteark!$L$28,AND(N148 = Støtteark!$L$29,O148=Støtteark!$B$34),AND(E148=Støtteark!$U$6,O148=Støtteark!$B$30),AND(E148=Støtteark!$U$6,O148=Støtteark!$B$29)),1,"")</f>
        <v>1</v>
      </c>
      <c r="AG148" s="231">
        <f>IF(OR(N148 = Støtteark!$L$25,N148 = Støtteark!$L$26,N148 = Støtteark!$L$28,AND(N148 = Støtteark!$L$29,OR(O148=Støtteark!$B$30,O148 = Støtteark!$B$31,O148=Støtteark!$B$32,O148=Støtteark!$B$34)),AND(E148=Støtteark!$U$6,OR(O148=Støtteark!$B$29,O148=Støtteark!$B$31))),1,"")</f>
        <v>1</v>
      </c>
      <c r="AH148" s="231">
        <f>IF(OR(N148 = Støtteark!$L$25,N148 = Støtteark!$L$26,N148 = Støtteark!$L$28,AND(N148 = Støtteark!$L$29,O148=Støtteark!$B$34),AND(E148=Støtteark!$U$6,OR(O148=Støtteark!$B$29,O148=Støtteark!$B$30))),1,"")</f>
        <v>1</v>
      </c>
      <c r="AI148" s="231">
        <f>IF(OR(N148 = Støtteark!$L$25,N148 = Støtteark!$L$26,N148 = Støtteark!$L$28,AND(N148 = Støtteark!$L$29,OR(O148=Støtteark!$B$34,O148 = Støtteark!$B$30)),AND(E148=Støtteark!$U$6,OR(O148=Støtteark!$B$29,O148=Støtteark!$B$30))),1,"")</f>
        <v>1</v>
      </c>
      <c r="AJ148" s="231">
        <f>IF(OR(AND(E148&lt;&gt;Støtteark!$U$6,N148 = Støtteark!$L$25),N148 = Støtteark!$L$26,N148 = Støtteark!$L$28,AND(N148 = Støtteark!$L$29,OR(O148=Støtteark!$B$34,O148=Støtteark!$B$35),O148&lt;&gt;Støtteark!$B$30)),1,"")</f>
        <v>1</v>
      </c>
      <c r="AK148" s="231">
        <f>IF(OR(AND(E148&lt;&gt;Støtteark!$U$6,N148 = Støtteark!$L$25),N148 = Støtteark!$L$26,N148 = Støtteark!$L$28,AND(N148 = Støtteark!$L$29,E148&lt;&gt;Støtteark!$U$6,OR(O148=Støtteark!$B$34,O148 = Støtteark!$B$30))),1,"")</f>
        <v>1</v>
      </c>
      <c r="AL148" s="231">
        <f>IF(OR(AND(E148&lt;&gt;Støtteark!$U$6,N148 = Støtteark!$L$25),N148 = Støtteark!$L$26,N148 = Støtteark!$L$28,AND(N148 = Støtteark!$L$29,O148=Støtteark!$B$34)),1,"")</f>
        <v>1</v>
      </c>
      <c r="AM148" s="231">
        <f>IF(AND(N148 = Støtteark!$L$29,OR(O148=Støtteark!$B$30,O148=Støtteark!$B$32,O148=Støtteark!$B$33,O148=Støtteark!$B$34,O148=Støtteark!$B$35)),Støtteark!$L$32,"")</f>
        <v>801</v>
      </c>
      <c r="AN148" s="235"/>
      <c r="AO148" s="91"/>
      <c r="AP148" s="170">
        <v>0</v>
      </c>
      <c r="AQ148" s="235"/>
      <c r="AR148" s="64">
        <f t="shared" ca="1" si="126"/>
        <v>44022</v>
      </c>
    </row>
    <row r="149" spans="1:44" ht="25.5" hidden="1" x14ac:dyDescent="0.25">
      <c r="A149" s="221" t="str">
        <f t="shared" si="122"/>
        <v>Kundenr.-Ejendom</v>
      </c>
      <c r="B149" s="61" t="str">
        <f>Ydelser!A149&amp;" - "&amp;Ydelser!C149</f>
        <v>920 - Kundespecifik ydelse 20</v>
      </c>
      <c r="C149" s="61" t="str">
        <f>Ydelser!D149</f>
        <v>Beskrivelse.</v>
      </c>
      <c r="D149" s="61">
        <f>'FS Aftale'!D149</f>
        <v>0</v>
      </c>
      <c r="E149" s="156" t="str">
        <f>'FS Aftale'!E149</f>
        <v>Månedligt</v>
      </c>
      <c r="F149" s="61" t="str">
        <f t="shared" ref="F149:H149" si="161">F148</f>
        <v>Team Ansvarlig</v>
      </c>
      <c r="G149" s="61" t="str">
        <f t="shared" si="161"/>
        <v>Ansvarlig</v>
      </c>
      <c r="H149" s="61" t="str">
        <f t="shared" si="161"/>
        <v>Servicemedarb.</v>
      </c>
      <c r="I149" s="235"/>
      <c r="J149" s="61" t="str">
        <f t="shared" ref="J149:M149" si="162">J148</f>
        <v>Fast</v>
      </c>
      <c r="K149" s="61" t="str">
        <f t="shared" si="162"/>
        <v>FS aftale</v>
      </c>
      <c r="L149" s="188">
        <f t="shared" si="162"/>
        <v>1</v>
      </c>
      <c r="M149" s="157" t="str">
        <f t="shared" si="162"/>
        <v>Mangler planlægning</v>
      </c>
      <c r="N149" s="147" t="str">
        <f>IFERROR(VLOOKUP(O149,Støtteark!$B$21:$F$35,MATCH(E149,Støtteark!$B$21:$F$21,0),0),Støtteark!$L$35)</f>
        <v>Månedligt</v>
      </c>
      <c r="O149" s="62">
        <f>'FS Aftale'!F149</f>
        <v>12</v>
      </c>
      <c r="P149" s="179" t="str">
        <f t="shared" si="125"/>
        <v>7:00</v>
      </c>
      <c r="Q149" s="63">
        <f>'FS Aftale'!G149*Støtteark!$Q$15</f>
        <v>0</v>
      </c>
      <c r="R149" s="235"/>
      <c r="S149" s="231" t="str">
        <f>IF(OR(AND(OR(N149 = Støtteark!$L$25,N149 = Støtteark!$L$26,N149 = Støtteark!$L$28),E149&lt;&gt;Støtteark!$U$6,OR(O149=Støtteark!$B$22,O149=Støtteark!$B$23,O149=Støtteark!$B$24,O149=Støtteark!$B$25,O149=Støtteark!$B$26,O149=Støtteark!$B$27,O149=Støtteark!$B$28)),AND(E149=Støtteark!$U$6,OR(O149=Støtteark!$B$24,O149=Støtteark!$B$27,O149=Støtteark!$B$29))),1,"")</f>
        <v/>
      </c>
      <c r="T149" s="232" t="str">
        <f>IF(OR(AND(N149 = Støtteark!$L$25,E149&lt;&gt;Støtteark!$U$6,O149=Støtteark!$B$22),AND(E149=Støtteark!$U$6,O149=Støtteark!$B$24),O149=Støtteark!$B$22),1,"")</f>
        <v/>
      </c>
      <c r="U149" s="232" t="str">
        <f>IF(OR(AND(N149 = Støtteark!$L$25,E149&lt;&gt;Støtteark!$U$6,OR(O149=Støtteark!$B$22,O149=Støtteark!$B$23,O149=Støtteark!$B$24)),AND(E149=Støtteark!$U$6,OR(O149=Støtteark!$B$22,O149=Støtteark!$B$24))),1,"")</f>
        <v/>
      </c>
      <c r="V149" s="232" t="str">
        <f>IF(OR(AND(N149 = Støtteark!$L$25,E149&lt;&gt;Støtteark!$U$6,O149=Støtteark!$B$22),AND(E149=Støtteark!$U$6,OR(O149=Støtteark!$B$22,O149=Støtteark!$B$24))),1,"")</f>
        <v/>
      </c>
      <c r="W149" s="232" t="str">
        <f>IF(OR(AND(N149 = Støtteark!$L$25,E149&lt;&gt;Støtteark!$U$6,OR(O149=Støtteark!$B$22,O149=Støtteark!$B$23,O149=Støtteark!$B$24,O149=Støtteark!$B$25)),AND(E149=Støtteark!$U$6,OR(O149=Støtteark!$B$22,O149=Støtteark!$B$24))),1,"")</f>
        <v/>
      </c>
      <c r="X149" s="231"/>
      <c r="Y149" s="231"/>
      <c r="Z149" s="235"/>
      <c r="AA149" s="231">
        <f>IF(OR(AND(E149&lt;&gt;Støtteark!$U$6,N149 = Støtteark!$L$25),N149 = Støtteark!$L$26,N149 = Støtteark!$L$28,AND(N149 = Støtteark!$L$29,E149&lt;&gt;Støtteark!$U$6,OR(O149=Støtteark!$B$30,O149=Støtteark!$B$32,O149=Støtteark!$B$33,AND(E149&lt;&gt;Støtteark!$U$6,O149=Støtteark!$B$34),O149=Støtteark!$B$35))),1,"")</f>
        <v>1</v>
      </c>
      <c r="AB149" s="231">
        <f>IF(OR(AND(E149&lt;&gt;Støtteark!$U$6,N149 = Støtteark!$L$25),N149 = Støtteark!$L$26,N149 = Støtteark!$L$28,AND(N149 = Støtteark!$L$29,O149=Støtteark!$B$34)),1,"")</f>
        <v>1</v>
      </c>
      <c r="AC149" s="231">
        <f>IF(OR(AND(E149&lt;&gt;Støtteark!$U$6,N149 = Støtteark!$L$25),N149 = Støtteark!$L$26,N149 = Støtteark!$L$28,AND(N149 = Støtteark!$L$29,E149&lt;&gt;Støtteark!$U$6,OR(O149=Støtteark!$B$30,O149 = Støtteark!$B$34))),1,"")</f>
        <v>1</v>
      </c>
      <c r="AD149" s="232">
        <f>IF(OR(N149 = Støtteark!$L$25,N149 = Støtteark!$L$26,N149 = Støtteark!$L$28,AND(N149 = Støtteark!$L$29,OR(O149=Støtteark!$B$34,O149=Støtteark!$B$35)),AND(E149=Støtteark!$U$6,OR(O149=Støtteark!$B$29,O149=Støtteark!$B$30,O149=Støtteark!$B$32,O149=Støtteark!$B$33))),1,"")</f>
        <v>1</v>
      </c>
      <c r="AE149" s="231">
        <f>IF(OR(N149 = Støtteark!$L$25,N149 = Støtteark!$L$26,N149 = Støtteark!$L$28,AND(N149 = Støtteark!$L$29,OR(O149=Støtteark!$B$34,O149 = Støtteark!$B$30)),AND(E149=Støtteark!$U$6,O149=Støtteark!$B$29)),1,"")</f>
        <v>1</v>
      </c>
      <c r="AF149" s="231">
        <f>IF(OR(N149 = Støtteark!$L$25,N149 = Støtteark!$L$26,N149 = Støtteark!$L$28,AND(N149 = Støtteark!$L$29,O149=Støtteark!$B$34),AND(E149=Støtteark!$U$6,O149=Støtteark!$B$30),AND(E149=Støtteark!$U$6,O149=Støtteark!$B$29)),1,"")</f>
        <v>1</v>
      </c>
      <c r="AG149" s="231">
        <f>IF(OR(N149 = Støtteark!$L$25,N149 = Støtteark!$L$26,N149 = Støtteark!$L$28,AND(N149 = Støtteark!$L$29,OR(O149=Støtteark!$B$30,O149 = Støtteark!$B$31,O149=Støtteark!$B$32,O149=Støtteark!$B$34)),AND(E149=Støtteark!$U$6,OR(O149=Støtteark!$B$29,O149=Støtteark!$B$31))),1,"")</f>
        <v>1</v>
      </c>
      <c r="AH149" s="231">
        <f>IF(OR(N149 = Støtteark!$L$25,N149 = Støtteark!$L$26,N149 = Støtteark!$L$28,AND(N149 = Støtteark!$L$29,O149=Støtteark!$B$34),AND(E149=Støtteark!$U$6,OR(O149=Støtteark!$B$29,O149=Støtteark!$B$30))),1,"")</f>
        <v>1</v>
      </c>
      <c r="AI149" s="231">
        <f>IF(OR(N149 = Støtteark!$L$25,N149 = Støtteark!$L$26,N149 = Støtteark!$L$28,AND(N149 = Støtteark!$L$29,OR(O149=Støtteark!$B$34,O149 = Støtteark!$B$30)),AND(E149=Støtteark!$U$6,OR(O149=Støtteark!$B$29,O149=Støtteark!$B$30))),1,"")</f>
        <v>1</v>
      </c>
      <c r="AJ149" s="231">
        <f>IF(OR(AND(E149&lt;&gt;Støtteark!$U$6,N149 = Støtteark!$L$25),N149 = Støtteark!$L$26,N149 = Støtteark!$L$28,AND(N149 = Støtteark!$L$29,OR(O149=Støtteark!$B$34,O149=Støtteark!$B$35),O149&lt;&gt;Støtteark!$B$30)),1,"")</f>
        <v>1</v>
      </c>
      <c r="AK149" s="231">
        <f>IF(OR(AND(E149&lt;&gt;Støtteark!$U$6,N149 = Støtteark!$L$25),N149 = Støtteark!$L$26,N149 = Støtteark!$L$28,AND(N149 = Støtteark!$L$29,E149&lt;&gt;Støtteark!$U$6,OR(O149=Støtteark!$B$34,O149 = Støtteark!$B$30))),1,"")</f>
        <v>1</v>
      </c>
      <c r="AL149" s="231">
        <f>IF(OR(AND(E149&lt;&gt;Støtteark!$U$6,N149 = Støtteark!$L$25),N149 = Støtteark!$L$26,N149 = Støtteark!$L$28,AND(N149 = Støtteark!$L$29,O149=Støtteark!$B$34)),1,"")</f>
        <v>1</v>
      </c>
      <c r="AM149" s="231">
        <f>IF(AND(N149 = Støtteark!$L$29,OR(O149=Støtteark!$B$30,O149=Støtteark!$B$32,O149=Støtteark!$B$33,O149=Støtteark!$B$34,O149=Støtteark!$B$35)),Støtteark!$L$32,"")</f>
        <v>801</v>
      </c>
      <c r="AN149" s="235"/>
      <c r="AO149" s="91"/>
      <c r="AP149" s="170">
        <v>0</v>
      </c>
      <c r="AQ149" s="235"/>
      <c r="AR149" s="64">
        <f t="shared" ca="1" si="126"/>
        <v>44022</v>
      </c>
    </row>
  </sheetData>
  <conditionalFormatting sqref="AM9:AM10 AM20:AM21">
    <cfRule type="beginsWith" dxfId="41" priority="168" stopIfTrue="1" operator="beginsWith" text="0">
      <formula>LEFT(AM9,LEN("0"))="0"</formula>
    </cfRule>
  </conditionalFormatting>
  <conditionalFormatting sqref="N100:N101 N74:N75 N20:N21 N28 N47:N48 N105:N106 N111:N113 N119 N124 N128:O129 Q128:Q129 N9:N10">
    <cfRule type="beginsWith" dxfId="40" priority="166" stopIfTrue="1" operator="beginsWith" text="0">
      <formula>LEFT(N9,LEN("0"))="0"</formula>
    </cfRule>
  </conditionalFormatting>
  <conditionalFormatting sqref="N31">
    <cfRule type="beginsWith" dxfId="39" priority="164" stopIfTrue="1" operator="beginsWith" text="0">
      <formula>LEFT(N31,LEN("0"))="0"</formula>
    </cfRule>
  </conditionalFormatting>
  <conditionalFormatting sqref="P128:P129">
    <cfRule type="beginsWith" dxfId="38" priority="162" stopIfTrue="1" operator="beginsWith" text="0">
      <formula>LEFT(P128,LEN("0"))="0"</formula>
    </cfRule>
  </conditionalFormatting>
  <conditionalFormatting sqref="N6:N8">
    <cfRule type="beginsWith" dxfId="37" priority="122" stopIfTrue="1" operator="beginsWith" text="0">
      <formula>LEFT(N6,LEN("0"))="0"</formula>
    </cfRule>
  </conditionalFormatting>
  <conditionalFormatting sqref="N11:N19">
    <cfRule type="beginsWith" dxfId="36" priority="32" stopIfTrue="1" operator="beginsWith" text="0">
      <formula>LEFT(N11,LEN("0"))="0"</formula>
    </cfRule>
  </conditionalFormatting>
  <conditionalFormatting sqref="N22:N27">
    <cfRule type="beginsWith" dxfId="35" priority="30" stopIfTrue="1" operator="beginsWith" text="0">
      <formula>LEFT(N22,LEN("0"))="0"</formula>
    </cfRule>
  </conditionalFormatting>
  <conditionalFormatting sqref="N29:N30">
    <cfRule type="beginsWith" dxfId="34" priority="28" stopIfTrue="1" operator="beginsWith" text="0">
      <formula>LEFT(N29,LEN("0"))="0"</formula>
    </cfRule>
  </conditionalFormatting>
  <conditionalFormatting sqref="N32:N46">
    <cfRule type="beginsWith" dxfId="33" priority="26" stopIfTrue="1" operator="beginsWith" text="0">
      <formula>LEFT(N32,LEN("0"))="0"</formula>
    </cfRule>
  </conditionalFormatting>
  <conditionalFormatting sqref="N49:N68">
    <cfRule type="beginsWith" dxfId="32" priority="24" stopIfTrue="1" operator="beginsWith" text="0">
      <formula>LEFT(N49,LEN("0"))="0"</formula>
    </cfRule>
  </conditionalFormatting>
  <conditionalFormatting sqref="N70:N73">
    <cfRule type="beginsWith" dxfId="31" priority="22" stopIfTrue="1" operator="beginsWith" text="0">
      <formula>LEFT(N70,LEN("0"))="0"</formula>
    </cfRule>
  </conditionalFormatting>
  <conditionalFormatting sqref="N76:N79">
    <cfRule type="beginsWith" dxfId="30" priority="20" stopIfTrue="1" operator="beginsWith" text="0">
      <formula>LEFT(N76,LEN("0"))="0"</formula>
    </cfRule>
  </conditionalFormatting>
  <conditionalFormatting sqref="N81:N86">
    <cfRule type="beginsWith" dxfId="29" priority="18" stopIfTrue="1" operator="beginsWith" text="0">
      <formula>LEFT(N81,LEN("0"))="0"</formula>
    </cfRule>
  </conditionalFormatting>
  <conditionalFormatting sqref="N88:N93">
    <cfRule type="beginsWith" dxfId="28" priority="16" stopIfTrue="1" operator="beginsWith" text="0">
      <formula>LEFT(N88,LEN("0"))="0"</formula>
    </cfRule>
  </conditionalFormatting>
  <conditionalFormatting sqref="N95:N99">
    <cfRule type="beginsWith" dxfId="27" priority="14" stopIfTrue="1" operator="beginsWith" text="0">
      <formula>LEFT(N95,LEN("0"))="0"</formula>
    </cfRule>
  </conditionalFormatting>
  <conditionalFormatting sqref="N102:N104">
    <cfRule type="beginsWith" dxfId="26" priority="12" stopIfTrue="1" operator="beginsWith" text="0">
      <formula>LEFT(N102,LEN("0"))="0"</formula>
    </cfRule>
  </conditionalFormatting>
  <conditionalFormatting sqref="N107:N110">
    <cfRule type="beginsWith" dxfId="25" priority="10" stopIfTrue="1" operator="beginsWith" text="0">
      <formula>LEFT(N107,LEN("0"))="0"</formula>
    </cfRule>
  </conditionalFormatting>
  <conditionalFormatting sqref="N114:N118">
    <cfRule type="beginsWith" dxfId="24" priority="8" stopIfTrue="1" operator="beginsWith" text="0">
      <formula>LEFT(N114,LEN("0"))="0"</formula>
    </cfRule>
  </conditionalFormatting>
  <conditionalFormatting sqref="N120:N123">
    <cfRule type="beginsWith" dxfId="23" priority="6" stopIfTrue="1" operator="beginsWith" text="0">
      <formula>LEFT(N120,LEN("0"))="0"</formula>
    </cfRule>
  </conditionalFormatting>
  <conditionalFormatting sqref="N125:N127">
    <cfRule type="beginsWith" dxfId="22" priority="4" stopIfTrue="1" operator="beginsWith" text="0">
      <formula>LEFT(N125,LEN("0"))="0"</formula>
    </cfRule>
  </conditionalFormatting>
  <conditionalFormatting sqref="N130:N149">
    <cfRule type="beginsWith" dxfId="21" priority="2" stopIfTrue="1" operator="beginsWith" text="0">
      <formula>LEFT(N130,LEN("0"))="0"</formula>
    </cfRule>
  </conditionalFormatting>
  <dataValidations disablePrompts="1" count="1">
    <dataValidation type="list" allowBlank="1" showInputMessage="1" showErrorMessage="1" sqref="AP88 AP29 AP32:AP33 AP70 AP81 AP130 AP120 AP125 AP95" xr:uid="{00000000-0002-0000-0300-000000000000}">
      <formula1>$U$16:$U$17</formula1>
    </dataValidation>
  </dataValidations>
  <pageMargins left="0.70866141732283472" right="0.70866141732283472" top="0.74803149606299213" bottom="0.74803149606299213" header="0.31496062992125984" footer="0.31496062992125984"/>
  <pageSetup paperSize="8" scale="31" fitToHeight="0" orientation="landscape" r:id="rId1"/>
  <extLst>
    <ext xmlns:x14="http://schemas.microsoft.com/office/spreadsheetml/2009/9/main" uri="{78C0D931-6437-407d-A8EE-F0AAD7539E65}">
      <x14:conditionalFormattings>
        <x14:conditionalFormatting xmlns:xm="http://schemas.microsoft.com/office/excel/2006/main">
          <x14:cfRule type="cellIs" priority="167" stopIfTrue="1" operator="equal" id="{52223682-5603-4497-877F-2CD5640F004B}">
            <xm:f>Støtteark!$L$35</xm:f>
            <x14:dxf>
              <font>
                <color theme="0"/>
              </font>
              <fill>
                <patternFill>
                  <bgColor rgb="FFFF0000"/>
                </patternFill>
              </fill>
            </x14:dxf>
          </x14:cfRule>
          <xm:sqref>AM9:AM10 AM20:AM21</xm:sqref>
        </x14:conditionalFormatting>
        <x14:conditionalFormatting xmlns:xm="http://schemas.microsoft.com/office/excel/2006/main">
          <x14:cfRule type="cellIs" priority="165" stopIfTrue="1" operator="equal" id="{208CDB10-BDFA-4068-AB26-B3DEB779FFD8}">
            <xm:f>Støtteark!$L$35</xm:f>
            <x14:dxf>
              <font>
                <color theme="0"/>
              </font>
              <fill>
                <patternFill>
                  <bgColor rgb="FFFF0000"/>
                </patternFill>
              </fill>
            </x14:dxf>
          </x14:cfRule>
          <xm:sqref>N100:N101 N74:N75 N20:N21 N28 N47:N48 N105:N106 N111:N113 N119 N124 N128:O129 Q128:Q129 N9:N10</xm:sqref>
        </x14:conditionalFormatting>
        <x14:conditionalFormatting xmlns:xm="http://schemas.microsoft.com/office/excel/2006/main">
          <x14:cfRule type="cellIs" priority="163" stopIfTrue="1" operator="equal" id="{844FEDCC-A035-403D-930E-AFCED9F8ADB8}">
            <xm:f>Støtteark!$L$35</xm:f>
            <x14:dxf>
              <font>
                <color theme="0"/>
              </font>
              <fill>
                <patternFill>
                  <bgColor rgb="FFFF0000"/>
                </patternFill>
              </fill>
            </x14:dxf>
          </x14:cfRule>
          <xm:sqref>N31</xm:sqref>
        </x14:conditionalFormatting>
        <x14:conditionalFormatting xmlns:xm="http://schemas.microsoft.com/office/excel/2006/main">
          <x14:cfRule type="cellIs" priority="161" stopIfTrue="1" operator="equal" id="{84D31BD1-236D-4505-9120-9D1D18725020}">
            <xm:f>Støtteark!$L$35</xm:f>
            <x14:dxf>
              <font>
                <color theme="0"/>
              </font>
              <fill>
                <patternFill>
                  <bgColor rgb="FFFF0000"/>
                </patternFill>
              </fill>
            </x14:dxf>
          </x14:cfRule>
          <xm:sqref>P128:P129</xm:sqref>
        </x14:conditionalFormatting>
        <x14:conditionalFormatting xmlns:xm="http://schemas.microsoft.com/office/excel/2006/main">
          <x14:cfRule type="cellIs" priority="121" stopIfTrue="1" operator="equal" id="{1DAC8876-609F-4AF7-9153-E98229BE113C}">
            <xm:f>Støtteark!$L$35</xm:f>
            <x14:dxf>
              <font>
                <color theme="0"/>
              </font>
              <fill>
                <patternFill>
                  <bgColor rgb="FFFF0000"/>
                </patternFill>
              </fill>
            </x14:dxf>
          </x14:cfRule>
          <xm:sqref>N6:N8</xm:sqref>
        </x14:conditionalFormatting>
        <x14:conditionalFormatting xmlns:xm="http://schemas.microsoft.com/office/excel/2006/main">
          <x14:cfRule type="cellIs" priority="31" stopIfTrue="1" operator="equal" id="{A17B3860-FC91-4520-AFA7-AB099E9C08CF}">
            <xm:f>Støtteark!$L$35</xm:f>
            <x14:dxf>
              <font>
                <color theme="0"/>
              </font>
              <fill>
                <patternFill>
                  <bgColor rgb="FFFF0000"/>
                </patternFill>
              </fill>
            </x14:dxf>
          </x14:cfRule>
          <xm:sqref>N11:N19</xm:sqref>
        </x14:conditionalFormatting>
        <x14:conditionalFormatting xmlns:xm="http://schemas.microsoft.com/office/excel/2006/main">
          <x14:cfRule type="cellIs" priority="29" stopIfTrue="1" operator="equal" id="{D64AA0A0-62A9-4C20-AA23-B55E1B2B3D17}">
            <xm:f>Støtteark!$L$35</xm:f>
            <x14:dxf>
              <font>
                <color theme="0"/>
              </font>
              <fill>
                <patternFill>
                  <bgColor rgb="FFFF0000"/>
                </patternFill>
              </fill>
            </x14:dxf>
          </x14:cfRule>
          <xm:sqref>N22:N27</xm:sqref>
        </x14:conditionalFormatting>
        <x14:conditionalFormatting xmlns:xm="http://schemas.microsoft.com/office/excel/2006/main">
          <x14:cfRule type="cellIs" priority="27" stopIfTrue="1" operator="equal" id="{226B67BB-CD71-4A3A-B6EB-0F97BEAB865D}">
            <xm:f>Støtteark!$L$35</xm:f>
            <x14:dxf>
              <font>
                <color theme="0"/>
              </font>
              <fill>
                <patternFill>
                  <bgColor rgb="FFFF0000"/>
                </patternFill>
              </fill>
            </x14:dxf>
          </x14:cfRule>
          <xm:sqref>N29:N30</xm:sqref>
        </x14:conditionalFormatting>
        <x14:conditionalFormatting xmlns:xm="http://schemas.microsoft.com/office/excel/2006/main">
          <x14:cfRule type="cellIs" priority="25" stopIfTrue="1" operator="equal" id="{C585D9EC-BF17-4953-B8FC-F3287E2B4CA0}">
            <xm:f>Støtteark!$L$35</xm:f>
            <x14:dxf>
              <font>
                <color theme="0"/>
              </font>
              <fill>
                <patternFill>
                  <bgColor rgb="FFFF0000"/>
                </patternFill>
              </fill>
            </x14:dxf>
          </x14:cfRule>
          <xm:sqref>N32:N46</xm:sqref>
        </x14:conditionalFormatting>
        <x14:conditionalFormatting xmlns:xm="http://schemas.microsoft.com/office/excel/2006/main">
          <x14:cfRule type="cellIs" priority="23" stopIfTrue="1" operator="equal" id="{E2989D54-17EC-4CAF-AAC6-5EDB28B28BF3}">
            <xm:f>Støtteark!$L$35</xm:f>
            <x14:dxf>
              <font>
                <color theme="0"/>
              </font>
              <fill>
                <patternFill>
                  <bgColor rgb="FFFF0000"/>
                </patternFill>
              </fill>
            </x14:dxf>
          </x14:cfRule>
          <xm:sqref>N49:N68</xm:sqref>
        </x14:conditionalFormatting>
        <x14:conditionalFormatting xmlns:xm="http://schemas.microsoft.com/office/excel/2006/main">
          <x14:cfRule type="cellIs" priority="21" stopIfTrue="1" operator="equal" id="{CF18714A-AF62-4CDB-9B61-A82FB4631C4C}">
            <xm:f>Støtteark!$L$35</xm:f>
            <x14:dxf>
              <font>
                <color theme="0"/>
              </font>
              <fill>
                <patternFill>
                  <bgColor rgb="FFFF0000"/>
                </patternFill>
              </fill>
            </x14:dxf>
          </x14:cfRule>
          <xm:sqref>N70:N73</xm:sqref>
        </x14:conditionalFormatting>
        <x14:conditionalFormatting xmlns:xm="http://schemas.microsoft.com/office/excel/2006/main">
          <x14:cfRule type="cellIs" priority="19" stopIfTrue="1" operator="equal" id="{8C53AB62-8BC0-43E9-B5F4-11D234351D67}">
            <xm:f>Støtteark!$L$35</xm:f>
            <x14:dxf>
              <font>
                <color theme="0"/>
              </font>
              <fill>
                <patternFill>
                  <bgColor rgb="FFFF0000"/>
                </patternFill>
              </fill>
            </x14:dxf>
          </x14:cfRule>
          <xm:sqref>N76:N79</xm:sqref>
        </x14:conditionalFormatting>
        <x14:conditionalFormatting xmlns:xm="http://schemas.microsoft.com/office/excel/2006/main">
          <x14:cfRule type="cellIs" priority="17" stopIfTrue="1" operator="equal" id="{9489F390-E23F-4C08-B0C1-D230772C6D1F}">
            <xm:f>Støtteark!$L$35</xm:f>
            <x14:dxf>
              <font>
                <color theme="0"/>
              </font>
              <fill>
                <patternFill>
                  <bgColor rgb="FFFF0000"/>
                </patternFill>
              </fill>
            </x14:dxf>
          </x14:cfRule>
          <xm:sqref>N81:N86</xm:sqref>
        </x14:conditionalFormatting>
        <x14:conditionalFormatting xmlns:xm="http://schemas.microsoft.com/office/excel/2006/main">
          <x14:cfRule type="cellIs" priority="15" stopIfTrue="1" operator="equal" id="{E33F5517-B1C4-4133-8AA3-6EF348B6962E}">
            <xm:f>Støtteark!$L$35</xm:f>
            <x14:dxf>
              <font>
                <color theme="0"/>
              </font>
              <fill>
                <patternFill>
                  <bgColor rgb="FFFF0000"/>
                </patternFill>
              </fill>
            </x14:dxf>
          </x14:cfRule>
          <xm:sqref>N88:N93</xm:sqref>
        </x14:conditionalFormatting>
        <x14:conditionalFormatting xmlns:xm="http://schemas.microsoft.com/office/excel/2006/main">
          <x14:cfRule type="cellIs" priority="13" stopIfTrue="1" operator="equal" id="{8B3CDCBC-1DBD-4CA3-81BF-57EF82A041DA}">
            <xm:f>Støtteark!$L$35</xm:f>
            <x14:dxf>
              <font>
                <color theme="0"/>
              </font>
              <fill>
                <patternFill>
                  <bgColor rgb="FFFF0000"/>
                </patternFill>
              </fill>
            </x14:dxf>
          </x14:cfRule>
          <xm:sqref>N95:N99</xm:sqref>
        </x14:conditionalFormatting>
        <x14:conditionalFormatting xmlns:xm="http://schemas.microsoft.com/office/excel/2006/main">
          <x14:cfRule type="cellIs" priority="11" stopIfTrue="1" operator="equal" id="{27D33EBF-6872-4B2D-8B0C-EF0D83F36FA6}">
            <xm:f>Støtteark!$L$35</xm:f>
            <x14:dxf>
              <font>
                <color theme="0"/>
              </font>
              <fill>
                <patternFill>
                  <bgColor rgb="FFFF0000"/>
                </patternFill>
              </fill>
            </x14:dxf>
          </x14:cfRule>
          <xm:sqref>N102:N104</xm:sqref>
        </x14:conditionalFormatting>
        <x14:conditionalFormatting xmlns:xm="http://schemas.microsoft.com/office/excel/2006/main">
          <x14:cfRule type="cellIs" priority="9" stopIfTrue="1" operator="equal" id="{1075CC60-3F24-4DA1-901E-0092E8E02FC5}">
            <xm:f>Støtteark!$L$35</xm:f>
            <x14:dxf>
              <font>
                <color theme="0"/>
              </font>
              <fill>
                <patternFill>
                  <bgColor rgb="FFFF0000"/>
                </patternFill>
              </fill>
            </x14:dxf>
          </x14:cfRule>
          <xm:sqref>N107:N110</xm:sqref>
        </x14:conditionalFormatting>
        <x14:conditionalFormatting xmlns:xm="http://schemas.microsoft.com/office/excel/2006/main">
          <x14:cfRule type="cellIs" priority="7" stopIfTrue="1" operator="equal" id="{64BD0434-3C69-4FB9-9421-11C959AC33E2}">
            <xm:f>Støtteark!$L$35</xm:f>
            <x14:dxf>
              <font>
                <color theme="0"/>
              </font>
              <fill>
                <patternFill>
                  <bgColor rgb="FFFF0000"/>
                </patternFill>
              </fill>
            </x14:dxf>
          </x14:cfRule>
          <xm:sqref>N114:N118</xm:sqref>
        </x14:conditionalFormatting>
        <x14:conditionalFormatting xmlns:xm="http://schemas.microsoft.com/office/excel/2006/main">
          <x14:cfRule type="cellIs" priority="5" stopIfTrue="1" operator="equal" id="{08049BFB-A7A6-42EF-A279-C690BE0C11E5}">
            <xm:f>Støtteark!$L$35</xm:f>
            <x14:dxf>
              <font>
                <color theme="0"/>
              </font>
              <fill>
                <patternFill>
                  <bgColor rgb="FFFF0000"/>
                </patternFill>
              </fill>
            </x14:dxf>
          </x14:cfRule>
          <xm:sqref>N120:N123</xm:sqref>
        </x14:conditionalFormatting>
        <x14:conditionalFormatting xmlns:xm="http://schemas.microsoft.com/office/excel/2006/main">
          <x14:cfRule type="cellIs" priority="3" stopIfTrue="1" operator="equal" id="{08F3B130-C0F5-405B-BDC2-01FC6A147839}">
            <xm:f>Støtteark!$L$35</xm:f>
            <x14:dxf>
              <font>
                <color theme="0"/>
              </font>
              <fill>
                <patternFill>
                  <bgColor rgb="FFFF0000"/>
                </patternFill>
              </fill>
            </x14:dxf>
          </x14:cfRule>
          <xm:sqref>N125:N127</xm:sqref>
        </x14:conditionalFormatting>
        <x14:conditionalFormatting xmlns:xm="http://schemas.microsoft.com/office/excel/2006/main">
          <x14:cfRule type="cellIs" priority="1" stopIfTrue="1" operator="equal" id="{FE30F1BA-A156-4F9B-9FBF-3819B80F0585}">
            <xm:f>Støtteark!$L$35</xm:f>
            <x14:dxf>
              <font>
                <color theme="0"/>
              </font>
              <fill>
                <patternFill>
                  <bgColor rgb="FFFF0000"/>
                </patternFill>
              </fill>
            </x14:dxf>
          </x14:cfRule>
          <xm:sqref>N130:N149</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01000000}">
          <x14:formula1>
            <xm:f>Støtteark!$U$15:$U$16</xm:f>
          </x14:formula1>
          <xm:sqref>AP114:AP118 AP82:AP86 AP126:AP127 AP71:AP73 AP6:AP8 AP11:AP19 AP121:AP123 AP22:AP27 AP76:AP79 AP107:AP110 AP30 AP89:AP93 AP102:AP104 AP96:AP99 AP49:AP68 AP131:AP149 AP34:AP46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6">
    <pageSetUpPr fitToPage="1"/>
  </sheetPr>
  <dimension ref="A1:AR7"/>
  <sheetViews>
    <sheetView zoomScale="109" zoomScaleNormal="109" workbookViewId="0">
      <pane ySplit="1" topLeftCell="A2" activePane="bottomLeft" state="frozen"/>
      <selection activeCell="L4" sqref="L4"/>
      <selection pane="bottomLeft" activeCell="A2" sqref="A2"/>
    </sheetView>
  </sheetViews>
  <sheetFormatPr defaultColWidth="32.28515625" defaultRowHeight="15" x14ac:dyDescent="0.25"/>
  <cols>
    <col min="1" max="1" width="18" bestFit="1" customWidth="1"/>
    <col min="2" max="2" width="57.85546875" bestFit="1" customWidth="1"/>
    <col min="3" max="3" width="98.42578125" bestFit="1" customWidth="1"/>
    <col min="4" max="4" width="6" bestFit="1" customWidth="1"/>
    <col min="5" max="5" width="10.28515625" bestFit="1" customWidth="1"/>
    <col min="6" max="6" width="14.5703125" bestFit="1" customWidth="1"/>
    <col min="7" max="7" width="9.140625" bestFit="1" customWidth="1"/>
    <col min="8" max="8" width="15" bestFit="1" customWidth="1"/>
    <col min="9" max="9" width="2.7109375" customWidth="1"/>
    <col min="10" max="10" width="11.85546875" bestFit="1" customWidth="1"/>
    <col min="11" max="11" width="14.85546875" bestFit="1" customWidth="1"/>
    <col min="12" max="12" width="4.140625" bestFit="1" customWidth="1"/>
    <col min="13" max="13" width="20" bestFit="1" customWidth="1"/>
    <col min="14" max="14" width="20.140625" bestFit="1" customWidth="1"/>
    <col min="15" max="15" width="5.7109375" bestFit="1" customWidth="1"/>
    <col min="16" max="16" width="7.85546875" bestFit="1" customWidth="1"/>
    <col min="17" max="17" width="9" bestFit="1" customWidth="1"/>
    <col min="18" max="18" width="12.7109375" bestFit="1" customWidth="1"/>
    <col min="19" max="19" width="2.85546875" bestFit="1" customWidth="1"/>
    <col min="20" max="20" width="2" bestFit="1" customWidth="1"/>
    <col min="21" max="21" width="2.42578125" bestFit="1" customWidth="1"/>
    <col min="22" max="23" width="2" bestFit="1" customWidth="1"/>
    <col min="24" max="24" width="1.85546875" bestFit="1" customWidth="1"/>
    <col min="25" max="25" width="2" bestFit="1" customWidth="1"/>
    <col min="26" max="26" width="2.7109375" customWidth="1"/>
    <col min="27" max="28" width="2" bestFit="1" customWidth="1"/>
    <col min="29" max="29" width="2.85546875" bestFit="1" customWidth="1"/>
    <col min="30" max="30" width="2.28515625" bestFit="1" customWidth="1"/>
    <col min="31" max="31" width="2.85546875" bestFit="1" customWidth="1"/>
    <col min="32" max="33" width="2" bestFit="1" customWidth="1"/>
    <col min="34" max="34" width="2.28515625" bestFit="1" customWidth="1"/>
    <col min="35" max="35" width="2" bestFit="1" customWidth="1"/>
    <col min="36" max="37" width="2.42578125" bestFit="1" customWidth="1"/>
    <col min="38" max="38" width="2.28515625" bestFit="1" customWidth="1"/>
    <col min="39" max="39" width="5.5703125" bestFit="1" customWidth="1"/>
    <col min="40" max="40" width="2.7109375" customWidth="1"/>
    <col min="41" max="41" width="26" bestFit="1" customWidth="1"/>
    <col min="42" max="42" width="4.85546875" bestFit="1" customWidth="1"/>
    <col min="43" max="43" width="2.7109375" customWidth="1"/>
    <col min="44" max="44" width="10.5703125" bestFit="1" customWidth="1"/>
    <col min="45" max="46" width="2.7109375" customWidth="1"/>
  </cols>
  <sheetData>
    <row r="1" spans="1:44" s="260" customFormat="1" x14ac:dyDescent="0.25">
      <c r="A1" s="260" t="s">
        <v>45</v>
      </c>
      <c r="B1" s="260" t="s">
        <v>250</v>
      </c>
      <c r="C1" s="260" t="s">
        <v>44</v>
      </c>
      <c r="D1" s="260" t="s">
        <v>271</v>
      </c>
      <c r="E1" s="260" t="s">
        <v>355</v>
      </c>
      <c r="F1" s="260" t="s">
        <v>248</v>
      </c>
      <c r="G1" s="260" t="s">
        <v>249</v>
      </c>
      <c r="H1" s="260" t="s">
        <v>273</v>
      </c>
      <c r="J1" s="260" t="s">
        <v>357</v>
      </c>
      <c r="K1" s="260" t="s">
        <v>353</v>
      </c>
      <c r="L1" s="260" t="s">
        <v>45</v>
      </c>
      <c r="M1" s="260" t="s">
        <v>354</v>
      </c>
      <c r="N1" s="260" t="s">
        <v>352</v>
      </c>
      <c r="O1" s="260" t="s">
        <v>378</v>
      </c>
      <c r="P1" s="260" t="s">
        <v>375</v>
      </c>
      <c r="Q1" s="260" t="s">
        <v>384</v>
      </c>
      <c r="S1" s="260" t="s">
        <v>262</v>
      </c>
      <c r="T1" s="260" t="s">
        <v>268</v>
      </c>
      <c r="U1" s="260" t="s">
        <v>265</v>
      </c>
      <c r="V1" s="260" t="s">
        <v>268</v>
      </c>
      <c r="W1" s="260" t="s">
        <v>261</v>
      </c>
      <c r="X1" s="260" t="s">
        <v>269</v>
      </c>
      <c r="Y1" s="260" t="s">
        <v>264</v>
      </c>
      <c r="AA1" s="260" t="s">
        <v>260</v>
      </c>
      <c r="AB1" s="260" t="s">
        <v>261</v>
      </c>
      <c r="AC1" s="260" t="s">
        <v>262</v>
      </c>
      <c r="AD1" s="260" t="s">
        <v>263</v>
      </c>
      <c r="AE1" s="260" t="s">
        <v>262</v>
      </c>
      <c r="AF1" s="260" t="s">
        <v>260</v>
      </c>
      <c r="AG1" s="260" t="s">
        <v>260</v>
      </c>
      <c r="AH1" s="260" t="s">
        <v>263</v>
      </c>
      <c r="AI1" s="260" t="s">
        <v>264</v>
      </c>
      <c r="AJ1" s="260" t="s">
        <v>265</v>
      </c>
      <c r="AK1" s="260" t="s">
        <v>266</v>
      </c>
      <c r="AL1" s="260" t="s">
        <v>267</v>
      </c>
      <c r="AM1" s="260" t="s">
        <v>356</v>
      </c>
      <c r="AO1" s="260" t="s">
        <v>251</v>
      </c>
      <c r="AP1" s="260" t="s">
        <v>360</v>
      </c>
      <c r="AR1" s="260" t="s">
        <v>252</v>
      </c>
    </row>
    <row r="2" spans="1:44" x14ac:dyDescent="0.25">
      <c r="A2" t="s">
        <v>418</v>
      </c>
      <c r="B2" t="s">
        <v>431</v>
      </c>
      <c r="C2" t="s">
        <v>308</v>
      </c>
      <c r="D2" t="b">
        <v>1</v>
      </c>
      <c r="E2" t="s">
        <v>301</v>
      </c>
      <c r="F2" t="s">
        <v>419</v>
      </c>
      <c r="G2" t="s">
        <v>249</v>
      </c>
      <c r="H2" t="s">
        <v>273</v>
      </c>
      <c r="J2" t="s">
        <v>297</v>
      </c>
      <c r="K2" t="s">
        <v>358</v>
      </c>
      <c r="L2">
        <v>1</v>
      </c>
      <c r="M2" t="s">
        <v>379</v>
      </c>
      <c r="N2" t="s">
        <v>301</v>
      </c>
      <c r="O2">
        <v>52</v>
      </c>
      <c r="P2" s="265">
        <v>0.29166666666666669</v>
      </c>
      <c r="Q2">
        <v>60</v>
      </c>
      <c r="S2">
        <v>1</v>
      </c>
      <c r="AA2">
        <v>1</v>
      </c>
      <c r="AB2">
        <v>1</v>
      </c>
      <c r="AC2">
        <v>1</v>
      </c>
      <c r="AD2">
        <v>1</v>
      </c>
      <c r="AE2">
        <v>1</v>
      </c>
      <c r="AF2">
        <v>1</v>
      </c>
      <c r="AG2">
        <v>1</v>
      </c>
      <c r="AH2">
        <v>1</v>
      </c>
      <c r="AI2">
        <v>1</v>
      </c>
      <c r="AJ2">
        <v>1</v>
      </c>
      <c r="AK2">
        <v>1</v>
      </c>
      <c r="AL2">
        <v>1</v>
      </c>
      <c r="AP2">
        <v>0</v>
      </c>
      <c r="AR2" s="266">
        <v>44022</v>
      </c>
    </row>
    <row r="3" spans="1:44" ht="30" x14ac:dyDescent="0.25">
      <c r="A3" t="s">
        <v>418</v>
      </c>
      <c r="B3" t="s">
        <v>432</v>
      </c>
      <c r="C3" s="272" t="s">
        <v>380</v>
      </c>
      <c r="D3" t="b">
        <v>1</v>
      </c>
      <c r="E3" t="s">
        <v>300</v>
      </c>
      <c r="F3" t="s">
        <v>419</v>
      </c>
      <c r="G3" t="s">
        <v>249</v>
      </c>
      <c r="H3" t="s">
        <v>273</v>
      </c>
      <c r="J3" t="s">
        <v>297</v>
      </c>
      <c r="K3" t="s">
        <v>358</v>
      </c>
      <c r="L3">
        <v>1</v>
      </c>
      <c r="M3" t="s">
        <v>379</v>
      </c>
      <c r="N3" t="s">
        <v>300</v>
      </c>
      <c r="O3">
        <v>12</v>
      </c>
      <c r="P3" s="265">
        <v>0.29166666666666669</v>
      </c>
      <c r="Q3">
        <v>30</v>
      </c>
      <c r="AA3">
        <v>1</v>
      </c>
      <c r="AB3">
        <v>1</v>
      </c>
      <c r="AC3">
        <v>1</v>
      </c>
      <c r="AD3">
        <v>1</v>
      </c>
      <c r="AE3">
        <v>1</v>
      </c>
      <c r="AF3">
        <v>1</v>
      </c>
      <c r="AG3">
        <v>1</v>
      </c>
      <c r="AH3">
        <v>1</v>
      </c>
      <c r="AI3">
        <v>1</v>
      </c>
      <c r="AJ3">
        <v>1</v>
      </c>
      <c r="AK3">
        <v>1</v>
      </c>
      <c r="AL3">
        <v>1</v>
      </c>
      <c r="AM3">
        <v>801</v>
      </c>
      <c r="AP3">
        <v>0</v>
      </c>
      <c r="AR3" s="266">
        <v>44022</v>
      </c>
    </row>
    <row r="4" spans="1:44" ht="45" x14ac:dyDescent="0.25">
      <c r="A4" t="s">
        <v>418</v>
      </c>
      <c r="B4" t="s">
        <v>427</v>
      </c>
      <c r="C4" s="272" t="s">
        <v>428</v>
      </c>
      <c r="D4" t="b">
        <v>1</v>
      </c>
      <c r="E4" t="s">
        <v>301</v>
      </c>
      <c r="F4" t="s">
        <v>419</v>
      </c>
      <c r="G4" t="s">
        <v>249</v>
      </c>
      <c r="H4" t="s">
        <v>273</v>
      </c>
      <c r="J4" t="s">
        <v>297</v>
      </c>
      <c r="K4" t="s">
        <v>358</v>
      </c>
      <c r="L4">
        <v>1</v>
      </c>
      <c r="M4" t="s">
        <v>379</v>
      </c>
      <c r="N4" t="s">
        <v>301</v>
      </c>
      <c r="O4">
        <v>52</v>
      </c>
      <c r="P4" s="265">
        <v>0.29166666666666669</v>
      </c>
      <c r="Q4">
        <v>75</v>
      </c>
      <c r="S4">
        <v>1</v>
      </c>
      <c r="AA4">
        <v>1</v>
      </c>
      <c r="AB4">
        <v>1</v>
      </c>
      <c r="AC4">
        <v>1</v>
      </c>
      <c r="AD4">
        <v>1</v>
      </c>
      <c r="AE4">
        <v>1</v>
      </c>
      <c r="AF4">
        <v>1</v>
      </c>
      <c r="AG4">
        <v>1</v>
      </c>
      <c r="AH4">
        <v>1</v>
      </c>
      <c r="AI4">
        <v>1</v>
      </c>
      <c r="AJ4">
        <v>1</v>
      </c>
      <c r="AK4">
        <v>1</v>
      </c>
      <c r="AL4">
        <v>1</v>
      </c>
      <c r="AP4">
        <v>0</v>
      </c>
      <c r="AR4" s="266">
        <v>44022</v>
      </c>
    </row>
    <row r="5" spans="1:44" x14ac:dyDescent="0.25">
      <c r="A5" t="s">
        <v>418</v>
      </c>
      <c r="B5" t="s">
        <v>433</v>
      </c>
      <c r="C5" t="s">
        <v>152</v>
      </c>
      <c r="D5" t="b">
        <v>1</v>
      </c>
      <c r="E5" t="s">
        <v>301</v>
      </c>
      <c r="F5" t="s">
        <v>419</v>
      </c>
      <c r="G5" t="s">
        <v>249</v>
      </c>
      <c r="H5" t="s">
        <v>273</v>
      </c>
      <c r="J5" t="s">
        <v>297</v>
      </c>
      <c r="K5" t="s">
        <v>358</v>
      </c>
      <c r="L5">
        <v>1</v>
      </c>
      <c r="M5" t="s">
        <v>379</v>
      </c>
      <c r="N5" t="s">
        <v>301</v>
      </c>
      <c r="O5">
        <v>52</v>
      </c>
      <c r="P5" s="265">
        <v>0.29166666666666669</v>
      </c>
      <c r="Q5">
        <v>30</v>
      </c>
      <c r="S5">
        <v>1</v>
      </c>
      <c r="AA5">
        <v>1</v>
      </c>
      <c r="AB5">
        <v>1</v>
      </c>
      <c r="AC5">
        <v>1</v>
      </c>
      <c r="AD5">
        <v>1</v>
      </c>
      <c r="AE5">
        <v>1</v>
      </c>
      <c r="AF5">
        <v>1</v>
      </c>
      <c r="AG5">
        <v>1</v>
      </c>
      <c r="AH5">
        <v>1</v>
      </c>
      <c r="AI5">
        <v>1</v>
      </c>
      <c r="AJ5">
        <v>1</v>
      </c>
      <c r="AK5">
        <v>1</v>
      </c>
      <c r="AL5">
        <v>1</v>
      </c>
      <c r="AP5">
        <v>0</v>
      </c>
      <c r="AR5" s="266">
        <v>44022</v>
      </c>
    </row>
    <row r="6" spans="1:44" x14ac:dyDescent="0.25">
      <c r="A6" t="s">
        <v>418</v>
      </c>
      <c r="B6" t="s">
        <v>434</v>
      </c>
      <c r="C6" t="s">
        <v>29</v>
      </c>
      <c r="D6" t="b">
        <v>1</v>
      </c>
      <c r="E6" t="s">
        <v>300</v>
      </c>
      <c r="F6" t="s">
        <v>419</v>
      </c>
      <c r="G6" t="s">
        <v>249</v>
      </c>
      <c r="H6" t="s">
        <v>273</v>
      </c>
      <c r="J6" t="s">
        <v>297</v>
      </c>
      <c r="K6" t="s">
        <v>358</v>
      </c>
      <c r="L6">
        <v>1</v>
      </c>
      <c r="M6" t="s">
        <v>379</v>
      </c>
      <c r="N6" t="s">
        <v>300</v>
      </c>
      <c r="O6">
        <v>2</v>
      </c>
      <c r="P6" s="265">
        <v>0.29166666666666669</v>
      </c>
      <c r="Q6">
        <v>60</v>
      </c>
      <c r="AA6">
        <v>1</v>
      </c>
      <c r="AG6">
        <v>1</v>
      </c>
      <c r="AM6">
        <v>801</v>
      </c>
      <c r="AP6">
        <v>0</v>
      </c>
      <c r="AR6" s="266">
        <v>44022</v>
      </c>
    </row>
    <row r="7" spans="1:44" ht="135" x14ac:dyDescent="0.25">
      <c r="A7" t="s">
        <v>418</v>
      </c>
      <c r="B7" t="s">
        <v>429</v>
      </c>
      <c r="C7" s="272" t="s">
        <v>430</v>
      </c>
      <c r="D7" t="b">
        <v>1</v>
      </c>
      <c r="E7" t="s">
        <v>88</v>
      </c>
      <c r="F7" t="s">
        <v>419</v>
      </c>
      <c r="G7" t="s">
        <v>249</v>
      </c>
      <c r="H7" t="s">
        <v>273</v>
      </c>
      <c r="J7" t="s">
        <v>297</v>
      </c>
      <c r="K7" t="s">
        <v>358</v>
      </c>
      <c r="L7">
        <v>1</v>
      </c>
      <c r="M7" t="s">
        <v>379</v>
      </c>
      <c r="N7" t="s">
        <v>369</v>
      </c>
      <c r="O7">
        <v>9</v>
      </c>
      <c r="P7" s="265">
        <v>0.29166666666666669</v>
      </c>
      <c r="Q7">
        <v>300</v>
      </c>
      <c r="S7">
        <v>1</v>
      </c>
      <c r="AD7">
        <v>1</v>
      </c>
      <c r="AE7">
        <v>1</v>
      </c>
      <c r="AF7">
        <v>1</v>
      </c>
      <c r="AG7">
        <v>1</v>
      </c>
      <c r="AH7">
        <v>1</v>
      </c>
      <c r="AI7">
        <v>1</v>
      </c>
      <c r="AP7">
        <v>0</v>
      </c>
      <c r="AR7" s="266">
        <v>44022</v>
      </c>
    </row>
  </sheetData>
  <pageMargins left="0.70866141732283472" right="0.70866141732283472" top="0.74803149606299213" bottom="0.74803149606299213" header="0.31496062992125984" footer="0.31496062992125984"/>
  <pageSetup paperSize="8" scale="44"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7"/>
  <dimension ref="A1:G19"/>
  <sheetViews>
    <sheetView workbookViewId="0">
      <selection activeCell="D20" sqref="D20"/>
    </sheetView>
  </sheetViews>
  <sheetFormatPr defaultRowHeight="15" x14ac:dyDescent="0.25"/>
  <cols>
    <col min="1" max="1" width="22.85546875" bestFit="1" customWidth="1"/>
    <col min="2" max="2" width="10.42578125" bestFit="1" customWidth="1"/>
    <col min="3" max="3" width="26.85546875" bestFit="1" customWidth="1"/>
    <col min="4" max="4" width="23.140625" style="254" bestFit="1" customWidth="1"/>
    <col min="5" max="5" width="10.42578125" bestFit="1" customWidth="1"/>
    <col min="6" max="6" width="6.5703125" bestFit="1" customWidth="1"/>
    <col min="7" max="7" width="21.28515625" bestFit="1" customWidth="1"/>
  </cols>
  <sheetData>
    <row r="1" spans="1:7" s="16" customFormat="1" ht="15.75" thickBot="1" x14ac:dyDescent="0.3">
      <c r="A1" s="249" t="str">
        <f>Støtteark!$A$1</f>
        <v>SLA</v>
      </c>
      <c r="B1" s="249" t="str">
        <f>Støtteark!$B$1</f>
        <v>v. 1.3</v>
      </c>
      <c r="C1" s="249" t="str">
        <f>Støtteark!$C$1</f>
        <v>Init</v>
      </c>
      <c r="D1" s="249" t="str">
        <f>Støtteark!$C$4</f>
        <v>Kundenr.</v>
      </c>
      <c r="E1" s="249" t="str">
        <f>Støtteark!$C$5</f>
        <v>Ejendom</v>
      </c>
      <c r="F1" s="249" t="str">
        <f>Støtteark!$C$6</f>
        <v>Navn</v>
      </c>
      <c r="G1" s="249" t="str">
        <f>Støtteark!$C$7&amp;" "&amp;Støtteark!$C$8&amp;" "&amp;Støtteark!$C$9</f>
        <v>Adresse Postnr. By</v>
      </c>
    </row>
    <row r="2" spans="1:7" x14ac:dyDescent="0.25">
      <c r="F2" s="254"/>
    </row>
    <row r="3" spans="1:7" ht="15" customHeight="1" x14ac:dyDescent="0.25">
      <c r="A3" s="257" t="str">
        <f>'FS Aftale'!$F$1&amp;"-"&amp;'FS Aftale'!$G$1</f>
        <v>Kundenr.-Ejendom</v>
      </c>
      <c r="D3" s="258" t="s">
        <v>386</v>
      </c>
    </row>
    <row r="4" spans="1:7" ht="15.75" thickBot="1" x14ac:dyDescent="0.3">
      <c r="F4" s="254"/>
    </row>
    <row r="5" spans="1:7" ht="15.75" thickBot="1" x14ac:dyDescent="0.3">
      <c r="B5" s="249">
        <f>Ydelser!A21</f>
        <v>300</v>
      </c>
      <c r="C5" s="249" t="str">
        <f>Ydelser!B21</f>
        <v>Blå ydelser</v>
      </c>
      <c r="F5" s="254"/>
    </row>
    <row r="6" spans="1:7" x14ac:dyDescent="0.25">
      <c r="D6" s="255">
        <v>9.4038461538461533</v>
      </c>
      <c r="F6" s="254"/>
    </row>
    <row r="7" spans="1:7" ht="15.75" thickBot="1" x14ac:dyDescent="0.3">
      <c r="F7" s="254"/>
    </row>
    <row r="8" spans="1:7" ht="15.75" thickBot="1" x14ac:dyDescent="0.3">
      <c r="B8" s="249">
        <f>Ydelser!A48</f>
        <v>400</v>
      </c>
      <c r="C8" s="249" t="str">
        <f>Ydelser!B48</f>
        <v>Grå ydelser</v>
      </c>
      <c r="F8" s="254"/>
    </row>
    <row r="9" spans="1:7" x14ac:dyDescent="0.25">
      <c r="D9" s="255">
        <v>1.8846153846153846</v>
      </c>
      <c r="F9" s="254"/>
    </row>
    <row r="10" spans="1:7" ht="15.75" thickBot="1" x14ac:dyDescent="0.3">
      <c r="F10" s="254"/>
    </row>
    <row r="11" spans="1:7" ht="15.75" thickBot="1" x14ac:dyDescent="0.3">
      <c r="B11" s="249">
        <f>Ydelser!A75</f>
        <v>500</v>
      </c>
      <c r="C11" s="249" t="str">
        <f>Ydelser!B75</f>
        <v>Grønne ydelser</v>
      </c>
      <c r="F11" s="254"/>
    </row>
    <row r="12" spans="1:7" x14ac:dyDescent="0.25">
      <c r="D12" s="255">
        <v>0.86538461538461542</v>
      </c>
      <c r="F12" s="254"/>
    </row>
    <row r="13" spans="1:7" ht="15.75" thickBot="1" x14ac:dyDescent="0.3">
      <c r="F13" s="254"/>
    </row>
    <row r="14" spans="1:7" ht="15.75" thickBot="1" x14ac:dyDescent="0.3">
      <c r="B14" s="249">
        <f>Ydelser!A129</f>
        <v>900</v>
      </c>
      <c r="C14" s="249" t="str">
        <f>Ydelser!B129</f>
        <v>Kundespecifikke ydelser</v>
      </c>
      <c r="F14" s="254"/>
    </row>
    <row r="15" spans="1:7" x14ac:dyDescent="0.25">
      <c r="D15" s="255">
        <v>0</v>
      </c>
      <c r="F15" s="254"/>
    </row>
    <row r="16" spans="1:7" ht="15.75" thickBot="1" x14ac:dyDescent="0.3">
      <c r="D16"/>
      <c r="F16" s="254"/>
    </row>
    <row r="17" spans="3:6" ht="15.75" thickBot="1" x14ac:dyDescent="0.3">
      <c r="C17" s="259" t="s">
        <v>387</v>
      </c>
      <c r="D17" s="256">
        <f>SUM(D6:D15)</f>
        <v>12.153846153846153</v>
      </c>
      <c r="F17" s="254"/>
    </row>
    <row r="18" spans="3:6" x14ac:dyDescent="0.25">
      <c r="F18" s="254"/>
    </row>
    <row r="19" spans="3:6" x14ac:dyDescent="0.25">
      <c r="F19" s="254"/>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4">
    <pageSetUpPr fitToPage="1"/>
  </sheetPr>
  <dimension ref="A1:W36"/>
  <sheetViews>
    <sheetView zoomScale="103" zoomScaleNormal="103" workbookViewId="0">
      <selection activeCell="C15" sqref="C15"/>
    </sheetView>
  </sheetViews>
  <sheetFormatPr defaultColWidth="6.140625" defaultRowHeight="15" x14ac:dyDescent="0.25"/>
  <cols>
    <col min="1" max="1" width="5.42578125" style="252" bestFit="1" customWidth="1"/>
    <col min="2" max="2" width="15" style="252" bestFit="1" customWidth="1"/>
    <col min="3" max="3" width="14.5703125" style="252" bestFit="1" customWidth="1"/>
    <col min="4" max="4" width="5.5703125" style="252" bestFit="1" customWidth="1"/>
    <col min="5" max="5" width="33.5703125" style="252" bestFit="1" customWidth="1"/>
    <col min="6" max="6" width="17.7109375" style="252" bestFit="1" customWidth="1"/>
    <col min="7" max="7" width="2" style="252" customWidth="1"/>
    <col min="8" max="8" width="14.42578125" style="252" bestFit="1" customWidth="1"/>
    <col min="9" max="10" width="14" style="252" bestFit="1" customWidth="1"/>
    <col min="11" max="11" width="2" style="252" customWidth="1"/>
    <col min="12" max="12" width="25.28515625" style="252" bestFit="1" customWidth="1"/>
    <col min="13" max="13" width="13.42578125" style="252" bestFit="1" customWidth="1"/>
    <col min="14" max="14" width="11.42578125" style="252" bestFit="1" customWidth="1"/>
    <col min="15" max="15" width="2" style="252" customWidth="1"/>
    <col min="16" max="16" width="19.42578125" style="252" bestFit="1" customWidth="1"/>
    <col min="17" max="17" width="11.42578125" style="252" bestFit="1" customWidth="1"/>
    <col min="18" max="18" width="2" style="252" customWidth="1"/>
    <col min="19" max="19" width="7.42578125" style="252" bestFit="1" customWidth="1"/>
    <col min="20" max="20" width="2" style="252" customWidth="1"/>
    <col min="21" max="21" width="14" style="252" bestFit="1" customWidth="1"/>
    <col min="22" max="22" width="5.28515625" style="252" bestFit="1" customWidth="1"/>
    <col min="23" max="16384" width="6.140625" style="252"/>
  </cols>
  <sheetData>
    <row r="1" spans="1:23" s="109" customFormat="1" ht="13.5" thickBot="1" x14ac:dyDescent="0.3">
      <c r="A1" s="249" t="s">
        <v>45</v>
      </c>
      <c r="B1" s="249" t="s">
        <v>417</v>
      </c>
      <c r="C1" s="106" t="s">
        <v>238</v>
      </c>
      <c r="D1" s="249"/>
      <c r="E1" s="249"/>
      <c r="F1" s="249"/>
      <c r="G1" s="249"/>
      <c r="H1" s="249"/>
      <c r="I1" s="249"/>
      <c r="J1" s="249"/>
      <c r="K1" s="249"/>
      <c r="L1" s="249"/>
      <c r="M1" s="249"/>
      <c r="N1" s="249"/>
      <c r="O1" s="249"/>
      <c r="P1" s="249"/>
      <c r="Q1" s="249"/>
      <c r="R1" s="249"/>
      <c r="S1" s="249"/>
      <c r="T1" s="249"/>
      <c r="U1" s="249"/>
      <c r="V1" s="249"/>
      <c r="W1" s="249"/>
    </row>
    <row r="2" spans="1:23" s="93" customFormat="1" ht="15.75" thickBot="1" x14ac:dyDescent="0.3">
      <c r="A2" s="249"/>
      <c r="B2" s="1" t="s">
        <v>252</v>
      </c>
      <c r="C2" s="118">
        <f ca="1">TODAY()</f>
        <v>44022</v>
      </c>
      <c r="D2" s="94"/>
      <c r="E2" s="94"/>
      <c r="F2" s="94"/>
      <c r="G2" s="94"/>
      <c r="H2" s="94"/>
      <c r="I2" s="94"/>
      <c r="J2" s="94"/>
      <c r="K2" s="94"/>
      <c r="L2" s="94"/>
      <c r="M2" s="94"/>
      <c r="N2" s="94"/>
      <c r="O2" s="94"/>
      <c r="P2" s="94"/>
      <c r="Q2" s="94"/>
      <c r="R2" s="94"/>
      <c r="S2" s="94"/>
      <c r="T2" s="94"/>
      <c r="U2" s="94"/>
      <c r="W2" s="249"/>
    </row>
    <row r="3" spans="1:23" s="110" customFormat="1" ht="26.25" thickBot="1" x14ac:dyDescent="0.3">
      <c r="A3" s="249"/>
      <c r="B3" s="249" t="s">
        <v>209</v>
      </c>
      <c r="C3" s="249"/>
      <c r="D3" s="249"/>
      <c r="E3" s="249" t="s">
        <v>87</v>
      </c>
      <c r="F3" s="249" t="s">
        <v>395</v>
      </c>
      <c r="G3" s="249"/>
      <c r="H3" s="249" t="s">
        <v>197</v>
      </c>
      <c r="I3" s="249" t="s">
        <v>198</v>
      </c>
      <c r="J3" s="249" t="s">
        <v>199</v>
      </c>
      <c r="K3" s="249"/>
      <c r="L3" s="249" t="s">
        <v>205</v>
      </c>
      <c r="M3" s="249" t="s">
        <v>54</v>
      </c>
      <c r="N3" s="249" t="s">
        <v>204</v>
      </c>
      <c r="O3" s="249"/>
      <c r="P3" s="249" t="s">
        <v>47</v>
      </c>
      <c r="Q3" s="249" t="s">
        <v>204</v>
      </c>
      <c r="R3" s="249"/>
      <c r="S3" s="249" t="s">
        <v>80</v>
      </c>
      <c r="T3" s="249"/>
      <c r="U3" s="249" t="s">
        <v>355</v>
      </c>
      <c r="V3" s="249" t="s">
        <v>293</v>
      </c>
      <c r="W3" s="249"/>
    </row>
    <row r="4" spans="1:23" s="93" customFormat="1" ht="15.75" thickBot="1" x14ac:dyDescent="0.3">
      <c r="A4" s="249"/>
      <c r="B4" s="94" t="s">
        <v>215</v>
      </c>
      <c r="C4" s="95" t="s">
        <v>215</v>
      </c>
      <c r="D4" s="249"/>
      <c r="E4" s="111" t="s">
        <v>81</v>
      </c>
      <c r="F4" s="77">
        <v>950</v>
      </c>
      <c r="G4" s="249"/>
      <c r="H4" s="112" t="s">
        <v>200</v>
      </c>
      <c r="I4" s="77">
        <f>1800*12</f>
        <v>21600</v>
      </c>
      <c r="J4" s="77">
        <v>30000</v>
      </c>
      <c r="K4" s="249"/>
      <c r="L4" s="94" t="str">
        <f>Ydelser!B101</f>
        <v>Vinter - DEAS</v>
      </c>
      <c r="M4" s="77"/>
      <c r="N4" s="94"/>
      <c r="O4" s="249"/>
      <c r="P4" s="1" t="str">
        <f>Ydelser!C107</f>
        <v>Fremvisning</v>
      </c>
      <c r="Q4" s="77">
        <v>365</v>
      </c>
      <c r="R4" s="108"/>
      <c r="S4" s="113">
        <v>0.25</v>
      </c>
      <c r="T4" s="249"/>
      <c r="U4" s="94" t="s">
        <v>300</v>
      </c>
      <c r="V4" s="114" t="s">
        <v>290</v>
      </c>
      <c r="W4" s="249"/>
    </row>
    <row r="5" spans="1:23" s="93" customFormat="1" ht="15.75" thickBot="1" x14ac:dyDescent="0.3">
      <c r="A5" s="249"/>
      <c r="B5" s="94" t="s">
        <v>210</v>
      </c>
      <c r="C5" s="95" t="s">
        <v>210</v>
      </c>
      <c r="D5" s="249"/>
      <c r="E5" s="111" t="s">
        <v>82</v>
      </c>
      <c r="F5" s="77">
        <v>900</v>
      </c>
      <c r="G5" s="249"/>
      <c r="H5" s="94" t="s">
        <v>201</v>
      </c>
      <c r="I5" s="77">
        <f>2700*12</f>
        <v>32400</v>
      </c>
      <c r="J5" s="77">
        <v>45000</v>
      </c>
      <c r="K5" s="249"/>
      <c r="L5" s="94"/>
      <c r="M5" s="112" t="str">
        <f>Ydelser!C102</f>
        <v>Saltning</v>
      </c>
      <c r="N5" s="77">
        <v>325</v>
      </c>
      <c r="O5" s="249"/>
      <c r="P5" s="1" t="str">
        <f>Ydelser!C108</f>
        <v>Indflytning</v>
      </c>
      <c r="Q5" s="77">
        <v>1495</v>
      </c>
      <c r="R5" s="108"/>
      <c r="S5" s="94"/>
      <c r="T5" s="249"/>
      <c r="U5" s="94" t="s">
        <v>301</v>
      </c>
      <c r="V5" s="115" t="s">
        <v>291</v>
      </c>
      <c r="W5" s="249"/>
    </row>
    <row r="6" spans="1:23" s="93" customFormat="1" ht="26.25" thickBot="1" x14ac:dyDescent="0.3">
      <c r="A6" s="249"/>
      <c r="B6" s="116" t="s">
        <v>212</v>
      </c>
      <c r="C6" s="95" t="s">
        <v>212</v>
      </c>
      <c r="D6" s="249"/>
      <c r="E6" s="111" t="s">
        <v>83</v>
      </c>
      <c r="F6" s="77">
        <v>700</v>
      </c>
      <c r="G6" s="249"/>
      <c r="H6" s="94" t="s">
        <v>202</v>
      </c>
      <c r="I6" s="77">
        <f>3600*12</f>
        <v>43200</v>
      </c>
      <c r="J6" s="77">
        <v>60000</v>
      </c>
      <c r="K6" s="249"/>
      <c r="L6" s="94"/>
      <c r="M6" s="112" t="str">
        <f>Ydelser!C103</f>
        <v>Snerydning inkl. saltning</v>
      </c>
      <c r="N6" s="77">
        <v>475</v>
      </c>
      <c r="O6" s="249"/>
      <c r="P6" s="1" t="str">
        <f>Ydelser!C109</f>
        <v>Fraflytning</v>
      </c>
      <c r="Q6" s="77">
        <v>2895</v>
      </c>
      <c r="R6" s="108"/>
      <c r="S6" s="94"/>
      <c r="T6" s="249"/>
      <c r="U6" s="94" t="s">
        <v>88</v>
      </c>
      <c r="V6" s="114" t="s">
        <v>292</v>
      </c>
      <c r="W6" s="249"/>
    </row>
    <row r="7" spans="1:23" s="93" customFormat="1" ht="26.25" thickBot="1" x14ac:dyDescent="0.3">
      <c r="A7" s="249"/>
      <c r="B7" s="116" t="s">
        <v>211</v>
      </c>
      <c r="C7" s="95" t="s">
        <v>211</v>
      </c>
      <c r="D7" s="249"/>
      <c r="E7" s="111" t="s">
        <v>84</v>
      </c>
      <c r="F7" s="77">
        <v>700</v>
      </c>
      <c r="G7" s="249"/>
      <c r="H7" s="94" t="s">
        <v>203</v>
      </c>
      <c r="I7" s="77">
        <v>500000</v>
      </c>
      <c r="J7" s="77">
        <v>500000</v>
      </c>
      <c r="K7" s="249"/>
      <c r="L7" s="112"/>
      <c r="M7" s="112" t="str">
        <f>Ydelser!C104</f>
        <v>Sæsonovervågning</v>
      </c>
      <c r="N7" s="77">
        <v>5000</v>
      </c>
      <c r="O7" s="249"/>
      <c r="P7" s="1" t="str">
        <f>Ydelser!C110</f>
        <v>Bestillinger</v>
      </c>
      <c r="Q7" s="117">
        <v>600</v>
      </c>
      <c r="R7" s="108"/>
      <c r="S7" s="94"/>
      <c r="T7" s="249"/>
      <c r="U7" s="94" t="s">
        <v>283</v>
      </c>
      <c r="W7" s="249"/>
    </row>
    <row r="8" spans="1:23" s="93" customFormat="1" ht="15.75" thickBot="1" x14ac:dyDescent="0.3">
      <c r="A8" s="249"/>
      <c r="B8" s="116" t="s">
        <v>213</v>
      </c>
      <c r="C8" s="96" t="s">
        <v>213</v>
      </c>
      <c r="D8" s="249"/>
      <c r="E8" s="111" t="s">
        <v>196</v>
      </c>
      <c r="F8" s="77">
        <v>700</v>
      </c>
      <c r="G8" s="249"/>
      <c r="H8" s="94"/>
      <c r="I8" s="94"/>
      <c r="J8" s="94"/>
      <c r="K8" s="249"/>
      <c r="L8" s="94"/>
      <c r="M8" s="94"/>
      <c r="N8" s="94"/>
      <c r="O8" s="249"/>
      <c r="P8" s="94"/>
      <c r="Q8" s="94"/>
      <c r="R8" s="108"/>
      <c r="S8" s="94"/>
      <c r="T8" s="249"/>
      <c r="U8" s="94" t="s">
        <v>376</v>
      </c>
      <c r="W8" s="249"/>
    </row>
    <row r="9" spans="1:23" s="93" customFormat="1" ht="15.75" thickBot="1" x14ac:dyDescent="0.3">
      <c r="A9" s="249"/>
      <c r="B9" s="116" t="s">
        <v>214</v>
      </c>
      <c r="C9" s="95" t="s">
        <v>214</v>
      </c>
      <c r="D9" s="249"/>
      <c r="E9" s="111" t="s">
        <v>85</v>
      </c>
      <c r="F9" s="77">
        <v>385</v>
      </c>
      <c r="G9" s="249"/>
      <c r="H9" s="94"/>
      <c r="I9" s="94"/>
      <c r="J9" s="94"/>
      <c r="K9" s="249"/>
      <c r="L9" s="94" t="str">
        <f>Ydelser!B124&amp;" - samarbejdspartner"</f>
        <v>Vinter - samarbejdspartner</v>
      </c>
      <c r="M9" s="94"/>
      <c r="N9" s="94"/>
      <c r="O9" s="249"/>
      <c r="P9" s="112"/>
      <c r="Q9" s="77"/>
      <c r="R9" s="108"/>
      <c r="S9" s="94"/>
      <c r="T9" s="249"/>
      <c r="U9" s="94" t="s">
        <v>377</v>
      </c>
      <c r="W9" s="249"/>
    </row>
    <row r="10" spans="1:23" s="93" customFormat="1" ht="15.75" thickBot="1" x14ac:dyDescent="0.3">
      <c r="A10" s="249"/>
      <c r="B10" s="116" t="s">
        <v>253</v>
      </c>
      <c r="C10" s="95" t="s">
        <v>253</v>
      </c>
      <c r="D10" s="249"/>
      <c r="E10" s="111" t="s">
        <v>392</v>
      </c>
      <c r="F10" s="77">
        <v>385</v>
      </c>
      <c r="G10" s="249"/>
      <c r="H10" s="94"/>
      <c r="I10" s="94"/>
      <c r="J10" s="94"/>
      <c r="K10" s="249"/>
      <c r="L10" s="94"/>
      <c r="M10" s="112" t="str">
        <f>Ydelser!C125</f>
        <v>Saltning</v>
      </c>
      <c r="N10" s="77">
        <v>450</v>
      </c>
      <c r="O10" s="249"/>
      <c r="P10" s="112"/>
      <c r="Q10" s="77"/>
      <c r="R10" s="108"/>
      <c r="S10" s="94"/>
      <c r="T10" s="249"/>
      <c r="U10" s="94"/>
      <c r="W10" s="249"/>
    </row>
    <row r="11" spans="1:23" s="93" customFormat="1" ht="26.25" thickBot="1" x14ac:dyDescent="0.3">
      <c r="A11" s="249"/>
      <c r="B11" s="94" t="s">
        <v>398</v>
      </c>
      <c r="C11" s="264" t="s">
        <v>378</v>
      </c>
      <c r="D11" s="249"/>
      <c r="E11" s="111" t="s">
        <v>393</v>
      </c>
      <c r="F11" s="77">
        <v>435</v>
      </c>
      <c r="G11" s="249"/>
      <c r="H11" s="94"/>
      <c r="I11" s="94"/>
      <c r="J11" s="94"/>
      <c r="K11" s="249"/>
      <c r="L11" s="94"/>
      <c r="M11" s="112" t="str">
        <f>Ydelser!C126</f>
        <v>Snerydning inkl. saltning</v>
      </c>
      <c r="N11" s="77">
        <v>625</v>
      </c>
      <c r="O11" s="249"/>
      <c r="P11" s="112"/>
      <c r="Q11" s="77"/>
      <c r="R11" s="108"/>
      <c r="S11" s="94"/>
      <c r="T11" s="249"/>
      <c r="U11" s="94"/>
      <c r="W11" s="249"/>
    </row>
    <row r="12" spans="1:23" s="93" customFormat="1" ht="26.25" thickBot="1" x14ac:dyDescent="0.3">
      <c r="A12" s="249"/>
      <c r="B12" s="94" t="s">
        <v>396</v>
      </c>
      <c r="C12" s="264" t="s">
        <v>378</v>
      </c>
      <c r="D12" s="249"/>
      <c r="E12" s="111" t="s">
        <v>394</v>
      </c>
      <c r="F12" s="77">
        <v>935</v>
      </c>
      <c r="G12" s="249"/>
      <c r="H12" s="94"/>
      <c r="I12" s="94"/>
      <c r="J12" s="94"/>
      <c r="K12" s="249"/>
      <c r="L12" s="94"/>
      <c r="M12" s="112" t="str">
        <f>Ydelser!C127</f>
        <v>Sæsonovervågning</v>
      </c>
      <c r="N12" s="77">
        <v>1</v>
      </c>
      <c r="O12" s="249"/>
      <c r="P12" s="94"/>
      <c r="Q12" s="94"/>
      <c r="R12" s="108"/>
      <c r="S12" s="94"/>
      <c r="T12" s="249"/>
      <c r="U12" s="94"/>
      <c r="W12" s="249"/>
    </row>
    <row r="13" spans="1:23" s="93" customFormat="1" ht="15.75" thickBot="1" x14ac:dyDescent="0.3">
      <c r="A13" s="249"/>
      <c r="B13" s="94"/>
      <c r="C13" s="94"/>
      <c r="D13" s="249"/>
      <c r="E13" s="111" t="s">
        <v>86</v>
      </c>
      <c r="F13" s="77">
        <v>385</v>
      </c>
      <c r="G13" s="249"/>
      <c r="H13" s="94"/>
      <c r="I13" s="94"/>
      <c r="J13" s="94"/>
      <c r="K13" s="249"/>
      <c r="L13" s="94"/>
      <c r="M13" s="94"/>
      <c r="N13" s="94"/>
      <c r="O13" s="249"/>
      <c r="P13" s="94"/>
      <c r="Q13" s="94"/>
      <c r="R13" s="108"/>
      <c r="S13" s="94"/>
      <c r="T13" s="249"/>
      <c r="U13" s="94"/>
      <c r="W13" s="249"/>
    </row>
    <row r="14" spans="1:23" s="93" customFormat="1" ht="26.25" thickBot="1" x14ac:dyDescent="0.3">
      <c r="A14" s="249"/>
      <c r="B14" s="249" t="s">
        <v>248</v>
      </c>
      <c r="C14" s="249"/>
      <c r="D14" s="249"/>
      <c r="E14" s="111" t="s">
        <v>298</v>
      </c>
      <c r="F14" s="77">
        <v>385</v>
      </c>
      <c r="G14" s="249"/>
      <c r="H14" s="249" t="s">
        <v>318</v>
      </c>
      <c r="I14" s="249"/>
      <c r="J14" s="249"/>
      <c r="K14" s="249"/>
      <c r="L14" s="249"/>
      <c r="M14" s="249"/>
      <c r="N14" s="249"/>
      <c r="O14" s="249"/>
      <c r="P14" s="249" t="s">
        <v>259</v>
      </c>
      <c r="Q14" s="249"/>
      <c r="R14" s="249"/>
      <c r="S14" s="249"/>
      <c r="T14" s="249"/>
      <c r="U14" s="249" t="s">
        <v>351</v>
      </c>
      <c r="V14" s="249"/>
      <c r="W14" s="249"/>
    </row>
    <row r="15" spans="1:23" s="93" customFormat="1" ht="15.75" thickBot="1" x14ac:dyDescent="0.3">
      <c r="A15" s="249"/>
      <c r="B15" s="94" t="s">
        <v>248</v>
      </c>
      <c r="C15" s="94" t="str">
        <f>"Team "&amp;C16</f>
        <v>Team Ansvarlig</v>
      </c>
      <c r="D15" s="249"/>
      <c r="E15" s="111" t="s">
        <v>299</v>
      </c>
      <c r="F15" s="77">
        <v>385</v>
      </c>
      <c r="G15" s="249"/>
      <c r="H15" s="270" t="s">
        <v>274</v>
      </c>
      <c r="I15" s="270"/>
      <c r="J15" s="270"/>
      <c r="K15" s="122"/>
      <c r="L15" s="162" t="s">
        <v>361</v>
      </c>
      <c r="M15" s="107"/>
      <c r="O15" s="249"/>
      <c r="P15" s="94" t="s">
        <v>270</v>
      </c>
      <c r="Q15" s="94">
        <v>60</v>
      </c>
      <c r="R15" s="108"/>
      <c r="S15" s="94"/>
      <c r="T15" s="249"/>
      <c r="U15" s="94">
        <v>1</v>
      </c>
      <c r="W15" s="249"/>
    </row>
    <row r="16" spans="1:23" s="93" customFormat="1" ht="15.75" thickBot="1" x14ac:dyDescent="0.3">
      <c r="A16" s="249"/>
      <c r="B16" s="94" t="s">
        <v>249</v>
      </c>
      <c r="C16" s="95" t="s">
        <v>249</v>
      </c>
      <c r="D16" s="249"/>
      <c r="E16" s="111" t="s">
        <v>388</v>
      </c>
      <c r="F16" s="77">
        <v>470</v>
      </c>
      <c r="G16" s="249"/>
      <c r="H16" s="270" t="s">
        <v>275</v>
      </c>
      <c r="I16" s="270"/>
      <c r="J16" s="270"/>
      <c r="K16" s="122"/>
      <c r="L16" s="163">
        <v>32</v>
      </c>
      <c r="M16" s="107"/>
      <c r="O16" s="249"/>
      <c r="P16" s="94" t="s">
        <v>284</v>
      </c>
      <c r="Q16" s="94">
        <v>7.5</v>
      </c>
      <c r="R16" s="108"/>
      <c r="S16" s="94"/>
      <c r="T16" s="249"/>
      <c r="U16" s="94">
        <v>0</v>
      </c>
      <c r="W16" s="249"/>
    </row>
    <row r="17" spans="1:23" s="93" customFormat="1" ht="39" thickBot="1" x14ac:dyDescent="0.3">
      <c r="A17" s="249"/>
      <c r="B17" s="116" t="s">
        <v>273</v>
      </c>
      <c r="C17" s="95" t="s">
        <v>273</v>
      </c>
      <c r="D17" s="249"/>
      <c r="E17" s="111" t="s">
        <v>389</v>
      </c>
      <c r="F17" s="77">
        <v>520</v>
      </c>
      <c r="G17" s="249"/>
      <c r="H17" s="122" t="s">
        <v>296</v>
      </c>
      <c r="I17" s="122"/>
      <c r="J17" s="122"/>
      <c r="K17" s="122"/>
      <c r="L17" s="176">
        <v>801</v>
      </c>
      <c r="M17" s="164"/>
      <c r="O17" s="249"/>
      <c r="P17" s="116" t="s">
        <v>289</v>
      </c>
      <c r="Q17" s="94">
        <v>4.5</v>
      </c>
      <c r="R17" s="108"/>
      <c r="S17" s="94"/>
      <c r="T17" s="249"/>
      <c r="U17" s="249" t="s">
        <v>359</v>
      </c>
      <c r="V17" s="249"/>
      <c r="W17" s="249"/>
    </row>
    <row r="18" spans="1:23" s="93" customFormat="1" ht="51.75" thickBot="1" x14ac:dyDescent="0.3">
      <c r="A18" s="249"/>
      <c r="B18" s="116"/>
      <c r="C18" s="116"/>
      <c r="D18" s="249"/>
      <c r="E18" s="111" t="s">
        <v>390</v>
      </c>
      <c r="F18" s="77">
        <v>1160</v>
      </c>
      <c r="G18" s="249"/>
      <c r="H18" s="122" t="s">
        <v>276</v>
      </c>
      <c r="I18" s="122"/>
      <c r="J18" s="122"/>
      <c r="K18" s="165"/>
      <c r="L18" s="163" t="s">
        <v>362</v>
      </c>
      <c r="M18" s="107"/>
      <c r="O18" s="249"/>
      <c r="P18" s="116" t="s">
        <v>288</v>
      </c>
      <c r="Q18" s="94">
        <v>52</v>
      </c>
      <c r="R18" s="108"/>
      <c r="S18" s="94"/>
      <c r="T18" s="249"/>
      <c r="U18" s="94" t="s">
        <v>297</v>
      </c>
      <c r="V18" s="94"/>
      <c r="W18" s="249"/>
    </row>
    <row r="19" spans="1:23" s="93" customFormat="1" ht="26.25" thickBot="1" x14ac:dyDescent="0.3">
      <c r="A19" s="249"/>
      <c r="B19" s="116"/>
      <c r="C19" s="116"/>
      <c r="D19" s="249"/>
      <c r="E19" s="111" t="s">
        <v>391</v>
      </c>
      <c r="F19" s="77">
        <v>950</v>
      </c>
      <c r="G19" s="249"/>
      <c r="H19" s="122" t="s">
        <v>277</v>
      </c>
      <c r="I19" s="122"/>
      <c r="J19" s="122"/>
      <c r="K19" s="122"/>
      <c r="L19" s="163" t="s">
        <v>363</v>
      </c>
      <c r="M19" s="107"/>
      <c r="O19" s="249"/>
      <c r="P19" s="94" t="s">
        <v>287</v>
      </c>
      <c r="Q19" s="94">
        <v>12</v>
      </c>
      <c r="R19" s="108"/>
      <c r="S19" s="94"/>
      <c r="T19" s="249"/>
      <c r="U19" s="94" t="s">
        <v>358</v>
      </c>
      <c r="V19" s="94"/>
      <c r="W19" s="249"/>
    </row>
    <row r="20" spans="1:23" s="93" customFormat="1" ht="30.75" thickBot="1" x14ac:dyDescent="0.3">
      <c r="A20" s="249"/>
      <c r="B20" s="116"/>
      <c r="C20" s="116"/>
      <c r="D20" s="249"/>
      <c r="E20" s="111" t="s">
        <v>187</v>
      </c>
      <c r="F20" s="77">
        <v>0</v>
      </c>
      <c r="G20" s="249"/>
      <c r="H20" s="122" t="s">
        <v>278</v>
      </c>
      <c r="I20" s="122"/>
      <c r="J20" s="122"/>
      <c r="K20" s="122"/>
      <c r="L20" s="163" t="s">
        <v>364</v>
      </c>
      <c r="M20" s="107"/>
      <c r="O20" s="249"/>
      <c r="P20" s="94" t="s">
        <v>286</v>
      </c>
      <c r="Q20" s="94">
        <v>250</v>
      </c>
      <c r="R20" s="108"/>
      <c r="S20" s="94"/>
      <c r="T20" s="249"/>
      <c r="U20" s="94" t="s">
        <v>379</v>
      </c>
      <c r="V20" s="94"/>
      <c r="W20" s="249"/>
    </row>
    <row r="21" spans="1:23" s="93" customFormat="1" ht="39" thickBot="1" x14ac:dyDescent="0.3">
      <c r="A21" s="249"/>
      <c r="B21" s="108" t="s">
        <v>237</v>
      </c>
      <c r="C21" s="108"/>
      <c r="D21" s="108" t="s">
        <v>301</v>
      </c>
      <c r="E21" s="108" t="s">
        <v>300</v>
      </c>
      <c r="F21" s="108" t="s">
        <v>88</v>
      </c>
      <c r="G21" s="249"/>
      <c r="H21" s="122" t="s">
        <v>279</v>
      </c>
      <c r="I21" s="122"/>
      <c r="J21" s="122"/>
      <c r="K21" s="122"/>
      <c r="L21" s="163" t="s">
        <v>365</v>
      </c>
      <c r="M21" s="107"/>
      <c r="O21" s="249"/>
      <c r="P21" s="94" t="s">
        <v>285</v>
      </c>
      <c r="Q21" s="94">
        <v>5</v>
      </c>
      <c r="R21" s="108"/>
      <c r="S21" s="94"/>
      <c r="T21" s="249"/>
      <c r="U21" s="249"/>
      <c r="V21" s="249"/>
      <c r="W21" s="249"/>
    </row>
    <row r="22" spans="1:23" s="93" customFormat="1" ht="51.75" thickBot="1" x14ac:dyDescent="0.3">
      <c r="A22" s="249"/>
      <c r="B22" s="119">
        <f>Q20</f>
        <v>250</v>
      </c>
      <c r="C22" s="125"/>
      <c r="D22" s="126" t="str">
        <f>L25</f>
        <v>Ugentligt</v>
      </c>
      <c r="E22" s="125"/>
      <c r="F22" s="125"/>
      <c r="G22" s="249"/>
      <c r="H22" s="122" t="s">
        <v>280</v>
      </c>
      <c r="I22" s="122"/>
      <c r="J22" s="122"/>
      <c r="K22" s="122"/>
      <c r="L22" s="163" t="s">
        <v>366</v>
      </c>
      <c r="M22" s="107"/>
      <c r="O22" s="249"/>
      <c r="P22" s="249"/>
      <c r="Q22" s="249"/>
      <c r="R22" s="249"/>
      <c r="S22" s="94"/>
      <c r="T22" s="94"/>
      <c r="U22" s="94"/>
      <c r="V22" s="94"/>
      <c r="W22" s="249"/>
    </row>
    <row r="23" spans="1:23" s="93" customFormat="1" ht="30.75" thickBot="1" x14ac:dyDescent="0.3">
      <c r="A23" s="249"/>
      <c r="B23" s="120">
        <f>3*Q18</f>
        <v>156</v>
      </c>
      <c r="C23" s="125"/>
      <c r="D23" s="126" t="str">
        <f>L25</f>
        <v>Ugentligt</v>
      </c>
      <c r="E23" s="125"/>
      <c r="F23" s="125"/>
      <c r="G23" s="249"/>
      <c r="H23" s="122" t="s">
        <v>281</v>
      </c>
      <c r="I23" s="122"/>
      <c r="J23" s="122"/>
      <c r="K23" s="122"/>
      <c r="L23" s="163" t="s">
        <v>367</v>
      </c>
      <c r="M23" s="107"/>
      <c r="O23" s="249"/>
      <c r="W23" s="249"/>
    </row>
    <row r="24" spans="1:23" s="93" customFormat="1" ht="39" thickBot="1" x14ac:dyDescent="0.3">
      <c r="A24" s="249"/>
      <c r="B24" s="120">
        <f>2*Q18</f>
        <v>104</v>
      </c>
      <c r="C24" s="125"/>
      <c r="D24" s="126" t="str">
        <f>L25</f>
        <v>Ugentligt</v>
      </c>
      <c r="E24" s="125"/>
      <c r="F24" s="128"/>
      <c r="G24" s="249"/>
      <c r="H24" s="122" t="s">
        <v>282</v>
      </c>
      <c r="I24" s="122"/>
      <c r="J24" s="122"/>
      <c r="K24" s="122"/>
      <c r="L24" s="163" t="s">
        <v>368</v>
      </c>
      <c r="M24" s="107"/>
      <c r="O24" s="249"/>
      <c r="P24" s="271"/>
      <c r="Q24" s="271"/>
      <c r="W24" s="249"/>
    </row>
    <row r="25" spans="1:23" s="93" customFormat="1" ht="30.75" customHeight="1" thickBot="1" x14ac:dyDescent="0.3">
      <c r="A25" s="249"/>
      <c r="B25" s="120">
        <f>B22/2</f>
        <v>125</v>
      </c>
      <c r="C25" s="125"/>
      <c r="D25" s="126" t="str">
        <f>L25</f>
        <v>Ugentligt</v>
      </c>
      <c r="E25" s="125"/>
      <c r="F25" s="128" t="str">
        <f>L25</f>
        <v>Ugentligt</v>
      </c>
      <c r="G25" s="249"/>
      <c r="H25" s="120" t="s">
        <v>301</v>
      </c>
      <c r="I25" s="120"/>
      <c r="J25" s="120"/>
      <c r="K25" s="92"/>
      <c r="L25" s="120" t="s">
        <v>301</v>
      </c>
      <c r="M25" s="107"/>
      <c r="O25" s="249"/>
      <c r="W25" s="249"/>
    </row>
    <row r="26" spans="1:23" s="93" customFormat="1" ht="75.75" thickBot="1" x14ac:dyDescent="0.3">
      <c r="A26" s="249"/>
      <c r="B26" s="120">
        <f>Q18</f>
        <v>52</v>
      </c>
      <c r="C26" s="125"/>
      <c r="D26" s="125" t="str">
        <f>L25</f>
        <v>Ugentligt</v>
      </c>
      <c r="E26" s="125"/>
      <c r="F26" s="125" t="str">
        <f>L25</f>
        <v>Ugentligt</v>
      </c>
      <c r="G26" s="249"/>
      <c r="H26" s="120" t="s">
        <v>302</v>
      </c>
      <c r="I26" s="120"/>
      <c r="J26" s="120"/>
      <c r="K26" s="92"/>
      <c r="L26" s="120" t="s">
        <v>302</v>
      </c>
      <c r="M26" s="107"/>
      <c r="O26" s="249"/>
      <c r="P26" s="93" t="s">
        <v>422</v>
      </c>
      <c r="W26" s="249"/>
    </row>
    <row r="27" spans="1:23" s="93" customFormat="1" ht="75.75" customHeight="1" thickBot="1" x14ac:dyDescent="0.3">
      <c r="A27" s="249"/>
      <c r="B27" s="120">
        <f>Q18/2</f>
        <v>26</v>
      </c>
      <c r="C27" s="125"/>
      <c r="D27" s="125" t="str">
        <f>L26</f>
        <v>Ugentligt, i ulige uger</v>
      </c>
      <c r="E27" s="125"/>
      <c r="F27" s="125" t="str">
        <f>L25</f>
        <v>Ugentligt</v>
      </c>
      <c r="G27" s="249"/>
      <c r="H27" s="120" t="s">
        <v>369</v>
      </c>
      <c r="I27" s="120"/>
      <c r="J27" s="120"/>
      <c r="K27" s="92"/>
      <c r="L27" s="120" t="s">
        <v>369</v>
      </c>
      <c r="M27" s="107"/>
      <c r="O27" s="249"/>
      <c r="P27" s="93" t="s">
        <v>421</v>
      </c>
      <c r="W27" s="249"/>
    </row>
    <row r="28" spans="1:23" s="93" customFormat="1" ht="75.75" customHeight="1" thickBot="1" x14ac:dyDescent="0.3">
      <c r="A28" s="249"/>
      <c r="B28" s="120">
        <f>Q18/4</f>
        <v>13</v>
      </c>
      <c r="C28" s="125"/>
      <c r="D28" s="125" t="str">
        <f>L28</f>
        <v>Hver 4. uge (1, 5, 9 ...)</v>
      </c>
      <c r="E28" s="125"/>
      <c r="F28" s="128" t="str">
        <f>L26</f>
        <v>Ugentligt, i ulige uger</v>
      </c>
      <c r="G28" s="249"/>
      <c r="H28" s="120" t="s">
        <v>370</v>
      </c>
      <c r="I28" s="120"/>
      <c r="J28" s="120"/>
      <c r="K28" s="92"/>
      <c r="L28" s="120" t="s">
        <v>370</v>
      </c>
      <c r="M28" s="107"/>
      <c r="O28" s="249"/>
      <c r="P28" s="93" t="s">
        <v>423</v>
      </c>
      <c r="W28" s="249"/>
    </row>
    <row r="29" spans="1:23" s="93" customFormat="1" ht="30.75" thickBot="1" x14ac:dyDescent="0.3">
      <c r="A29" s="249"/>
      <c r="B29" s="120">
        <v>9</v>
      </c>
      <c r="C29" s="125"/>
      <c r="D29" s="126"/>
      <c r="E29" s="125"/>
      <c r="F29" s="128" t="str">
        <f>L27</f>
        <v>Hver 3. uge (1, 4, 7 ...)</v>
      </c>
      <c r="G29" s="249"/>
      <c r="H29" s="120" t="s">
        <v>300</v>
      </c>
      <c r="I29" s="120"/>
      <c r="J29" s="120"/>
      <c r="K29" s="92"/>
      <c r="L29" s="120" t="s">
        <v>300</v>
      </c>
      <c r="M29" s="107"/>
      <c r="O29" s="249"/>
      <c r="W29" s="249"/>
    </row>
    <row r="30" spans="1:23" s="93" customFormat="1" ht="15.75" thickBot="1" x14ac:dyDescent="0.3">
      <c r="A30" s="249"/>
      <c r="B30" s="120">
        <f>Q19/2</f>
        <v>6</v>
      </c>
      <c r="C30" s="125"/>
      <c r="D30" s="126"/>
      <c r="E30" s="125" t="str">
        <f>L29</f>
        <v>Månedligt</v>
      </c>
      <c r="F30" s="128" t="str">
        <f>L29</f>
        <v>Månedligt</v>
      </c>
      <c r="G30" s="249"/>
      <c r="M30" s="107"/>
      <c r="O30" s="249"/>
      <c r="W30" s="249"/>
    </row>
    <row r="31" spans="1:23" s="93" customFormat="1" ht="26.25" thickBot="1" x14ac:dyDescent="0.3">
      <c r="A31" s="249"/>
      <c r="B31" s="120">
        <f>Q19/4</f>
        <v>3</v>
      </c>
      <c r="C31" s="125"/>
      <c r="D31" s="126"/>
      <c r="E31" s="125" t="str">
        <f>L29</f>
        <v>Månedligt</v>
      </c>
      <c r="F31" s="128" t="str">
        <f>L29</f>
        <v>Månedligt</v>
      </c>
      <c r="G31" s="249"/>
      <c r="H31" s="165" t="s">
        <v>372</v>
      </c>
      <c r="I31" s="122"/>
      <c r="J31" s="122"/>
      <c r="K31" s="122"/>
      <c r="L31" s="176">
        <v>800</v>
      </c>
      <c r="M31" s="107"/>
      <c r="O31" s="249"/>
      <c r="W31" s="249"/>
    </row>
    <row r="32" spans="1:23" s="93" customFormat="1" ht="26.25" thickBot="1" x14ac:dyDescent="0.3">
      <c r="A32" s="249"/>
      <c r="B32" s="120">
        <f>Q19/6</f>
        <v>2</v>
      </c>
      <c r="C32" s="125"/>
      <c r="D32" s="126"/>
      <c r="E32" s="125" t="str">
        <f>L29</f>
        <v>Månedligt</v>
      </c>
      <c r="F32" s="128" t="str">
        <f>L29</f>
        <v>Månedligt</v>
      </c>
      <c r="G32" s="249"/>
      <c r="H32" s="165" t="s">
        <v>371</v>
      </c>
      <c r="I32" s="122"/>
      <c r="J32" s="122"/>
      <c r="K32" s="122"/>
      <c r="L32" s="176">
        <v>801</v>
      </c>
      <c r="M32" s="107"/>
      <c r="O32" s="249"/>
      <c r="W32" s="249"/>
    </row>
    <row r="33" spans="1:23" s="93" customFormat="1" ht="39" thickBot="1" x14ac:dyDescent="0.3">
      <c r="A33" s="249"/>
      <c r="B33" s="120">
        <f>Q19/Q19</f>
        <v>1</v>
      </c>
      <c r="C33" s="125"/>
      <c r="D33" s="126"/>
      <c r="E33" s="125" t="str">
        <f>L29</f>
        <v>Månedligt</v>
      </c>
      <c r="F33" s="128" t="str">
        <f>L29</f>
        <v>Månedligt</v>
      </c>
      <c r="G33" s="249"/>
      <c r="H33" s="165" t="s">
        <v>373</v>
      </c>
      <c r="I33" s="122"/>
      <c r="J33" s="122"/>
      <c r="K33" s="122"/>
      <c r="L33" s="176">
        <v>101</v>
      </c>
      <c r="M33" s="107"/>
      <c r="O33" s="249"/>
      <c r="W33" s="249"/>
    </row>
    <row r="34" spans="1:23" s="93" customFormat="1" ht="15.75" thickBot="1" x14ac:dyDescent="0.3">
      <c r="A34" s="249"/>
      <c r="B34" s="121">
        <f>Q19</f>
        <v>12</v>
      </c>
      <c r="C34" s="126"/>
      <c r="D34" s="126"/>
      <c r="E34" s="125" t="str">
        <f>L29</f>
        <v>Månedligt</v>
      </c>
      <c r="F34" s="127"/>
      <c r="G34" s="249"/>
      <c r="H34" s="175"/>
      <c r="I34" s="175"/>
      <c r="J34" s="175"/>
      <c r="K34" s="94"/>
      <c r="L34" s="166"/>
      <c r="M34" s="166"/>
      <c r="N34" s="94"/>
      <c r="O34" s="249"/>
      <c r="W34" s="249"/>
    </row>
    <row r="35" spans="1:23" s="93" customFormat="1" ht="30.75" thickBot="1" x14ac:dyDescent="0.3">
      <c r="A35" s="249"/>
      <c r="B35" s="121">
        <f>Q19/3</f>
        <v>4</v>
      </c>
      <c r="C35" s="126"/>
      <c r="D35" s="126"/>
      <c r="E35" s="125" t="str">
        <f>L29</f>
        <v>Månedligt</v>
      </c>
      <c r="F35" s="128"/>
      <c r="G35" s="249"/>
      <c r="H35" s="120" t="s">
        <v>329</v>
      </c>
      <c r="I35" s="120"/>
      <c r="J35" s="120"/>
      <c r="K35" s="92"/>
      <c r="L35" s="120" t="s">
        <v>330</v>
      </c>
      <c r="M35" s="167"/>
      <c r="N35" s="94"/>
      <c r="O35" s="249"/>
      <c r="R35" s="107"/>
      <c r="S35" s="107"/>
      <c r="T35" s="107"/>
      <c r="U35" s="107"/>
      <c r="V35" s="107"/>
      <c r="W35" s="249"/>
    </row>
    <row r="36" spans="1:23" s="93" customFormat="1" ht="15.75" thickBot="1" x14ac:dyDescent="0.3">
      <c r="A36" s="249"/>
      <c r="B36" s="249"/>
      <c r="C36" s="249"/>
      <c r="D36" s="249"/>
      <c r="E36" s="249"/>
      <c r="F36" s="249"/>
      <c r="G36" s="249"/>
      <c r="H36" s="249"/>
      <c r="I36" s="249"/>
      <c r="J36" s="249"/>
      <c r="K36" s="249"/>
      <c r="L36" s="249"/>
      <c r="M36" s="249"/>
      <c r="N36" s="249"/>
      <c r="O36" s="249"/>
      <c r="P36" s="249"/>
      <c r="Q36" s="249"/>
      <c r="R36" s="249"/>
      <c r="S36" s="249"/>
      <c r="T36" s="249"/>
      <c r="U36" s="249"/>
      <c r="V36" s="249"/>
      <c r="W36" s="249"/>
    </row>
  </sheetData>
  <mergeCells count="3">
    <mergeCell ref="H15:J15"/>
    <mergeCell ref="H16:J16"/>
    <mergeCell ref="P24:Q24"/>
  </mergeCells>
  <printOptions horizontalCentered="1" verticalCentered="1"/>
  <pageMargins left="0.70866141732283472" right="0.70866141732283472" top="0.74803149606299213" bottom="0.74803149606299213" header="0.31496062992125984" footer="0.31496062992125984"/>
  <pageSetup paperSize="8" scale="70" orientation="landscape" r:id="rId1"/>
  <ignoredErrors>
    <ignoredError sqref="V5" twoDigitTextYear="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7</vt:i4>
      </vt:variant>
      <vt:variant>
        <vt:lpstr>Navngivne områder</vt:lpstr>
      </vt:variant>
      <vt:variant>
        <vt:i4>11</vt:i4>
      </vt:variant>
    </vt:vector>
  </HeadingPairs>
  <TitlesOfParts>
    <vt:vector size="18" baseType="lpstr">
      <vt:lpstr>FS Aftale</vt:lpstr>
      <vt:lpstr>SLA</vt:lpstr>
      <vt:lpstr>Ydelser</vt:lpstr>
      <vt:lpstr>Eksport</vt:lpstr>
      <vt:lpstr>CSV</vt:lpstr>
      <vt:lpstr>MM (= Mortens mellemregninger)</vt:lpstr>
      <vt:lpstr>Støtteark</vt:lpstr>
      <vt:lpstr>Driftskoordinator_time_pris</vt:lpstr>
      <vt:lpstr>Frekvens</vt:lpstr>
      <vt:lpstr>Gartner_time_pris</vt:lpstr>
      <vt:lpstr>Inspektør_time_pris</vt:lpstr>
      <vt:lpstr>Servicechef_time_pris</vt:lpstr>
      <vt:lpstr>Timepriser</vt:lpstr>
      <vt:lpstr>CSV!Udskriftsområde</vt:lpstr>
      <vt:lpstr>CSV!Udskriftstitler</vt:lpstr>
      <vt:lpstr>Eksport!Udskriftstitler</vt:lpstr>
      <vt:lpstr>'FS Aftale'!Udskriftstitler</vt:lpstr>
      <vt:lpstr>SLA!Udskriftstitler</vt:lpstr>
    </vt:vector>
  </TitlesOfParts>
  <Company>Dan-Ejendomme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René Lagoni Neukirch</dc:creator>
  <cp:lastModifiedBy>Jacob Elholm</cp:lastModifiedBy>
  <cp:lastPrinted>2017-03-14T11:30:55Z</cp:lastPrinted>
  <dcterms:created xsi:type="dcterms:W3CDTF">2016-02-24T13:30:39Z</dcterms:created>
  <dcterms:modified xsi:type="dcterms:W3CDTF">2020-07-10T14:50:47Z</dcterms:modified>
</cp:coreProperties>
</file>