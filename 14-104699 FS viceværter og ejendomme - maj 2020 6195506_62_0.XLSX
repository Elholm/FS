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\\file01\redirection$\Users\jael\Desktop\FS Ting og sager\"/>
    </mc:Choice>
  </mc:AlternateContent>
  <xr:revisionPtr revIDLastSave="0" documentId="13_ncr:1_{7604541A-71BF-42A0-B703-F1D82BE91A11}" xr6:coauthVersionLast="44" xr6:coauthVersionMax="45" xr10:uidLastSave="{00000000-0000-0000-0000-000000000000}"/>
  <bookViews>
    <workbookView xWindow="-120" yWindow="-120" windowWidth="29040" windowHeight="15840" tabRatio="816" firstSheet="4" activeTab="21" xr2:uid="{00000000-000D-0000-FFFF-FFFF00000000}"/>
  </bookViews>
  <sheets>
    <sheet name="Samleark" sheetId="32" r:id="rId1"/>
    <sheet name="Viceværter norm" sheetId="33" r:id="rId2"/>
    <sheet name="1-Peter" sheetId="28" r:id="rId3"/>
    <sheet name="1-Lars-Peter" sheetId="11" r:id="rId4"/>
    <sheet name="1-Patrick" sheetId="13" r:id="rId5"/>
    <sheet name="1-René" sheetId="4" r:id="rId6"/>
    <sheet name="2-Thomas" sheetId="12" r:id="rId7"/>
    <sheet name="2-Martin" sheetId="1" r:id="rId8"/>
    <sheet name="2-Brian" sheetId="7" r:id="rId9"/>
    <sheet name=" 2-René R" sheetId="15" r:id="rId10"/>
    <sheet name="3-Stefan" sheetId="9" r:id="rId11"/>
    <sheet name="3-Henrik W" sheetId="3" r:id="rId12"/>
    <sheet name="3-Michael" sheetId="6" r:id="rId13"/>
    <sheet name="3-Vacant" sheetId="5" r:id="rId14"/>
    <sheet name="4-Dan" sheetId="16" r:id="rId15"/>
    <sheet name="4-Christian" sheetId="10" r:id="rId16"/>
    <sheet name="4-Jesper" sheetId="2" r:id="rId17"/>
    <sheet name="4-Lars K" sheetId="8" r:id="rId18"/>
    <sheet name="Søren" sheetId="25" r:id="rId19"/>
    <sheet name="Allan" sheetId="31" r:id="rId20"/>
    <sheet name="JENS" sheetId="20" r:id="rId21"/>
    <sheet name="HOS DR" sheetId="30" r:id="rId22"/>
  </sheets>
  <definedNames>
    <definedName name="_xlnm._FilterDatabase" localSheetId="9" hidden="1">' 2-René R'!$A$9:$W$9</definedName>
    <definedName name="_xlnm._FilterDatabase" localSheetId="3" hidden="1">'1-Lars-Peter'!#REF!</definedName>
    <definedName name="_xlnm._FilterDatabase" localSheetId="4" hidden="1">'1-Patrick'!#REF!</definedName>
    <definedName name="_xlnm._FilterDatabase" localSheetId="2" hidden="1">'1-Peter'!$B$9:$X$43</definedName>
    <definedName name="_xlnm._FilterDatabase" localSheetId="8" hidden="1">'2-Brian'!$A$9:$W$9</definedName>
    <definedName name="_xlnm._FilterDatabase" localSheetId="7" hidden="1">'2-Martin'!$A$9:$W$9</definedName>
    <definedName name="_xlnm._FilterDatabase" localSheetId="6" hidden="1">'2-Thomas'!$A$9:$W$9</definedName>
    <definedName name="_xlnm._FilterDatabase" localSheetId="11" hidden="1">'3-Henrik W'!$A$9:$W$9</definedName>
    <definedName name="_xlnm._FilterDatabase" localSheetId="12" hidden="1">'3-Michael'!$A$9:$W$9</definedName>
    <definedName name="_xlnm._FilterDatabase" localSheetId="10" hidden="1">'3-Stefan'!$A$9:$W$9</definedName>
    <definedName name="_xlnm._FilterDatabase" localSheetId="15" hidden="1">'4-Christian'!$A$9:$W$9</definedName>
    <definedName name="_xlnm._FilterDatabase" localSheetId="14" hidden="1">'4-Dan'!$A$9:$W$9</definedName>
    <definedName name="_xlnm._FilterDatabase" localSheetId="16" hidden="1">'4-Jesper'!$A$9:$W$9</definedName>
    <definedName name="_xlnm._FilterDatabase" localSheetId="17" hidden="1">'4-Lars K'!$A$9:$W$9</definedName>
    <definedName name="_xlnm._FilterDatabase" localSheetId="19" hidden="1">Allan!$A$9:$W$9</definedName>
    <definedName name="_xlnm._FilterDatabase" localSheetId="21" hidden="1">'HOS DR'!$A$9:$W$9</definedName>
    <definedName name="_xlnm._FilterDatabase" localSheetId="20" hidden="1">JENS!$A$9:$W$9</definedName>
    <definedName name="_xlnm._FilterDatabase" localSheetId="0" hidden="1">Samleark!$A$5:$O$115</definedName>
    <definedName name="_xlnm._FilterDatabase" localSheetId="18" hidden="1">Søren!$A$9:$W$9</definedName>
    <definedName name="_xlnm._FilterDatabase" localSheetId="1" hidden="1">'Viceværter norm'!$B$1:$G$157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5" i="9" l="1"/>
  <c r="Q25" i="1"/>
  <c r="M13" i="13"/>
  <c r="N13" i="13"/>
  <c r="Q13" i="13"/>
  <c r="Q14" i="13"/>
  <c r="N18" i="4"/>
  <c r="N17" i="4"/>
  <c r="M18" i="4"/>
  <c r="M17" i="4"/>
  <c r="M12" i="4"/>
  <c r="Q10" i="4"/>
  <c r="N10" i="4"/>
  <c r="M10" i="4"/>
  <c r="N11" i="4"/>
  <c r="M11" i="4"/>
  <c r="M34" i="4"/>
  <c r="Q20" i="13"/>
  <c r="M37" i="4"/>
  <c r="M35" i="4"/>
  <c r="O23" i="13" l="1"/>
  <c r="N23" i="13"/>
  <c r="Q19" i="13"/>
  <c r="N19" i="13"/>
  <c r="M19" i="13"/>
  <c r="N21" i="13"/>
  <c r="N20" i="13"/>
  <c r="M20" i="13"/>
  <c r="Q22" i="7"/>
  <c r="Q20" i="7"/>
  <c r="Q18" i="7"/>
  <c r="Q15" i="7"/>
  <c r="Q14" i="4"/>
  <c r="Q15" i="4"/>
  <c r="Q30" i="13"/>
  <c r="N30" i="13"/>
  <c r="M30" i="13"/>
  <c r="M29" i="13"/>
  <c r="M26" i="13"/>
  <c r="Q25" i="13"/>
  <c r="N25" i="13"/>
  <c r="M25" i="13"/>
  <c r="N24" i="13"/>
  <c r="M24" i="13"/>
  <c r="M23" i="13"/>
  <c r="Q23" i="13"/>
  <c r="Q22" i="13"/>
  <c r="N22" i="13"/>
  <c r="M22" i="13"/>
  <c r="Q36" i="28"/>
  <c r="N36" i="28"/>
  <c r="M36" i="28"/>
  <c r="N14" i="28"/>
  <c r="M14" i="28"/>
  <c r="Q14" i="28"/>
  <c r="Q13" i="28"/>
  <c r="M13" i="28"/>
  <c r="N13" i="28"/>
  <c r="M11" i="28"/>
  <c r="Q10" i="28"/>
  <c r="N10" i="28"/>
  <c r="M10" i="28"/>
  <c r="M22" i="28"/>
  <c r="N21" i="28"/>
  <c r="M21" i="28"/>
  <c r="N20" i="28"/>
  <c r="M20" i="28"/>
  <c r="M19" i="28"/>
  <c r="Q19" i="28"/>
  <c r="N33" i="15" l="1"/>
  <c r="M33" i="15"/>
  <c r="M199" i="32"/>
  <c r="J192" i="32"/>
  <c r="K192" i="32"/>
  <c r="L192" i="32"/>
  <c r="J193" i="32"/>
  <c r="K193" i="32"/>
  <c r="L193" i="32"/>
  <c r="J194" i="32"/>
  <c r="K194" i="32"/>
  <c r="L194" i="32"/>
  <c r="J195" i="32"/>
  <c r="K195" i="32"/>
  <c r="L195" i="32"/>
  <c r="J196" i="32"/>
  <c r="K196" i="32"/>
  <c r="L196" i="32"/>
  <c r="J197" i="32"/>
  <c r="K197" i="32"/>
  <c r="L197" i="32"/>
  <c r="J198" i="32"/>
  <c r="K198" i="32"/>
  <c r="L198" i="32"/>
  <c r="J199" i="32"/>
  <c r="K199" i="32"/>
  <c r="L199" i="32"/>
  <c r="M175" i="32"/>
  <c r="M176" i="32"/>
  <c r="M178" i="32"/>
  <c r="M179" i="32"/>
  <c r="M180" i="32"/>
  <c r="M181" i="32"/>
  <c r="M182" i="32"/>
  <c r="M185" i="32"/>
  <c r="M186" i="32"/>
  <c r="J175" i="32"/>
  <c r="K175" i="32"/>
  <c r="L175" i="32"/>
  <c r="J176" i="32"/>
  <c r="K176" i="32"/>
  <c r="L176" i="32"/>
  <c r="J177" i="32"/>
  <c r="K177" i="32"/>
  <c r="L177" i="32"/>
  <c r="J178" i="32"/>
  <c r="K178" i="32"/>
  <c r="L178" i="32"/>
  <c r="J179" i="32"/>
  <c r="K179" i="32"/>
  <c r="L179" i="32"/>
  <c r="J180" i="32"/>
  <c r="K180" i="32"/>
  <c r="L180" i="32"/>
  <c r="J181" i="32"/>
  <c r="K181" i="32"/>
  <c r="L181" i="32"/>
  <c r="J182" i="32"/>
  <c r="K182" i="32"/>
  <c r="L182" i="32"/>
  <c r="J183" i="32"/>
  <c r="K183" i="32"/>
  <c r="L183" i="32"/>
  <c r="J184" i="32"/>
  <c r="K184" i="32"/>
  <c r="L184" i="32"/>
  <c r="J185" i="32"/>
  <c r="K185" i="32"/>
  <c r="L185" i="32"/>
  <c r="J186" i="32"/>
  <c r="K186" i="32"/>
  <c r="L186" i="32"/>
  <c r="J187" i="32"/>
  <c r="K187" i="32"/>
  <c r="L187" i="32"/>
  <c r="M174" i="32"/>
  <c r="M166" i="32"/>
  <c r="M167" i="32"/>
  <c r="M168" i="32"/>
  <c r="M169" i="32"/>
  <c r="M170" i="32"/>
  <c r="M171" i="32"/>
  <c r="M172" i="32"/>
  <c r="J166" i="32"/>
  <c r="K166" i="32"/>
  <c r="L166" i="32"/>
  <c r="J167" i="32"/>
  <c r="K167" i="32"/>
  <c r="L167" i="32"/>
  <c r="J168" i="32"/>
  <c r="K168" i="32"/>
  <c r="L168" i="32"/>
  <c r="J169" i="32"/>
  <c r="K169" i="32"/>
  <c r="L169" i="32"/>
  <c r="J170" i="32"/>
  <c r="K170" i="32"/>
  <c r="L170" i="32"/>
  <c r="J171" i="32"/>
  <c r="K171" i="32"/>
  <c r="L171" i="32"/>
  <c r="J172" i="32"/>
  <c r="K172" i="32"/>
  <c r="L172" i="32"/>
  <c r="J173" i="32"/>
  <c r="K173" i="32"/>
  <c r="L173" i="32"/>
  <c r="J174" i="32"/>
  <c r="K174" i="32"/>
  <c r="L174" i="32"/>
  <c r="M161" i="32"/>
  <c r="M162" i="32"/>
  <c r="J161" i="32"/>
  <c r="K161" i="32"/>
  <c r="L161" i="32"/>
  <c r="J162" i="32"/>
  <c r="K162" i="32"/>
  <c r="L162" i="32"/>
  <c r="M155" i="32"/>
  <c r="M156" i="32"/>
  <c r="M158" i="32"/>
  <c r="J155" i="32"/>
  <c r="K155" i="32"/>
  <c r="L155" i="32"/>
  <c r="J156" i="32"/>
  <c r="K156" i="32"/>
  <c r="L156" i="32"/>
  <c r="J157" i="32"/>
  <c r="K157" i="32"/>
  <c r="L157" i="32"/>
  <c r="J158" i="32"/>
  <c r="K158" i="32"/>
  <c r="L158" i="32"/>
  <c r="J159" i="32"/>
  <c r="K159" i="32"/>
  <c r="L159" i="32"/>
  <c r="J160" i="32"/>
  <c r="K160" i="32"/>
  <c r="L160" i="32"/>
  <c r="J148" i="32"/>
  <c r="K148" i="32"/>
  <c r="L148" i="32"/>
  <c r="J149" i="32"/>
  <c r="K149" i="32"/>
  <c r="L149" i="32"/>
  <c r="J150" i="32"/>
  <c r="K150" i="32"/>
  <c r="L150" i="32"/>
  <c r="J151" i="32"/>
  <c r="K151" i="32"/>
  <c r="L151" i="32"/>
  <c r="J152" i="32"/>
  <c r="K152" i="32"/>
  <c r="L152" i="32"/>
  <c r="J153" i="32"/>
  <c r="K153" i="32"/>
  <c r="L153" i="32"/>
  <c r="J154" i="32"/>
  <c r="K154" i="32"/>
  <c r="L154" i="32"/>
  <c r="O143" i="32"/>
  <c r="M140" i="32"/>
  <c r="M141" i="32"/>
  <c r="M142" i="32"/>
  <c r="M143" i="32"/>
  <c r="M144" i="32"/>
  <c r="M145" i="32"/>
  <c r="M146" i="32"/>
  <c r="J140" i="32"/>
  <c r="K140" i="32"/>
  <c r="L140" i="32"/>
  <c r="J141" i="32"/>
  <c r="K141" i="32"/>
  <c r="L141" i="32"/>
  <c r="J142" i="32"/>
  <c r="K142" i="32"/>
  <c r="L142" i="32"/>
  <c r="J143" i="32"/>
  <c r="K143" i="32"/>
  <c r="L143" i="32"/>
  <c r="J144" i="32"/>
  <c r="K144" i="32"/>
  <c r="L144" i="32"/>
  <c r="J145" i="32"/>
  <c r="K145" i="32"/>
  <c r="L145" i="32"/>
  <c r="J146" i="32"/>
  <c r="K146" i="32"/>
  <c r="L146" i="32"/>
  <c r="M118" i="32"/>
  <c r="M119" i="32"/>
  <c r="M115" i="32"/>
  <c r="M137" i="32"/>
  <c r="L127" i="32"/>
  <c r="K128" i="32"/>
  <c r="L128" i="32"/>
  <c r="K130" i="32"/>
  <c r="L130" i="32"/>
  <c r="K131" i="32"/>
  <c r="L131" i="32"/>
  <c r="L132" i="32"/>
  <c r="K133" i="32"/>
  <c r="L133" i="32"/>
  <c r="L134" i="32"/>
  <c r="K135" i="32"/>
  <c r="L135" i="32"/>
  <c r="K136" i="32"/>
  <c r="L136" i="32"/>
  <c r="K137" i="32"/>
  <c r="L116" i="32"/>
  <c r="L117" i="32"/>
  <c r="K118" i="32"/>
  <c r="L119" i="32"/>
  <c r="J115" i="32"/>
  <c r="K115" i="32"/>
  <c r="L115" i="32"/>
  <c r="O106" i="32"/>
  <c r="J47" i="32"/>
  <c r="K47" i="32"/>
  <c r="L47" i="32"/>
  <c r="J46" i="32"/>
  <c r="K46" i="32"/>
  <c r="L46" i="32"/>
  <c r="J39" i="32"/>
  <c r="K39" i="32"/>
  <c r="L39" i="32"/>
  <c r="J38" i="32"/>
  <c r="K38" i="32"/>
  <c r="L38" i="32"/>
  <c r="J37" i="32"/>
  <c r="K37" i="32"/>
  <c r="L37" i="32"/>
  <c r="M36" i="32"/>
  <c r="J36" i="32"/>
  <c r="K36" i="32"/>
  <c r="L36" i="32"/>
  <c r="M35" i="32"/>
  <c r="J35" i="32"/>
  <c r="K35" i="32"/>
  <c r="L35" i="32"/>
  <c r="M34" i="32"/>
  <c r="J34" i="32"/>
  <c r="K34" i="32"/>
  <c r="L34" i="32"/>
  <c r="M33" i="32"/>
  <c r="J33" i="32"/>
  <c r="K33" i="32"/>
  <c r="L33" i="32"/>
  <c r="J24" i="32"/>
  <c r="K24" i="32"/>
  <c r="L24" i="32"/>
  <c r="J23" i="32"/>
  <c r="K23" i="32"/>
  <c r="L23" i="32"/>
  <c r="M16" i="28"/>
  <c r="J22" i="32" s="1"/>
  <c r="K22" i="32"/>
  <c r="L22" i="32"/>
  <c r="M21" i="32"/>
  <c r="J21" i="32"/>
  <c r="K21" i="32"/>
  <c r="L21" i="32"/>
  <c r="O10" i="32"/>
  <c r="J10" i="32"/>
  <c r="K10" i="32"/>
  <c r="L10" i="32"/>
  <c r="M9" i="32"/>
  <c r="J9" i="32"/>
  <c r="K9" i="32"/>
  <c r="L9" i="32"/>
  <c r="J8" i="32"/>
  <c r="K8" i="32"/>
  <c r="L8" i="32"/>
  <c r="M7" i="32"/>
  <c r="J7" i="32"/>
  <c r="K7" i="32"/>
  <c r="L7" i="32"/>
  <c r="M6" i="32"/>
  <c r="J6" i="32"/>
  <c r="K6" i="32"/>
  <c r="L6" i="32"/>
  <c r="M52" i="8" l="1"/>
  <c r="M43" i="8" l="1"/>
  <c r="M44" i="8"/>
  <c r="M46" i="8"/>
  <c r="N46" i="8"/>
  <c r="M27" i="4" l="1"/>
  <c r="Q44" i="8"/>
  <c r="O44" i="8"/>
  <c r="N49" i="8"/>
  <c r="M49" i="8"/>
  <c r="M48" i="8"/>
  <c r="M47" i="8"/>
  <c r="M51" i="8"/>
  <c r="M11" i="2"/>
  <c r="M25" i="2" l="1"/>
  <c r="Q25" i="2"/>
  <c r="M16" i="7"/>
  <c r="P16" i="7"/>
  <c r="Q16" i="7"/>
  <c r="M17" i="2"/>
  <c r="O17" i="2"/>
  <c r="M16" i="2"/>
  <c r="P16" i="2"/>
  <c r="Q16" i="2"/>
  <c r="M15" i="2"/>
  <c r="O15" i="2"/>
  <c r="P15" i="2"/>
  <c r="Q15" i="2"/>
  <c r="M13" i="2"/>
  <c r="Q13" i="2"/>
  <c r="M12" i="2"/>
  <c r="O12" i="2"/>
  <c r="Q12" i="2"/>
  <c r="Q41" i="12"/>
  <c r="M13" i="16"/>
  <c r="Q13" i="16"/>
  <c r="M10" i="7" l="1"/>
  <c r="M15" i="25"/>
  <c r="O15" i="25"/>
  <c r="M16" i="25"/>
  <c r="M12" i="25"/>
  <c r="N12" i="25"/>
  <c r="M11" i="25"/>
  <c r="O11" i="25"/>
  <c r="P11" i="25"/>
  <c r="M10" i="25"/>
  <c r="O10" i="25"/>
  <c r="P10" i="25"/>
  <c r="M18" i="20"/>
  <c r="M17" i="20"/>
  <c r="M15" i="20"/>
  <c r="O15" i="20"/>
  <c r="M14" i="20"/>
  <c r="O14" i="20"/>
  <c r="P14" i="20"/>
  <c r="M13" i="20"/>
  <c r="P13" i="20"/>
  <c r="M12" i="20"/>
  <c r="N12" i="20"/>
  <c r="O12" i="20"/>
  <c r="P12" i="20"/>
  <c r="M11" i="20"/>
  <c r="O11" i="20"/>
  <c r="P11" i="20"/>
  <c r="M19" i="31"/>
  <c r="M20" i="31"/>
  <c r="P20" i="31"/>
  <c r="P18" i="31"/>
  <c r="O18" i="31"/>
  <c r="M18" i="31"/>
  <c r="M16" i="31"/>
  <c r="O15" i="31"/>
  <c r="M15" i="31"/>
  <c r="M14" i="31"/>
  <c r="N14" i="31"/>
  <c r="Q14" i="31"/>
  <c r="P14" i="31"/>
  <c r="M13" i="31"/>
  <c r="N13" i="31"/>
  <c r="O13" i="31"/>
  <c r="P13" i="31"/>
  <c r="M12" i="31"/>
  <c r="N12" i="31"/>
  <c r="P12" i="31"/>
  <c r="M11" i="31"/>
  <c r="N11" i="31"/>
  <c r="O11" i="31"/>
  <c r="M10" i="31"/>
  <c r="O10" i="31"/>
  <c r="Q38" i="7"/>
  <c r="Q37" i="7"/>
  <c r="Q32" i="7"/>
  <c r="Q31" i="7"/>
  <c r="Q30" i="7"/>
  <c r="Q27" i="7"/>
  <c r="Q26" i="7"/>
  <c r="Q25" i="7"/>
  <c r="Q24" i="7"/>
  <c r="Q23" i="7"/>
  <c r="Q21" i="7"/>
  <c r="Q19" i="7"/>
  <c r="Q17" i="7"/>
  <c r="Q14" i="7"/>
  <c r="Q13" i="7"/>
  <c r="Q12" i="7"/>
  <c r="P22" i="6"/>
  <c r="P23" i="6"/>
  <c r="Q25" i="6"/>
  <c r="Q24" i="6"/>
  <c r="Q23" i="6"/>
  <c r="Q22" i="6"/>
  <c r="Q21" i="6"/>
  <c r="Q19" i="6"/>
  <c r="Q18" i="6"/>
  <c r="Q16" i="6"/>
  <c r="Q15" i="6"/>
  <c r="Q14" i="6"/>
  <c r="Q13" i="6"/>
  <c r="Q12" i="6"/>
  <c r="Q11" i="6"/>
  <c r="Q10" i="6"/>
  <c r="Q44" i="3"/>
  <c r="Q42" i="3"/>
  <c r="Q41" i="3"/>
  <c r="Q40" i="3"/>
  <c r="Q35" i="3"/>
  <c r="Q34" i="3"/>
  <c r="Q32" i="3"/>
  <c r="Q15" i="3"/>
  <c r="Q14" i="3"/>
  <c r="Q13" i="3"/>
  <c r="Q12" i="3"/>
  <c r="P39" i="9"/>
  <c r="P38" i="9"/>
  <c r="Q40" i="9"/>
  <c r="Q39" i="9"/>
  <c r="Q38" i="9"/>
  <c r="Q37" i="9"/>
  <c r="Q36" i="9"/>
  <c r="Q35" i="9"/>
  <c r="Q34" i="9"/>
  <c r="Q32" i="9"/>
  <c r="Q27" i="9"/>
  <c r="P17" i="15"/>
  <c r="P27" i="15"/>
  <c r="Q33" i="15"/>
  <c r="Q32" i="15"/>
  <c r="Q31" i="15"/>
  <c r="Q30" i="15"/>
  <c r="Q29" i="15"/>
  <c r="Q28" i="15"/>
  <c r="Q27" i="15"/>
  <c r="Q25" i="15"/>
  <c r="Q17" i="15"/>
  <c r="Q16" i="15"/>
  <c r="Q14" i="15"/>
  <c r="Q28" i="1"/>
  <c r="Q27" i="1"/>
  <c r="Q26" i="1"/>
  <c r="Q21" i="1"/>
  <c r="Q20" i="1"/>
  <c r="Q19" i="1"/>
  <c r="Q18" i="1"/>
  <c r="Q17" i="1"/>
  <c r="Q16" i="1"/>
  <c r="Q52" i="12"/>
  <c r="Q49" i="12"/>
  <c r="Q47" i="12"/>
  <c r="Q46" i="12"/>
  <c r="Q28" i="12"/>
  <c r="Q16" i="12"/>
  <c r="Q14" i="12"/>
  <c r="Q13" i="12"/>
  <c r="Q12" i="12"/>
  <c r="Q11" i="12"/>
  <c r="P13" i="13"/>
  <c r="Q42" i="13"/>
  <c r="Q41" i="13"/>
  <c r="Q40" i="13"/>
  <c r="Q39" i="13"/>
  <c r="Q38" i="13"/>
  <c r="Q37" i="13"/>
  <c r="Q36" i="13"/>
  <c r="Q28" i="13"/>
  <c r="Q21" i="13"/>
  <c r="Q18" i="13"/>
  <c r="Q17" i="13"/>
  <c r="Q16" i="13"/>
  <c r="Q15" i="13"/>
  <c r="Q12" i="13"/>
  <c r="Q11" i="13"/>
  <c r="Q10" i="13"/>
  <c r="P11" i="4"/>
  <c r="P27" i="4"/>
  <c r="P30" i="4"/>
  <c r="Q36" i="4"/>
  <c r="Q34" i="4"/>
  <c r="Q33" i="4"/>
  <c r="Q32" i="4"/>
  <c r="Q31" i="4"/>
  <c r="Q30" i="4"/>
  <c r="Q29" i="4"/>
  <c r="Q28" i="4"/>
  <c r="Q26" i="4"/>
  <c r="Q25" i="4"/>
  <c r="Q24" i="4"/>
  <c r="Q23" i="4"/>
  <c r="Q22" i="4"/>
  <c r="Q21" i="4"/>
  <c r="Q20" i="4"/>
  <c r="Q16" i="4"/>
  <c r="Q13" i="4"/>
  <c r="Q12" i="4"/>
  <c r="Q11" i="4"/>
  <c r="Q31" i="11"/>
  <c r="Q30" i="11"/>
  <c r="Q29" i="11"/>
  <c r="Q28" i="11"/>
  <c r="Q27" i="11"/>
  <c r="Q26" i="11"/>
  <c r="Q25" i="11"/>
  <c r="Q24" i="11"/>
  <c r="Q23" i="11"/>
  <c r="Q22" i="11"/>
  <c r="Q21" i="11"/>
  <c r="Q13" i="11"/>
  <c r="Q12" i="11"/>
  <c r="Q11" i="11"/>
  <c r="Q10" i="11"/>
  <c r="P22" i="28"/>
  <c r="P14" i="28"/>
  <c r="Q44" i="28"/>
  <c r="Q38" i="28"/>
  <c r="Q37" i="28"/>
  <c r="Q35" i="28"/>
  <c r="Q32" i="28"/>
  <c r="Q31" i="28"/>
  <c r="Q30" i="28"/>
  <c r="Q28" i="28"/>
  <c r="Q29" i="28"/>
  <c r="Q27" i="28"/>
  <c r="Q25" i="28"/>
  <c r="Q24" i="28"/>
  <c r="Q23" i="28"/>
  <c r="Q18" i="28"/>
  <c r="Q17" i="28"/>
  <c r="Q16" i="28"/>
  <c r="Q15" i="28"/>
  <c r="Q12" i="28"/>
  <c r="M22" i="16"/>
  <c r="M21" i="16"/>
  <c r="Q20" i="16"/>
  <c r="M20" i="16"/>
  <c r="M33" i="16"/>
  <c r="M32" i="16"/>
  <c r="M30" i="16"/>
  <c r="M19" i="16"/>
  <c r="M18" i="16"/>
  <c r="M29" i="16"/>
  <c r="Q30" i="16"/>
  <c r="Q19" i="16"/>
  <c r="Q18" i="16"/>
  <c r="Q16" i="16"/>
  <c r="Q12" i="16"/>
  <c r="Q11" i="16"/>
  <c r="Q10" i="16"/>
  <c r="M16" i="16"/>
  <c r="M11" i="16"/>
  <c r="O11" i="16"/>
  <c r="M10" i="16"/>
  <c r="M16" i="6"/>
  <c r="N16" i="6"/>
  <c r="N19" i="6"/>
  <c r="M19" i="6"/>
  <c r="M21" i="6"/>
  <c r="N21" i="6"/>
  <c r="M25" i="6" l="1"/>
  <c r="O25" i="6"/>
  <c r="M24" i="6"/>
  <c r="M23" i="6"/>
  <c r="N23" i="6"/>
  <c r="O23" i="6"/>
  <c r="M22" i="6"/>
  <c r="M15" i="6"/>
  <c r="N14" i="6"/>
  <c r="M14" i="6"/>
  <c r="O14" i="6"/>
  <c r="M13" i="6"/>
  <c r="M12" i="6"/>
  <c r="O12" i="6"/>
  <c r="M11" i="6"/>
  <c r="O11" i="6"/>
  <c r="O10" i="6"/>
  <c r="M10" i="6"/>
  <c r="M15" i="3" l="1"/>
  <c r="M34" i="3"/>
  <c r="M44" i="3"/>
  <c r="M42" i="3"/>
  <c r="M41" i="3"/>
  <c r="M40" i="3"/>
  <c r="O39" i="3"/>
  <c r="M36" i="3"/>
  <c r="M35" i="3"/>
  <c r="M32" i="3"/>
  <c r="N13" i="3"/>
  <c r="M13" i="3"/>
  <c r="N12" i="3"/>
  <c r="M12" i="3"/>
  <c r="M14" i="3"/>
  <c r="N12" i="7"/>
  <c r="M12" i="7"/>
  <c r="N27" i="9" l="1"/>
  <c r="M27" i="9"/>
  <c r="O37" i="9"/>
  <c r="M36" i="9"/>
  <c r="O36" i="9"/>
  <c r="M34" i="9"/>
  <c r="M40" i="9"/>
  <c r="M39" i="9"/>
  <c r="O39" i="9"/>
  <c r="M38" i="9"/>
  <c r="O38" i="9"/>
  <c r="O38" i="7"/>
  <c r="M37" i="7"/>
  <c r="M32" i="7"/>
  <c r="O32" i="7"/>
  <c r="O31" i="11"/>
  <c r="L137" i="32" s="1"/>
  <c r="O13" i="7"/>
  <c r="M13" i="7"/>
  <c r="M31" i="15"/>
  <c r="N31" i="15"/>
  <c r="M17" i="15"/>
  <c r="O17" i="15"/>
  <c r="N32" i="15"/>
  <c r="M32" i="15"/>
  <c r="M30" i="15"/>
  <c r="M29" i="15"/>
  <c r="M28" i="15"/>
  <c r="M27" i="15"/>
  <c r="O27" i="15"/>
  <c r="M25" i="15"/>
  <c r="O25" i="15"/>
  <c r="M14" i="15"/>
  <c r="M21" i="12"/>
  <c r="O21" i="28" l="1"/>
  <c r="O11" i="28"/>
  <c r="N42" i="13" l="1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M26" i="15" l="1"/>
  <c r="M52" i="12"/>
  <c r="M47" i="12"/>
  <c r="M49" i="12"/>
  <c r="N16" i="12"/>
  <c r="M16" i="12"/>
  <c r="O16" i="12"/>
  <c r="M14" i="12"/>
  <c r="M13" i="12"/>
  <c r="M11" i="12"/>
  <c r="M32" i="4"/>
  <c r="M31" i="4"/>
  <c r="M29" i="28"/>
  <c r="M23" i="11"/>
  <c r="J129" i="32" s="1"/>
  <c r="M28" i="1"/>
  <c r="M27" i="1"/>
  <c r="M26" i="1"/>
  <c r="M25" i="1"/>
  <c r="M43" i="13"/>
  <c r="O43" i="13"/>
  <c r="M17" i="28"/>
  <c r="M31" i="13"/>
  <c r="M28" i="13"/>
  <c r="M27" i="13"/>
  <c r="M21" i="13"/>
  <c r="O22" i="13"/>
  <c r="M18" i="13"/>
  <c r="M17" i="13"/>
  <c r="M16" i="13"/>
  <c r="M15" i="13"/>
  <c r="M14" i="13"/>
  <c r="O13" i="13"/>
  <c r="M12" i="13"/>
  <c r="O12" i="13"/>
  <c r="M11" i="13"/>
  <c r="N11" i="13"/>
  <c r="O10" i="13"/>
  <c r="N10" i="13"/>
  <c r="M10" i="13"/>
  <c r="M31" i="11"/>
  <c r="J137" i="32" s="1"/>
  <c r="M36" i="4" l="1"/>
  <c r="N38" i="28"/>
  <c r="N37" i="28"/>
  <c r="M37" i="28"/>
  <c r="N33" i="28"/>
  <c r="M33" i="28"/>
  <c r="N35" i="28"/>
  <c r="M35" i="28"/>
  <c r="N34" i="28"/>
  <c r="M34" i="28"/>
  <c r="N32" i="28"/>
  <c r="M31" i="28"/>
  <c r="M32" i="28"/>
  <c r="N31" i="28"/>
  <c r="N30" i="28"/>
  <c r="M30" i="28"/>
  <c r="N27" i="28"/>
  <c r="M27" i="28"/>
  <c r="O34" i="4"/>
  <c r="M33" i="4"/>
  <c r="M30" i="11"/>
  <c r="J136" i="32" s="1"/>
  <c r="M29" i="11"/>
  <c r="J135" i="32" s="1"/>
  <c r="N28" i="11"/>
  <c r="K134" i="32" s="1"/>
  <c r="M28" i="11"/>
  <c r="J134" i="32" s="1"/>
  <c r="M27" i="11"/>
  <c r="J133" i="32" s="1"/>
  <c r="N26" i="11"/>
  <c r="K132" i="32" s="1"/>
  <c r="M26" i="11"/>
  <c r="J132" i="32" s="1"/>
  <c r="O23" i="11"/>
  <c r="L129" i="32" s="1"/>
  <c r="M25" i="11"/>
  <c r="J131" i="32" s="1"/>
  <c r="M24" i="11"/>
  <c r="J130" i="32" s="1"/>
  <c r="N23" i="11"/>
  <c r="K129" i="32" s="1"/>
  <c r="M22" i="11"/>
  <c r="J128" i="32" s="1"/>
  <c r="N21" i="11"/>
  <c r="K127" i="32" s="1"/>
  <c r="M21" i="11"/>
  <c r="J127" i="32" s="1"/>
  <c r="N29" i="4"/>
  <c r="M29" i="4"/>
  <c r="M30" i="4"/>
  <c r="M28" i="4"/>
  <c r="N26" i="4"/>
  <c r="M26" i="4"/>
  <c r="M25" i="4"/>
  <c r="M24" i="4"/>
  <c r="N24" i="4"/>
  <c r="M23" i="4"/>
  <c r="N22" i="4"/>
  <c r="M22" i="4"/>
  <c r="N21" i="4"/>
  <c r="M21" i="4"/>
  <c r="M20" i="4"/>
  <c r="O16" i="4"/>
  <c r="M16" i="4"/>
  <c r="N13" i="11"/>
  <c r="K119" i="32" s="1"/>
  <c r="M13" i="11"/>
  <c r="J119" i="32" s="1"/>
  <c r="O12" i="11"/>
  <c r="L118" i="32" s="1"/>
  <c r="O20" i="28"/>
  <c r="O10" i="28"/>
  <c r="M12" i="11"/>
  <c r="J118" i="32" s="1"/>
  <c r="N11" i="11"/>
  <c r="K117" i="32" s="1"/>
  <c r="M11" i="11"/>
  <c r="J117" i="32" s="1"/>
  <c r="N10" i="11"/>
  <c r="K116" i="32" s="1"/>
  <c r="M10" i="11"/>
  <c r="J116" i="32" s="1"/>
  <c r="M25" i="28"/>
  <c r="M24" i="28"/>
  <c r="M23" i="28"/>
  <c r="N12" i="28"/>
  <c r="M15" i="28"/>
  <c r="M12" i="28"/>
  <c r="M18" i="28"/>
  <c r="M38" i="28"/>
  <c r="N28" i="28" l="1"/>
  <c r="M28" i="28"/>
  <c r="M26" i="28"/>
  <c r="N11" i="28" l="1"/>
  <c r="K6" i="5" l="1"/>
  <c r="K5" i="5"/>
  <c r="K4" i="5"/>
  <c r="K3" i="5"/>
  <c r="K6" i="30"/>
  <c r="K5" i="30"/>
  <c r="K4" i="30"/>
  <c r="K3" i="30"/>
  <c r="K6" i="20"/>
  <c r="K5" i="20"/>
  <c r="K4" i="20"/>
  <c r="K3" i="20"/>
  <c r="K6" i="31"/>
  <c r="K5" i="31"/>
  <c r="K4" i="31"/>
  <c r="K3" i="31"/>
  <c r="K6" i="25"/>
  <c r="K5" i="25"/>
  <c r="K4" i="25"/>
  <c r="K3" i="25"/>
  <c r="K6" i="8"/>
  <c r="K5" i="8"/>
  <c r="K4" i="8"/>
  <c r="K3" i="8"/>
  <c r="K6" i="2"/>
  <c r="K5" i="2"/>
  <c r="K4" i="2"/>
  <c r="K3" i="2"/>
  <c r="K6" i="16"/>
  <c r="K5" i="16"/>
  <c r="K4" i="16"/>
  <c r="K3" i="16"/>
  <c r="K6" i="10"/>
  <c r="K5" i="10"/>
  <c r="K4" i="10"/>
  <c r="K3" i="10"/>
  <c r="K6" i="6"/>
  <c r="K5" i="6"/>
  <c r="K4" i="6"/>
  <c r="K3" i="6"/>
  <c r="K6" i="3"/>
  <c r="K5" i="3"/>
  <c r="K4" i="3"/>
  <c r="K3" i="3"/>
  <c r="K6" i="9"/>
  <c r="K5" i="9"/>
  <c r="K4" i="9"/>
  <c r="K3" i="9"/>
  <c r="K6" i="7"/>
  <c r="K5" i="7"/>
  <c r="K4" i="7"/>
  <c r="K3" i="7"/>
  <c r="K6" i="15"/>
  <c r="K5" i="15"/>
  <c r="K4" i="15"/>
  <c r="K3" i="15"/>
  <c r="K6" i="12"/>
  <c r="K5" i="12"/>
  <c r="K4" i="12"/>
  <c r="K3" i="12"/>
  <c r="K6" i="1"/>
  <c r="K5" i="1"/>
  <c r="K4" i="1"/>
  <c r="K3" i="1"/>
  <c r="K6" i="13"/>
  <c r="K5" i="13"/>
  <c r="K4" i="13"/>
  <c r="K3" i="13"/>
  <c r="K6" i="4"/>
  <c r="K5" i="4"/>
  <c r="K4" i="4"/>
  <c r="K3" i="4"/>
  <c r="K6" i="28"/>
  <c r="K5" i="28"/>
  <c r="K4" i="28"/>
  <c r="K3" i="28"/>
  <c r="K5" i="11"/>
  <c r="K6" i="11"/>
  <c r="K4" i="11"/>
  <c r="K3" i="11"/>
  <c r="K7" i="12" l="1"/>
  <c r="C3" i="12" s="1"/>
  <c r="K7" i="20"/>
  <c r="C3" i="20" s="1"/>
  <c r="K7" i="5"/>
  <c r="C3" i="5" s="1"/>
  <c r="K7" i="1"/>
  <c r="C3" i="1" s="1"/>
  <c r="K7" i="28"/>
  <c r="C3" i="28" s="1"/>
  <c r="K7" i="30"/>
  <c r="C3" i="30" s="1"/>
  <c r="K7" i="31"/>
  <c r="C3" i="31" s="1"/>
  <c r="K7" i="25"/>
  <c r="C3" i="25" s="1"/>
  <c r="K7" i="8"/>
  <c r="C3" i="8" s="1"/>
  <c r="K7" i="2"/>
  <c r="C3" i="2" s="1"/>
  <c r="K7" i="16"/>
  <c r="C3" i="16" s="1"/>
  <c r="K7" i="10"/>
  <c r="C3" i="10" s="1"/>
  <c r="K7" i="6"/>
  <c r="C3" i="6" s="1"/>
  <c r="K7" i="3"/>
  <c r="C3" i="3" s="1"/>
  <c r="K7" i="9"/>
  <c r="C3" i="9" s="1"/>
  <c r="K7" i="7"/>
  <c r="C3" i="7" s="1"/>
  <c r="K7" i="15"/>
  <c r="C3" i="15" s="1"/>
  <c r="K7" i="13"/>
  <c r="C3" i="13" s="1"/>
  <c r="K7" i="4"/>
  <c r="C3" i="4" s="1"/>
  <c r="K47" i="10" l="1"/>
  <c r="K7" i="11" l="1"/>
  <c r="C3" i="11" s="1"/>
</calcChain>
</file>

<file path=xl/sharedStrings.xml><?xml version="1.0" encoding="utf-8"?>
<sst xmlns="http://schemas.openxmlformats.org/spreadsheetml/2006/main" count="6906" uniqueCount="1777">
  <si>
    <t>Gruppe</t>
  </si>
  <si>
    <t>Kunde</t>
  </si>
  <si>
    <t>Ejendoms nr</t>
  </si>
  <si>
    <t>2200</t>
  </si>
  <si>
    <t>København N</t>
  </si>
  <si>
    <t>2920</t>
  </si>
  <si>
    <t>Charlottenlund</t>
  </si>
  <si>
    <t>2100</t>
  </si>
  <si>
    <t>København Ø</t>
  </si>
  <si>
    <t>2000</t>
  </si>
  <si>
    <t>Frederiksberg</t>
  </si>
  <si>
    <t>3000</t>
  </si>
  <si>
    <t>Helsingør</t>
  </si>
  <si>
    <t>3700</t>
  </si>
  <si>
    <t>Rønne</t>
  </si>
  <si>
    <t>3460</t>
  </si>
  <si>
    <t>Birkerød</t>
  </si>
  <si>
    <t>2830</t>
  </si>
  <si>
    <t>Virum</t>
  </si>
  <si>
    <t>2500</t>
  </si>
  <si>
    <t>Valby</t>
  </si>
  <si>
    <t>2900</t>
  </si>
  <si>
    <t>Hellerup</t>
  </si>
  <si>
    <t>1302</t>
  </si>
  <si>
    <t>København K</t>
  </si>
  <si>
    <t>2970</t>
  </si>
  <si>
    <t>Hørsholm</t>
  </si>
  <si>
    <t>1050</t>
  </si>
  <si>
    <t>Adresse</t>
  </si>
  <si>
    <t>Post nr</t>
  </si>
  <si>
    <t>By</t>
  </si>
  <si>
    <t>PKA</t>
  </si>
  <si>
    <t>Ejendom</t>
  </si>
  <si>
    <t>Asgården</t>
  </si>
  <si>
    <t>Valkyriegade 2 - 36/Brynhildegade 12/Haraldsgade 11</t>
  </si>
  <si>
    <t>Dronningegården</t>
  </si>
  <si>
    <t>Bjelkes Allé 23 - 35</t>
  </si>
  <si>
    <t>Øster fællesgård</t>
  </si>
  <si>
    <t>Lathyrus Hus</t>
  </si>
  <si>
    <t>Vordingborggade 6 A - K</t>
  </si>
  <si>
    <t>Sygeplejerskernes Hus</t>
  </si>
  <si>
    <t xml:space="preserve">Sjællandsgade 59 A-C/Fensmarkgade 1-3/Sjællandsgade 61 A-C/Sjællandsgade 63-69 </t>
  </si>
  <si>
    <t>Dalgas Have 1 - 76</t>
  </si>
  <si>
    <t>Grunden - Dalgas Have</t>
  </si>
  <si>
    <t>Sophie Brahes Gade 50</t>
  </si>
  <si>
    <t xml:space="preserve">Lille Ellekongsstræde 1-9/Sct. Mortensgade 12-18 </t>
  </si>
  <si>
    <t>Selskab</t>
  </si>
  <si>
    <t>Sophie Magdelenes Vej 2 B-G</t>
  </si>
  <si>
    <t>Sophie Magdelenes Vej 3 A-F</t>
  </si>
  <si>
    <t>Biskop Svanes Vej 71 B - H</t>
  </si>
  <si>
    <t>Biskop Svanes Vej 61 A-B</t>
  </si>
  <si>
    <t xml:space="preserve">Frederiksdalsvej 80 - 82/Frederiksdalsvej 80 A-E - 82 A-E </t>
  </si>
  <si>
    <t>Hortensia hus</t>
  </si>
  <si>
    <t>Grønttorvet/Unavngiven Vej 14 Vb 1/ Paradisæblevej 50-74</t>
  </si>
  <si>
    <t>Grønttorvet/Paradisæblevej 84-108/</t>
  </si>
  <si>
    <t>La Cours Vej 4</t>
  </si>
  <si>
    <t>Bomhusvej 6-14</t>
  </si>
  <si>
    <t>Dronningens Tværgade 23 - 35/Borgergade 15</t>
  </si>
  <si>
    <t xml:space="preserve">Sophie Brahes Gade 8-48/Hestemøllestræde 14 </t>
  </si>
  <si>
    <t>Østergade 42 - 44</t>
  </si>
  <si>
    <t>Hørsholmsgade 4-8</t>
  </si>
  <si>
    <t xml:space="preserve">Godthåbsvej 70 - 72/Nordre Fasanvej 83 </t>
  </si>
  <si>
    <t>Bakkehave 8-40</t>
  </si>
  <si>
    <t>Dalgas Have</t>
  </si>
  <si>
    <t xml:space="preserve">Dalgas Have 1 - 3/Dalgas Have 27 - 29/Dalgas Have 2 - 76 </t>
  </si>
  <si>
    <t>PKA - spec byggeudg.</t>
  </si>
  <si>
    <t>Kongens Nytorv 24/Store Kongensgade 6</t>
  </si>
  <si>
    <t>2820</t>
  </si>
  <si>
    <t>Gentofte</t>
  </si>
  <si>
    <t>4000</t>
  </si>
  <si>
    <t>Roskilde</t>
  </si>
  <si>
    <t>2840</t>
  </si>
  <si>
    <t>Holte</t>
  </si>
  <si>
    <t>3050</t>
  </si>
  <si>
    <t>Humlebæk</t>
  </si>
  <si>
    <t>1900</t>
  </si>
  <si>
    <t>Frederiksberg C</t>
  </si>
  <si>
    <t>2960</t>
  </si>
  <si>
    <t>Rungsted Kyst</t>
  </si>
  <si>
    <t>2600</t>
  </si>
  <si>
    <t>Glostrup</t>
  </si>
  <si>
    <t>2750</t>
  </si>
  <si>
    <t>Ballerup</t>
  </si>
  <si>
    <t>2880</t>
  </si>
  <si>
    <t>Bagsværd</t>
  </si>
  <si>
    <t>1401</t>
  </si>
  <si>
    <t>2300</t>
  </si>
  <si>
    <t>København S</t>
  </si>
  <si>
    <t>2720</t>
  </si>
  <si>
    <t>Vanløse</t>
  </si>
  <si>
    <t>1914</t>
  </si>
  <si>
    <t>1610</t>
  </si>
  <si>
    <t>København V</t>
  </si>
  <si>
    <t>1559</t>
  </si>
  <si>
    <t>1415</t>
  </si>
  <si>
    <t>1370</t>
  </si>
  <si>
    <t>3520</t>
  </si>
  <si>
    <t>Farum</t>
  </si>
  <si>
    <t>2850</t>
  </si>
  <si>
    <t>Nærum</t>
  </si>
  <si>
    <t>3600</t>
  </si>
  <si>
    <t>Frederikssund</t>
  </si>
  <si>
    <t>2930</t>
  </si>
  <si>
    <t>Klampenborg</t>
  </si>
  <si>
    <t>Gentoftegade 64/Søgårdsvej 2 - 2</t>
  </si>
  <si>
    <t>Hovedvejen 114-116/Heggelunds Allé 2/Højvangsvej 71</t>
  </si>
  <si>
    <t>Restejendom Bagsværddal</t>
  </si>
  <si>
    <t>Bagsværddal 20/Bagsværd Hovedgade 115-117/</t>
  </si>
  <si>
    <t>Ejby Industrivej 60-66</t>
  </si>
  <si>
    <t xml:space="preserve">Nørre Søgade 43/Turesensgade 35, 1368 K </t>
  </si>
  <si>
    <t>Strandgade 27 C-D</t>
  </si>
  <si>
    <t>Den Treschowske Stiftelse</t>
  </si>
  <si>
    <t>Overgaden Oven Vandet 76-82</t>
  </si>
  <si>
    <t>Christians Brygge 24 - 30/Vester Voldgade 108-110</t>
  </si>
  <si>
    <t>Gammel Kongevej 11-13, Kbh. V</t>
  </si>
  <si>
    <t>Frederiksberg Søpark</t>
  </si>
  <si>
    <t>Vodroffsvej 12 - 14</t>
  </si>
  <si>
    <t>Ejendomsselskabet Vodroffslund ApS</t>
  </si>
  <si>
    <t>Vodroffslund 5-7</t>
  </si>
  <si>
    <t>Ejendomsselskabet Treleddet ApS</t>
  </si>
  <si>
    <t>Niels Jespersensvej 2-10 m.fl./Philip Schous Vej 19-29/Finsensvej 61-71</t>
  </si>
  <si>
    <t>Godthåbsvænget</t>
  </si>
  <si>
    <t xml:space="preserve">Godthåbsvænget 8-16/Godthåbsvænget 2-6/Godthåbsvej 140-142/Vagtelvej 1 &amp; 3-9 </t>
  </si>
  <si>
    <t>Søndermarken</t>
  </si>
  <si>
    <t>Søndre Fasanvej 87 A-E/Søndre Fasanvej 87 A-E</t>
  </si>
  <si>
    <t>Ambassadegården</t>
  </si>
  <si>
    <t>Randersgade</t>
  </si>
  <si>
    <t>Randersgade 7-11</t>
  </si>
  <si>
    <t>Røgerigården</t>
  </si>
  <si>
    <t>Mjøsensgade 1-11/Gullandsgade 16-18</t>
  </si>
  <si>
    <t>St. Møllevej 5-9 m.fl.</t>
  </si>
  <si>
    <t>St. Mølle Vej 5-9/Ved Skansen 1-5/Markmandsgade 8-16/Flinterenden 6/Ved Kløvermarken 2-12</t>
  </si>
  <si>
    <t>Funkisgården</t>
  </si>
  <si>
    <t>Gl. Jernbanevej 15/Valby Kirkevej 2</t>
  </si>
  <si>
    <t>Vesterled</t>
  </si>
  <si>
    <t>Roskildevej 185 A-B/Vestervang 2A, 2B, 4A, 4B, 6A og 6B/Valby Langgade 258-260/Roskildevej 185 a og b</t>
  </si>
  <si>
    <t>Tritonerne</t>
  </si>
  <si>
    <t>Åbakkevej 19-29</t>
  </si>
  <si>
    <t>Ejendomsselskabet Dalhusene ApS</t>
  </si>
  <si>
    <t xml:space="preserve">Vanløse Allé 10/Sallingvej 47-57/Dybendalsvej 23-33/Vanløse Allé 10-20,19-21, 25-31, 35-37/Åbakkevej 15-17, 18-34 </t>
  </si>
  <si>
    <t>Gentoftegade 54/Gentoftegade 54 A</t>
  </si>
  <si>
    <t>Gyvelholm</t>
  </si>
  <si>
    <t>Gyvelholm 2-52 og 1-43/Gyvelholm 1 (fredskovsareal)</t>
  </si>
  <si>
    <t>Ernst Bojesens Vej 3 A-B/Ernst Bojesens Vej 5 A-C</t>
  </si>
  <si>
    <t>Paradisvænge</t>
  </si>
  <si>
    <t>Rundforbiparken</t>
  </si>
  <si>
    <t>Rundforbiparken 8 A - 13 B/Rundforbiparken 999 (grund)</t>
  </si>
  <si>
    <t>Hellerupvej</t>
  </si>
  <si>
    <t>Hellerupvej 21 - 27</t>
  </si>
  <si>
    <t>Annasvej</t>
  </si>
  <si>
    <t>Annasvej 4 A</t>
  </si>
  <si>
    <t>Jægersborg Allé 48A - 54</t>
  </si>
  <si>
    <t>Enighedsvej 16/Enighedsvej 16 A - B</t>
  </si>
  <si>
    <t>E/F Rådhusvej</t>
  </si>
  <si>
    <t>Rådhusvej 4-6/Jensløvsvej 3-5</t>
  </si>
  <si>
    <t>Rådhusvej</t>
  </si>
  <si>
    <t>Rådhusvej 4 - 6/Jensløvsvej 3 - 5</t>
  </si>
  <si>
    <t>Rosa Park</t>
  </si>
  <si>
    <t>Rosavej 7-17/Dalsgaardsvej 10-32</t>
  </si>
  <si>
    <t>E/F Strandbjerg</t>
  </si>
  <si>
    <t>Strandbjerg 1A-7D og 2A-6F</t>
  </si>
  <si>
    <t>Strandbjerg</t>
  </si>
  <si>
    <t>Strandbjerg 1 A - 7 D</t>
  </si>
  <si>
    <t>Louiseparken</t>
  </si>
  <si>
    <t>Kirkeskov Allé 1-13</t>
  </si>
  <si>
    <t>Lyngholmpark</t>
  </si>
  <si>
    <t>Lyngholmpark 1 - 121/nr. 121 er fælleshus</t>
  </si>
  <si>
    <t>Skyllebakke Havn</t>
  </si>
  <si>
    <t>Skyllebakke Havn 1-78</t>
  </si>
  <si>
    <t>Højbrøndhus</t>
  </si>
  <si>
    <t>Støden 14 - 18</t>
  </si>
  <si>
    <t>Kalkværksgrundene</t>
  </si>
  <si>
    <t>JØP</t>
  </si>
  <si>
    <t>DIP</t>
  </si>
  <si>
    <t>I/S Christians Brygge</t>
  </si>
  <si>
    <t>Coller Capital</t>
  </si>
  <si>
    <t>Ejerforening</t>
  </si>
  <si>
    <t xml:space="preserve">GRUPPE 1 - PKA </t>
  </si>
  <si>
    <t>Antal ejendomme</t>
  </si>
  <si>
    <t xml:space="preserve">Note: </t>
  </si>
  <si>
    <t>1468</t>
  </si>
  <si>
    <t>2400</t>
  </si>
  <si>
    <t>København NV</t>
  </si>
  <si>
    <t>1358</t>
  </si>
  <si>
    <t>4200</t>
  </si>
  <si>
    <t>Slagelse</t>
  </si>
  <si>
    <t>4800</t>
  </si>
  <si>
    <t>Nykøbing F</t>
  </si>
  <si>
    <t>2450</t>
  </si>
  <si>
    <t>København SV</t>
  </si>
  <si>
    <t>1308</t>
  </si>
  <si>
    <t>4700</t>
  </si>
  <si>
    <t>Næstved</t>
  </si>
  <si>
    <t>4180</t>
  </si>
  <si>
    <t>Sorø</t>
  </si>
  <si>
    <t>2800</t>
  </si>
  <si>
    <t>Kgs. Lyngby</t>
  </si>
  <si>
    <t>1850</t>
  </si>
  <si>
    <t>4140</t>
  </si>
  <si>
    <t>Borup</t>
  </si>
  <si>
    <t>Vodroffsvej 2 A-B</t>
  </si>
  <si>
    <t>E/F Vodroffsvej 2 A-B</t>
  </si>
  <si>
    <t xml:space="preserve">Strandvejen 169-171/Sofievej 2-4 </t>
  </si>
  <si>
    <t>E/F Sofievej/Strandvejen</t>
  </si>
  <si>
    <t>Jomsborgvej 37-41</t>
  </si>
  <si>
    <t>Bondebyerne Hellerup Havnepalæ A/S</t>
  </si>
  <si>
    <t>Jomsborgvej 41 st.</t>
  </si>
  <si>
    <t>HHP Ejendomme 2 ApS, bondebyerne</t>
  </si>
  <si>
    <t>Gyvelvej 14 A-D</t>
  </si>
  <si>
    <t>Egegården</t>
  </si>
  <si>
    <t>Løngangsstræde 23</t>
  </si>
  <si>
    <t>Bredevej 2</t>
  </si>
  <si>
    <t>Frederikssundsvej 9/Svanevej 1-3</t>
  </si>
  <si>
    <t xml:space="preserve"> </t>
  </si>
  <si>
    <t>Nørre Voldgade 90 - 92/Rosenborggade 1, 1130 Kbh. K/Frederiksborggade 8, 1360 Kbh. K</t>
  </si>
  <si>
    <t>Jernbanegade 2A - 6D/Casinotorvet 2 - 6</t>
  </si>
  <si>
    <t>Bredevej</t>
  </si>
  <si>
    <t>Vestergade 12 - 22/Møllehusvej 121 - 125</t>
  </si>
  <si>
    <t>Møllehusparken</t>
  </si>
  <si>
    <t>Nygade 20-30</t>
  </si>
  <si>
    <t>Nygade</t>
  </si>
  <si>
    <t>Klerkegade 31</t>
  </si>
  <si>
    <t>Kildemarksvej 125 - 131</t>
  </si>
  <si>
    <t>Kildemarksvej 115 - 123</t>
  </si>
  <si>
    <t>Algade 33</t>
  </si>
  <si>
    <t>Klosterhaven 1-47/Ingemannsvej 8-24</t>
  </si>
  <si>
    <t>Klosterhaven</t>
  </si>
  <si>
    <t>Hersegade 28</t>
  </si>
  <si>
    <t>Kongebakken 54 - 60</t>
  </si>
  <si>
    <t>Emmasgården</t>
  </si>
  <si>
    <t>Toftegårds Allé 40-42/Lyshøj Allé 2 - 6</t>
  </si>
  <si>
    <t>Carl Jacobsens Vej 17/VALBY 1312</t>
  </si>
  <si>
    <r>
      <t>Lyngby Søpark</t>
    </r>
    <r>
      <rPr>
        <sz val="11"/>
        <color theme="1"/>
        <rFont val="Calibri"/>
        <family val="2"/>
        <scheme val="minor"/>
      </rPr>
      <t/>
    </r>
  </si>
  <si>
    <t>Mortonsvej 2 - 30</t>
  </si>
  <si>
    <t>Gammel Kongevej 98</t>
  </si>
  <si>
    <t>Lindevej 1/Hovedgaden 24</t>
  </si>
  <si>
    <t>Øverødvej 3 A/Øverødvej 3 B</t>
  </si>
  <si>
    <t>Hallandsgade 2-8/Amagerbrogade 38</t>
  </si>
  <si>
    <t>Gammel Kongevej 178/Falkoner Allé 2-4</t>
  </si>
  <si>
    <t>Lindegårdsvej 38 A</t>
  </si>
  <si>
    <t>Lindegårdsvej</t>
  </si>
  <si>
    <t xml:space="preserve">GRUPPE 2 -  </t>
  </si>
  <si>
    <t>2650</t>
  </si>
  <si>
    <t>Hvidovre</t>
  </si>
  <si>
    <t>2630</t>
  </si>
  <si>
    <t>Taastrup</t>
  </si>
  <si>
    <t>E/F Bagsværddal</t>
  </si>
  <si>
    <t>Højager 12</t>
  </si>
  <si>
    <t>Højager 8-10</t>
  </si>
  <si>
    <t>4300</t>
  </si>
  <si>
    <t>Holbæk</t>
  </si>
  <si>
    <t>4500</t>
  </si>
  <si>
    <t>Nykøbing Sj</t>
  </si>
  <si>
    <t>4400</t>
  </si>
  <si>
    <t>Kalundborg</t>
  </si>
  <si>
    <t>Kastanievej 6-16/Smedelundsgade 34-38</t>
  </si>
  <si>
    <t>Tømmergården</t>
  </si>
  <si>
    <t>Bakkedraget 14 - 22/Toftegårdsvej 10 - 23</t>
  </si>
  <si>
    <t>Bakkedraget</t>
  </si>
  <si>
    <t>Hærvigsgade 9-13/Vestre Havnevej 22-24</t>
  </si>
  <si>
    <t>Østerbrogade 68</t>
  </si>
  <si>
    <t>Falkoner Allé 53 - 55</t>
  </si>
  <si>
    <t xml:space="preserve">NYT OMRÅDE </t>
  </si>
  <si>
    <t>1655</t>
  </si>
  <si>
    <t>3400</t>
  </si>
  <si>
    <t>Hillerød</t>
  </si>
  <si>
    <t>2860</t>
  </si>
  <si>
    <t>Søborg</t>
  </si>
  <si>
    <t>4330</t>
  </si>
  <si>
    <t>Hvalsø</t>
  </si>
  <si>
    <t>1879</t>
  </si>
  <si>
    <t>1300</t>
  </si>
  <si>
    <t>Kraemers legat</t>
  </si>
  <si>
    <t>Færch Fonden</t>
  </si>
  <si>
    <t>TDC pension</t>
  </si>
  <si>
    <t>Myggenæsgade 3-11</t>
  </si>
  <si>
    <t>E/F Tøjhus Have</t>
  </si>
  <si>
    <t>Asylgade 8</t>
  </si>
  <si>
    <t>Toftegærdet 25 A-B</t>
  </si>
  <si>
    <t>Peter Lunds Vej 10-12 A-B</t>
  </si>
  <si>
    <t>Asylgade 4/Nørregade 3A</t>
  </si>
  <si>
    <t>Asylgade 6</t>
  </si>
  <si>
    <t>Hellerup Havnepalæ A/S</t>
  </si>
  <si>
    <t>Hellerupvej 8</t>
  </si>
  <si>
    <t>J.C.B.Hellerup Leasing ApS</t>
  </si>
  <si>
    <t>Hellerupvej 8, Jens Balsløw</t>
  </si>
  <si>
    <t>HHP Ejendomme ApS</t>
  </si>
  <si>
    <t>Viktoriagade 16 og 16 C</t>
  </si>
  <si>
    <t>Skotlands Plads</t>
  </si>
  <si>
    <t>Skotlands Plads 2-12</t>
  </si>
  <si>
    <t>Lindebo</t>
  </si>
  <si>
    <t>Ålekistevej 42-56</t>
  </si>
  <si>
    <t>Tøjhus Have</t>
  </si>
  <si>
    <t>Kløvermarken 1-34 og 36-41</t>
  </si>
  <si>
    <t>Blegdamsvej 126, 126 A, 126 B</t>
  </si>
  <si>
    <t>H. C. Ørsteds Vej 66 - 68</t>
  </si>
  <si>
    <t>Lyongade 16-20/Spaniensgade 22/Saltholmvej 1</t>
  </si>
  <si>
    <t>Lyongade 16-20 m.fl.</t>
  </si>
  <si>
    <t>STØBERIET</t>
  </si>
  <si>
    <t>Støberigade 8</t>
  </si>
  <si>
    <t>Borgergade 30-42 /Hindegade 11</t>
  </si>
  <si>
    <t>Borgergade 30-42 m.fl.</t>
  </si>
  <si>
    <t>Blegdamsgården</t>
  </si>
  <si>
    <t>Blegdamsvej 74 A-F</t>
  </si>
  <si>
    <t>Dronningens Tværgade 46-50</t>
  </si>
  <si>
    <t>Kongegaarden A/S</t>
  </si>
  <si>
    <t>Dronningens Tværgade 37-45</t>
  </si>
  <si>
    <t>Christiansgården A/S</t>
  </si>
  <si>
    <t>Øresundsvej 38 - 44</t>
  </si>
  <si>
    <t>Nørrebrogade 74 - 76 m.fl.</t>
  </si>
  <si>
    <t>Meinungsgade 4/Nørrebrogade 74 - 76, 74A</t>
  </si>
  <si>
    <t>Viceværter:</t>
  </si>
  <si>
    <t>3500</t>
  </si>
  <si>
    <t>Værløse</t>
  </si>
  <si>
    <t>1871</t>
  </si>
  <si>
    <t>Borgmester Christiansens Gade 48-50</t>
  </si>
  <si>
    <t>E/F Borgmestergården</t>
  </si>
  <si>
    <t>Strandvejen 22-32</t>
  </si>
  <si>
    <t>Kildevang</t>
  </si>
  <si>
    <r>
      <t>Vangehuset</t>
    </r>
    <r>
      <rPr>
        <sz val="11"/>
        <color theme="1"/>
        <rFont val="Calibri"/>
        <family val="2"/>
        <scheme val="minor"/>
      </rPr>
      <t/>
    </r>
  </si>
  <si>
    <t>Strandvejen 87A-89B</t>
  </si>
  <si>
    <t>Bærhaven 1-23</t>
  </si>
  <si>
    <t>Bærhaven</t>
  </si>
  <si>
    <t>Kajerødvej 78-84</t>
  </si>
  <si>
    <t>Ved Viadukten</t>
  </si>
  <si>
    <t>Mozartsvej 32/Rubinsteinsvej 17-21/Sjælør Boulevard 25-27</t>
  </si>
  <si>
    <t>Mozartsvej 32 m.fl.</t>
  </si>
  <si>
    <t>Birketinget 2 A-F</t>
  </si>
  <si>
    <t>BRFKREDIT A/S</t>
  </si>
  <si>
    <t>Ejboparken 1/Ejboparken 1-77</t>
  </si>
  <si>
    <t xml:space="preserve">BRFKREDIT A/S </t>
  </si>
  <si>
    <r>
      <t>BRFKREDIT A/S</t>
    </r>
    <r>
      <rPr>
        <sz val="11"/>
        <color theme="1"/>
        <rFont val="Calibri"/>
        <family val="2"/>
        <scheme val="minor"/>
      </rPr>
      <t/>
    </r>
  </si>
  <si>
    <t>Ryetvej 19-63</t>
  </si>
  <si>
    <t>Fredskovhellet 18-35</t>
  </si>
  <si>
    <t>Thorvaldsensvej 7/Harsdorffsvej 12</t>
  </si>
  <si>
    <t>Thorvaldsensvej 7</t>
  </si>
  <si>
    <t>Dirch Passers Allé 76</t>
  </si>
  <si>
    <t>Carlsbergfondet budgetenhed</t>
  </si>
  <si>
    <t>Bernstorffsvej 133 - 137/Adolphsvej 1 - 3</t>
  </si>
  <si>
    <t xml:space="preserve">Bernstorffsvej 135 m.fl. </t>
  </si>
  <si>
    <t>Islands Brygge 15-19/Reykjavikgade 2-4/Thorshavnsgade 26-28/Njalsgade 1</t>
  </si>
  <si>
    <t>Haraldsborg</t>
  </si>
  <si>
    <t>C. F. Richs vej 99 - 101</t>
  </si>
  <si>
    <t>Nitivej 9-15/Priorvej 2-8</t>
  </si>
  <si>
    <t>Munken</t>
  </si>
  <si>
    <t>Søborghus Park 1-24/Frederiksborgvej 221</t>
  </si>
  <si>
    <t>Søborg Huse</t>
  </si>
  <si>
    <t>Høeghsmindeparken</t>
  </si>
  <si>
    <t>Høeghsmindeparken 2 - 16/Bernstorffsvej 142 - 148</t>
  </si>
  <si>
    <t>Peter Bangs Vej 113-145/Peter Bangs Vej 149-163</t>
  </si>
  <si>
    <t>Ved Boldparken/Peter Bangs Vej 113 mf.</t>
  </si>
  <si>
    <t>Sampension</t>
  </si>
  <si>
    <t>Thylander</t>
  </si>
  <si>
    <t>Hanne Bregnsbo</t>
  </si>
  <si>
    <t>BRF</t>
  </si>
  <si>
    <t>Eddie Sarelius</t>
  </si>
  <si>
    <t>Harley Christiansen</t>
  </si>
  <si>
    <t>Michael Falck</t>
  </si>
  <si>
    <t>Viceværter</t>
  </si>
  <si>
    <t>Hans-Henrik Jakobsen</t>
  </si>
  <si>
    <t>John Aagaard</t>
  </si>
  <si>
    <t>Jørgen Krogh</t>
  </si>
  <si>
    <t>Poul Sørensen</t>
  </si>
  <si>
    <t>Jan Bruun</t>
  </si>
  <si>
    <t>Tim Larsen</t>
  </si>
  <si>
    <t xml:space="preserve">GRUPPE 3 - </t>
  </si>
  <si>
    <t>Per Johan Christensen</t>
  </si>
  <si>
    <t>Thomas Rosenkvist</t>
  </si>
  <si>
    <t>AP Pension</t>
  </si>
  <si>
    <t>3390</t>
  </si>
  <si>
    <t>Hundested</t>
  </si>
  <si>
    <t>2605</t>
  </si>
  <si>
    <t>Brøndby</t>
  </si>
  <si>
    <t>2670</t>
  </si>
  <si>
    <t>Greve</t>
  </si>
  <si>
    <t>2770</t>
  </si>
  <si>
    <t>Kastrup</t>
  </si>
  <si>
    <t>1467</t>
  </si>
  <si>
    <t>1208</t>
  </si>
  <si>
    <t>1463</t>
  </si>
  <si>
    <t>1824</t>
  </si>
  <si>
    <t>2610</t>
  </si>
  <si>
    <t>Rødovre</t>
  </si>
  <si>
    <t>1912</t>
  </si>
  <si>
    <t>1602</t>
  </si>
  <si>
    <t>1304</t>
  </si>
  <si>
    <t>1970</t>
  </si>
  <si>
    <t>1411</t>
  </si>
  <si>
    <t>3300</t>
  </si>
  <si>
    <t>Frederiksværk</t>
  </si>
  <si>
    <t>3200</t>
  </si>
  <si>
    <t>Helsinge</t>
  </si>
  <si>
    <t>3540</t>
  </si>
  <si>
    <t>Lynge</t>
  </si>
  <si>
    <t>3550</t>
  </si>
  <si>
    <t>Slangerup</t>
  </si>
  <si>
    <t>3660</t>
  </si>
  <si>
    <t>Stenløse</t>
  </si>
  <si>
    <t>3480</t>
  </si>
  <si>
    <t>Fredensborg</t>
  </si>
  <si>
    <t>LB Forsikring</t>
  </si>
  <si>
    <t>MP Pension</t>
  </si>
  <si>
    <t>Ejendomsselskabet af 1. maj 2009</t>
  </si>
  <si>
    <t xml:space="preserve">Niam Core-Plus </t>
  </si>
  <si>
    <t>CS Pensionsfond</t>
  </si>
  <si>
    <t>Niam</t>
  </si>
  <si>
    <t>Sct. Olai Gade 39</t>
  </si>
  <si>
    <t>Algade 18/Hersegade 1/St. Gråbrødre Stræde 1</t>
  </si>
  <si>
    <t>Henning L. Culmsee</t>
  </si>
  <si>
    <t>Kim Pedersen</t>
  </si>
  <si>
    <t>Ove Fritz</t>
  </si>
  <si>
    <t>Jesper Veibel Malthe</t>
  </si>
  <si>
    <t>Kurt Christian Christensen</t>
  </si>
  <si>
    <t>Fejøgade</t>
  </si>
  <si>
    <t>Fejøgade 1/Strandgade 24</t>
  </si>
  <si>
    <t>Algade 14-16/Hersegade 4 Hersgade 6 A + B</t>
  </si>
  <si>
    <t>Egedal Centret 44 J, 01</t>
  </si>
  <si>
    <t>Egedal Centret</t>
  </si>
  <si>
    <t>Torvet 7/Østergade 9</t>
  </si>
  <si>
    <t>Jernbanegade 31</t>
  </si>
  <si>
    <t>Jernbanegade 13 - 13 A</t>
  </si>
  <si>
    <t>Kongensgade 10 A</t>
  </si>
  <si>
    <t>Hillerødvej 34</t>
  </si>
  <si>
    <t>Farum Hovedgade 37</t>
  </si>
  <si>
    <t>Christopher Boecksvej 4</t>
  </si>
  <si>
    <t>Hovedgaden 12-14</t>
  </si>
  <si>
    <t>Lollikhus, Birkerød</t>
  </si>
  <si>
    <t>Birkerød Kongevej 2</t>
  </si>
  <si>
    <t>Slotsgade 36</t>
  </si>
  <si>
    <t>Strandvejen 3A - 11E</t>
  </si>
  <si>
    <t>Nørregade 34</t>
  </si>
  <si>
    <t>Rundinsvej 4</t>
  </si>
  <si>
    <t>Stjernegade 23</t>
  </si>
  <si>
    <t>Montebello</t>
  </si>
  <si>
    <t>Gurrevej 90/Gurrevej 90 A - C</t>
  </si>
  <si>
    <t>Buddingevej 193 - 195</t>
  </si>
  <si>
    <r>
      <t>Tårnby Torv</t>
    </r>
    <r>
      <rPr>
        <sz val="11"/>
        <color theme="1"/>
        <rFont val="Calibri"/>
        <family val="2"/>
        <scheme val="minor"/>
      </rPr>
      <t/>
    </r>
  </si>
  <si>
    <t>Tårnby Torv 3</t>
  </si>
  <si>
    <t>CPH Business Park ApS</t>
  </si>
  <si>
    <t>Stamholmen 143-157</t>
  </si>
  <si>
    <t>Greve Main 21</t>
  </si>
  <si>
    <t>Priorparken 470</t>
  </si>
  <si>
    <t>Adm.selskab for Ejd.selsk. af 1/5</t>
  </si>
  <si>
    <t>Vallensbækvej 51-53</t>
  </si>
  <si>
    <t>Sydvestvej 15-23</t>
  </si>
  <si>
    <t xml:space="preserve">Kompagnistræde 43 m.fl. </t>
  </si>
  <si>
    <t>Kompagnistræde 43/Gåsegade 1</t>
  </si>
  <si>
    <t>Kompagnistræde 41</t>
  </si>
  <si>
    <t>Adelgade 15 - 19</t>
  </si>
  <si>
    <t>Adelgade 15-19, Kbh. K</t>
  </si>
  <si>
    <t>Langebrogade 6</t>
  </si>
  <si>
    <t>Farvergade 2-8</t>
  </si>
  <si>
    <t>Farvergade 17/Løngangsstræde 20</t>
  </si>
  <si>
    <t>Farvergade 17 m.fl.</t>
  </si>
  <si>
    <t>Vandkunsten 10</t>
  </si>
  <si>
    <t>Vandkunsten 8/Kompagnistræde 39</t>
  </si>
  <si>
    <t>Vandkunsten 8 m.fl.</t>
  </si>
  <si>
    <t>Nyropsgade 45/Vester Farimagsgade 13-15</t>
  </si>
  <si>
    <t>Svend Trøsts Vej 19/Danasvej 30 A</t>
  </si>
  <si>
    <t>Forchammersvej 17-19/Svend Trøst vej 21</t>
  </si>
  <si>
    <t>H.C. Ørstedsvej 50/Rosenørns Allé 29-31</t>
  </si>
  <si>
    <t>Østbanegade 135/Århusgade 112</t>
  </si>
  <si>
    <t>Strødamvej 52</t>
  </si>
  <si>
    <r>
      <t>Bryggervangen 7 - 19</t>
    </r>
    <r>
      <rPr>
        <sz val="11"/>
        <color theme="1"/>
        <rFont val="Calibri"/>
        <family val="2"/>
        <scheme val="minor"/>
      </rPr>
      <t/>
    </r>
  </si>
  <si>
    <t>Spaniensgade - Lyongade</t>
  </si>
  <si>
    <t>Spaniensgade 15 (restejd.)/ Lyongade 17-19 (restejd.)</t>
  </si>
  <si>
    <t>Borgmester Christiansens Gade 55</t>
  </si>
  <si>
    <t>2942</t>
  </si>
  <si>
    <t>Skodsborg</t>
  </si>
  <si>
    <t>1354</t>
  </si>
  <si>
    <t>1114</t>
  </si>
  <si>
    <t>1406</t>
  </si>
  <si>
    <t>Pile-Bo A/S</t>
  </si>
  <si>
    <t>JØP/REY</t>
  </si>
  <si>
    <t>Nicolas Pontoppidan</t>
  </si>
  <si>
    <t>Rikki Linders</t>
  </si>
  <si>
    <t>Ejendomsselskabet Klampenborggård ApS</t>
  </si>
  <si>
    <t>Dyrehavevej 2-16</t>
  </si>
  <si>
    <t>Ejendomsselskabet Jægersborgvej 68 ApS</t>
  </si>
  <si>
    <t>Jægersborgvej 68-76</t>
  </si>
  <si>
    <t>Ejendomsselskabet Trunnevangen ApS</t>
  </si>
  <si>
    <t>Trunnevangen 3-5, m.fl./Jensløvs Tværvej 18-24</t>
  </si>
  <si>
    <t>Himmelev Strandpark</t>
  </si>
  <si>
    <t>Vestre Kirkevej 2 A - G</t>
  </si>
  <si>
    <t>Hørsholm Park</t>
  </si>
  <si>
    <t>Hørsholm Park 1-16</t>
  </si>
  <si>
    <t>John Larsen</t>
  </si>
  <si>
    <t>Andreas Braagaard</t>
  </si>
  <si>
    <t>Hubert Erichsen</t>
  </si>
  <si>
    <t>Skodsborg Strandhave</t>
  </si>
  <si>
    <t>Skodsborg Strandvej 145A-151 m.fl./Skodsborgvej 406-416</t>
  </si>
  <si>
    <t>Ørbækgårds Allé</t>
  </si>
  <si>
    <t>Ørbækgårds Allé 501-510</t>
  </si>
  <si>
    <t>Dalgas Have (grund)</t>
  </si>
  <si>
    <t>Dalgas Have 1-76</t>
  </si>
  <si>
    <t>Herman Bangs Have - Provstebo</t>
  </si>
  <si>
    <t>A.D. Jørgensens Vej 19-85</t>
  </si>
  <si>
    <t>Onsgaarden</t>
  </si>
  <si>
    <t>Strandvejen 185-189/Aurehøjvej 1 &amp; 3-5/ Margrethevej 4 -6 m.fl.</t>
  </si>
  <si>
    <t>Ole Suhrs Gade 13-15</t>
  </si>
  <si>
    <t>Mariendalsvej 38-40</t>
  </si>
  <si>
    <t>Kronprinsensgade 7</t>
  </si>
  <si>
    <t>Sigbrits Allé 3-5</t>
  </si>
  <si>
    <t>Christianshavns Kanal 4</t>
  </si>
  <si>
    <t>1806</t>
  </si>
  <si>
    <t>1310</t>
  </si>
  <si>
    <t>1874</t>
  </si>
  <si>
    <t>1851</t>
  </si>
  <si>
    <t>1727</t>
  </si>
  <si>
    <t>2730</t>
  </si>
  <si>
    <t>Herlev</t>
  </si>
  <si>
    <t>4540</t>
  </si>
  <si>
    <t>Fårevejle</t>
  </si>
  <si>
    <t xml:space="preserve">GRUPPE 4 - </t>
  </si>
  <si>
    <t>Tommy Bro Rasmussen</t>
  </si>
  <si>
    <t>Franck Bjarup Voss</t>
  </si>
  <si>
    <t>Bevica Fonden</t>
  </si>
  <si>
    <t>Herskind Invest A/S</t>
  </si>
  <si>
    <t>Gormsgade 25/Dagmarsgade 15</t>
  </si>
  <si>
    <t>Øster Farimagsgade 33</t>
  </si>
  <si>
    <t>Ringbakken 15</t>
  </si>
  <si>
    <t>Bjelkes Allé 34, 1. dør/lejl 25</t>
  </si>
  <si>
    <t>Ewaldsensvej 8, st. th.</t>
  </si>
  <si>
    <t>Strandvejen 213</t>
  </si>
  <si>
    <t>Marstalsgade 34, 3. tv.</t>
  </si>
  <si>
    <t>Ejerlejligheder Horsensgade</t>
  </si>
  <si>
    <t>Horsensgade 8, 1.tv./Horsensgade 6, st. tv</t>
  </si>
  <si>
    <t>Herlev Bygård II</t>
  </si>
  <si>
    <t>Herlev Torv 3-5</t>
  </si>
  <si>
    <t>Trondhjems Plads 4 m.fl.</t>
  </si>
  <si>
    <t>Skodsborgparken</t>
  </si>
  <si>
    <t>Skodsborgparken 22-64</t>
  </si>
  <si>
    <t>Kårupvej 31/Kårupvej 33</t>
  </si>
  <si>
    <t>Bjergene</t>
  </si>
  <si>
    <t>Fredericiagade 8</t>
  </si>
  <si>
    <t>Rée's Legat</t>
  </si>
  <si>
    <t>Asger Rygs Gade 9 - 11</t>
  </si>
  <si>
    <t>Vesterborg ,  N.F. Jensen og Hustrus Leg</t>
  </si>
  <si>
    <t>Asmussens Allé 1-5/Schlegels Allé 8/Jacobys Allé 14-16</t>
  </si>
  <si>
    <t>Gammel Kongevej 137 A m.fl.</t>
  </si>
  <si>
    <t>Gammel Kongevej 137 A/Nyvej 21</t>
  </si>
  <si>
    <t>Pile-Bo - Fællesafdeling</t>
  </si>
  <si>
    <t>c/o DEAS</t>
  </si>
  <si>
    <t>ApS SPKR 2722</t>
  </si>
  <si>
    <t>Gammel Kongevej 137 B/Nyvej 19</t>
  </si>
  <si>
    <t>Harsdorffhus</t>
  </si>
  <si>
    <t>Harsdorffsvej 3 A &amp; B</t>
  </si>
  <si>
    <t>Sophie Amalie Gården</t>
  </si>
  <si>
    <t>Marielystvej 50-54/Rådmand Steins Alle 20-24</t>
  </si>
  <si>
    <t>I/S Trekanten</t>
  </si>
  <si>
    <t>Lundsgade 5 mf./Søndre Jernbanevej 3 A, m.fl./Hillerød Lundsgade 5 københavn</t>
  </si>
  <si>
    <t>Gunhildsgade 3</t>
  </si>
  <si>
    <t>Rantzausgade 10/Griffenfeldsgade 54</t>
  </si>
  <si>
    <t>Valby Langgade 70</t>
  </si>
  <si>
    <t>Valby Langgade 215</t>
  </si>
  <si>
    <t>Holsteinborgvej 18-22</t>
  </si>
  <si>
    <t>Herlev Apotek</t>
  </si>
  <si>
    <t>Herlev Torv 13-15</t>
  </si>
  <si>
    <t>Herlev Bygård I</t>
  </si>
  <si>
    <t>Nørgaardsvej 4 A-M ApS</t>
  </si>
  <si>
    <t>Nørgaardsvej 4-A-M</t>
  </si>
  <si>
    <t>Ejd Ulrikkenborg Alle 46</t>
  </si>
  <si>
    <t>Ulrikkenborg Allé 46</t>
  </si>
  <si>
    <t>Buegården 5, 3.th.</t>
  </si>
  <si>
    <t>I/S Genboen</t>
  </si>
  <si>
    <t>Hostrupvej 25-29</t>
  </si>
  <si>
    <t>Butikstorvet</t>
  </si>
  <si>
    <t>Kalvehavevej 1-7/Frederiksværksgade 2-8</t>
  </si>
  <si>
    <t>Grunden 132 ApS</t>
  </si>
  <si>
    <t>Bregnerødvej 132 B og C Faktuaer udstedes til Grunden 132 ApS</t>
  </si>
  <si>
    <t>Grunden 138 ApS</t>
  </si>
  <si>
    <t>Bregnerødvej 138 A Fakturaer udstedes til Grunden 138 ApS</t>
  </si>
  <si>
    <t>Private Investorer</t>
  </si>
  <si>
    <t>Tårnfalke Holding A/S</t>
  </si>
  <si>
    <t>Honoré's Fond</t>
  </si>
  <si>
    <t>Huset 144 A/S</t>
  </si>
  <si>
    <t>Bregnerødvej 132 A Fakturaer bliver udstedt til Grunden 138 ApS</t>
  </si>
  <si>
    <t xml:space="preserve">GRUPPE 2 - </t>
  </si>
  <si>
    <t>3450</t>
  </si>
  <si>
    <t>Allerød</t>
  </si>
  <si>
    <t>Ved Skansebakken</t>
  </si>
  <si>
    <t>Farumhus</t>
  </si>
  <si>
    <t>Farum Hovedgade 14</t>
  </si>
  <si>
    <t>E/F HavneBryggen Pollux</t>
  </si>
  <si>
    <t>Islands Brygge 100-118</t>
  </si>
  <si>
    <t>1267</t>
  </si>
  <si>
    <t>5000</t>
  </si>
  <si>
    <t>Odense C</t>
  </si>
  <si>
    <t>1820</t>
  </si>
  <si>
    <t>Skt. Thomas Allé 17-19 m. fl.</t>
  </si>
  <si>
    <t>Sankt Thomas Allé 17-19/Gammel Kongevej 99</t>
  </si>
  <si>
    <t>Hoffmeyersvej 59-69 m.fl.</t>
  </si>
  <si>
    <t>Hoffmeyersvej 59-69/Roskildevej 72-74/Hoffmeyersvej 59-69</t>
  </si>
  <si>
    <t>Peter Bangs Vej 83 - 89 m.fl.</t>
  </si>
  <si>
    <t>Peter Bangs Vej 83-89/Glahns Allé 1-5/Hattensens Allé 22-26</t>
  </si>
  <si>
    <t>Finsensvej 2- 4 / Ndr. Fasanvej 13</t>
  </si>
  <si>
    <t>Finsensvej 2- 4/Nordre Fasanvej 13</t>
  </si>
  <si>
    <t>Mariendalsvej 63 m. fl.</t>
  </si>
  <si>
    <t>Mariendalsvej 63/Nordre Fasanvej 133</t>
  </si>
  <si>
    <t>Frederikshave 6 - 36</t>
  </si>
  <si>
    <t>The Hill</t>
  </si>
  <si>
    <t>Søndre Jernbanevej 31-(vilaen)/Vibekevej 1- 3A - 3E, 5A-5B</t>
  </si>
  <si>
    <t>Milnersvej 13 A + B</t>
  </si>
  <si>
    <t>Nordre Jernbanevej 5-9</t>
  </si>
  <si>
    <t>Rådyrvænget</t>
  </si>
  <si>
    <t>Frederiksberg Fonden</t>
  </si>
  <si>
    <t>PFA</t>
  </si>
  <si>
    <t>E/F Amerika Plads 34-38</t>
  </si>
  <si>
    <t>Amerika Plads 34-38</t>
  </si>
  <si>
    <t>E/F Brohuset</t>
  </si>
  <si>
    <t>Bramslykkevej 2-6/Vigerslevvej 2-8/Roskildevej 139-145</t>
  </si>
  <si>
    <t>Parkeringslauget Artillerihaven</t>
  </si>
  <si>
    <t>J.H. Deuntzers Gade 24</t>
  </si>
  <si>
    <t>Vibeholmsvej 17</t>
  </si>
  <si>
    <t>Ballinghus</t>
  </si>
  <si>
    <t>Ib Schønbergs Allé 11-17/Poul Reichhardts Vej 10-16</t>
  </si>
  <si>
    <t>Privat investor</t>
  </si>
  <si>
    <t>Hekla Husene</t>
  </si>
  <si>
    <t>Poul Hartlings Gade 5-9/Axel Heides Gade 24-28/Artillerivej 104-106</t>
  </si>
  <si>
    <t>LP</t>
  </si>
  <si>
    <t>Marselisborg</t>
  </si>
  <si>
    <t>Århusgade 97/Vardegade 3-15/Strandboulevarden 108/Vordingborggade 80-82</t>
  </si>
  <si>
    <t>Smakkegårdsvej 133-149</t>
  </si>
  <si>
    <t>Smakkegårdsvej 133-137, 139-145, 147-149</t>
  </si>
  <si>
    <t>Pædagogernes pension</t>
  </si>
  <si>
    <t>PensionDanmark</t>
  </si>
  <si>
    <t>Industriens pension</t>
  </si>
  <si>
    <t>G/F Carl Jacobsens Vej 33-41</t>
  </si>
  <si>
    <t>c/o IP Administration</t>
  </si>
  <si>
    <t>E/F Stadens Vænge 1-3  adm. 7389</t>
  </si>
  <si>
    <t>c/o Domhusgaarden Ejendomsadministration</t>
  </si>
  <si>
    <t>Ejd. Dantes Plads c/o EV Administration</t>
  </si>
  <si>
    <t>Vester Voldgade 90-92/Dantes Plads 1/Ludvig Holsteins Allé 54</t>
  </si>
  <si>
    <t>Dag Hammarskjölds Allé 13</t>
  </si>
  <si>
    <t>Dag Hammarskjölds Allé 13 bygning 1+2/Visbygade 16 bygning 3</t>
  </si>
  <si>
    <t>Carl Jacobsens Vej 29-31</t>
  </si>
  <si>
    <t>Carl Jacobsens Vej 35 m.fl.</t>
  </si>
  <si>
    <t>Carl Jacobsens Vej 35/Carl Jacobsens Vej 39</t>
  </si>
  <si>
    <t>Metropolen</t>
  </si>
  <si>
    <t>Njalsgade 72</t>
  </si>
  <si>
    <t>Amerika Plads 11-15 m.fl.</t>
  </si>
  <si>
    <t>Amerika Plads 11-15/Kalkbrænderihavnsgade 2</t>
  </si>
  <si>
    <t>Bygmestervej 1 A - B/Bisiddervej 18 -22</t>
  </si>
  <si>
    <t>Bygmester Have</t>
  </si>
  <si>
    <t>G/F Strandholmen</t>
  </si>
  <si>
    <t>Strandlodsvej 15</t>
  </si>
  <si>
    <t>D.S.I. Peder Lykke Bo</t>
  </si>
  <si>
    <t>Peder Lykkes Vej 59 A-D m.fl/Peder Lykkes Vej 67 A-H, 67 K-L, 67 P-S</t>
  </si>
  <si>
    <t>Husforeningen Glenten</t>
  </si>
  <si>
    <t>Strandlodsvej 19 C-G</t>
  </si>
  <si>
    <t>E/F Strandholmen Ternen og Klyden</t>
  </si>
  <si>
    <t>Strandlodsvej 23</t>
  </si>
  <si>
    <t>Soldalen</t>
  </si>
  <si>
    <t>Kromagrafen</t>
  </si>
  <si>
    <t>Robert Jacobsens Vej 73 A-F</t>
  </si>
  <si>
    <t>Amager Strandpark Ask</t>
  </si>
  <si>
    <t>Krimsvej 11 A-H</t>
  </si>
  <si>
    <t>Amager Strandpark Birk m.fl.</t>
  </si>
  <si>
    <t>Krimsvej 19 A-E/Krimsvej 21 A-B/Krimsvej 23</t>
  </si>
  <si>
    <t>Amager Strandpark - Fælleshuset</t>
  </si>
  <si>
    <t>Krimsvej 17</t>
  </si>
  <si>
    <t>APpension</t>
  </si>
  <si>
    <t>Kalvebod Huse, etape 1</t>
  </si>
  <si>
    <t>Robert Jacobsens Vej 40-42/Richard Mortensens Vej 37+39+41/Robert Jacobsens Vej 40+42</t>
  </si>
  <si>
    <t>Voldumvej 71 - 79</t>
  </si>
  <si>
    <t>Svanehusene - Irmabyen, Byggefelt 8</t>
  </si>
  <si>
    <t>Kaffevej 6-10 og 15-21</t>
  </si>
  <si>
    <t>Rødovrevej 124 A - 132/Voldumvej 9 - 17</t>
  </si>
  <si>
    <t>Tornerosevej 127</t>
  </si>
  <si>
    <t>Tinghaven</t>
  </si>
  <si>
    <t>Telefonvej 2/Tinghøjvej 57, 59, 61, 63 og 65</t>
  </si>
  <si>
    <t>Søborg Hovedgade 121-127/Andersen Nexøvej 3</t>
  </si>
  <si>
    <t>Balsløw</t>
  </si>
  <si>
    <t>1432</t>
  </si>
  <si>
    <t>1306</t>
  </si>
  <si>
    <t>1123</t>
  </si>
  <si>
    <t>1165</t>
  </si>
  <si>
    <t>Den Overordnede G/F Margretheholm</t>
  </si>
  <si>
    <t>Margretheholmvej 4 m.fl.</t>
  </si>
  <si>
    <t>E/F Udsigten Margretheholm</t>
  </si>
  <si>
    <t>Margretheholmsvej 4 m.fl.</t>
  </si>
  <si>
    <t>Parkeringslauget Udsigten Margretheholm</t>
  </si>
  <si>
    <t>Rådyrvænget 1, 10-14, 24-28 &amp; 36-40</t>
  </si>
  <si>
    <t>Konstabelbygningen</t>
  </si>
  <si>
    <t>Luftmarinegade 1-3</t>
  </si>
  <si>
    <t>Rådyrvænget 3</t>
  </si>
  <si>
    <t>Margretheholmen</t>
  </si>
  <si>
    <t>Margretheholmsvej 4-54 (Nr. 4-54 lejeboliger - Blok 3-6 - 328 lejemål Nr. 56-76 Ejerlej. - Blok 1 - 2)</t>
  </si>
  <si>
    <t>Poppelstykket 12-50, Følager 16</t>
  </si>
  <si>
    <t>Jacobsens Have</t>
  </si>
  <si>
    <t>Carl Jacobsens Vej 19</t>
  </si>
  <si>
    <t>Rømersgade 7 m.fl.</t>
  </si>
  <si>
    <t>Pile-BO A/S</t>
  </si>
  <si>
    <t>Industriens Pension</t>
  </si>
  <si>
    <t>Kronprinsessegade 74</t>
  </si>
  <si>
    <t>Nørre Voldgade 25 &amp; 25A</t>
  </si>
  <si>
    <t>Gothersgade 137, Linnèsgade 39</t>
  </si>
  <si>
    <t>Birkerød Kongevej 25</t>
  </si>
  <si>
    <t>Søndre Jernbanevej 18 A-B-C</t>
  </si>
  <si>
    <t>Prøvestensvej 50 - 52</t>
  </si>
  <si>
    <t>IP Sankt Petri Passage</t>
  </si>
  <si>
    <t>Sankt Petri Passage 1-7 Sankt Petri Passage 5 Nørregade 21 Nørregade 31-33 Larslejsstræde 4-6</t>
  </si>
  <si>
    <t>2150</t>
  </si>
  <si>
    <t>Nordhavn</t>
  </si>
  <si>
    <t>2765</t>
  </si>
  <si>
    <t>Smørum</t>
  </si>
  <si>
    <t>2760</t>
  </si>
  <si>
    <t>Måløv</t>
  </si>
  <si>
    <t>Ølstykke</t>
  </si>
  <si>
    <t>FS Øst</t>
  </si>
  <si>
    <t>E/F Baunebo, Lyngby</t>
  </si>
  <si>
    <t>Baune Allé 2</t>
  </si>
  <si>
    <t>E/F Sandkaj no. 1</t>
  </si>
  <si>
    <t>Trelleborggade 2-6</t>
  </si>
  <si>
    <t>E/F Rytterparken</t>
  </si>
  <si>
    <t>Rytterparken 1-115</t>
  </si>
  <si>
    <t>Søndergårds Allé</t>
  </si>
  <si>
    <t>Søndergårds Allé 59-63</t>
  </si>
  <si>
    <t>Linde Allé 28 A + B</t>
  </si>
  <si>
    <t>Stilledal 21-33</t>
  </si>
  <si>
    <t>Mørkhøjvej 132 - 142</t>
  </si>
  <si>
    <t xml:space="preserve">Sandkaj 21 </t>
  </si>
  <si>
    <t>Sandkaj 21, Antwerpengade 2-4, Bordeauxgade 1-3, Antwerpengade 2-4 Ystadgade 2 og 6</t>
  </si>
  <si>
    <t xml:space="preserve">Ålekistevej 81-87 </t>
  </si>
  <si>
    <t>Hyltebjerg Allé 32 A - 34 B</t>
  </si>
  <si>
    <t xml:space="preserve">Virum Haveby </t>
  </si>
  <si>
    <t>Kongevejen 168-174</t>
  </si>
  <si>
    <t xml:space="preserve">Ejendomsselskabet Virum Torv 4 ApS </t>
  </si>
  <si>
    <t>Engbakken 64-66, Grønnevej 52-56 Virum Torv 2-4 Frederiksdalsvej 72-74 mfl</t>
  </si>
  <si>
    <t xml:space="preserve">Gardehusarvej 5 m.fl.  </t>
  </si>
  <si>
    <t>Gardehusarvej 5, Garnisonsvej 2-4, Kasernevej 20</t>
  </si>
  <si>
    <t xml:space="preserve">Rytterparken </t>
  </si>
  <si>
    <t>Rytterparken 1-114, Rytterparken 115</t>
  </si>
  <si>
    <t>2665</t>
  </si>
  <si>
    <t>Vallensbæk Strand</t>
  </si>
  <si>
    <t>1105</t>
  </si>
  <si>
    <t>4760</t>
  </si>
  <si>
    <t>Vordingborg</t>
  </si>
  <si>
    <t>Andelsboliger</t>
  </si>
  <si>
    <t>Pædagogernes Pension</t>
  </si>
  <si>
    <t xml:space="preserve">Ålekistevej 68-84 m.fl. </t>
  </si>
  <si>
    <t>Ålekistevej 68-84, Bogholder Allé 75-77, Hyltebjerg Allé 28</t>
  </si>
  <si>
    <t xml:space="preserve">Hanebred 4-10 m.fl. </t>
  </si>
  <si>
    <t>Hanebred 4-10, Hyltebjerg Allé 39-41</t>
  </si>
  <si>
    <t>Hanebred 12-30, Hyltebjerg Allé 20-22</t>
  </si>
  <si>
    <t xml:space="preserve">Hanebred 19-33 m.fl.  </t>
  </si>
  <si>
    <t>Hanebred 19-33, Hyltebjerg Allé 24-26</t>
  </si>
  <si>
    <t xml:space="preserve">Jernbane Allé 5 A-C m.fl. </t>
  </si>
  <si>
    <t>Jernbane Allé 5 A-C, Jernbane Allé 7 A-B</t>
  </si>
  <si>
    <t xml:space="preserve">Sallingvej 21-29 m.fl.  </t>
  </si>
  <si>
    <t>Sallingvej 21-29, Morsøvej 54, Frederiksgårds Allé 18-26</t>
  </si>
  <si>
    <t>Ålekistevej 88-94</t>
  </si>
  <si>
    <t xml:space="preserve">H. C. Ørsteds Vej 42, Forchhammersvej 28 </t>
  </si>
  <si>
    <t xml:space="preserve">A/B Guldborghus </t>
  </si>
  <si>
    <t>Godthåbsvej 67-69, Guldborgvej 38-44</t>
  </si>
  <si>
    <t xml:space="preserve">E/F Havnebryggen Polaris </t>
  </si>
  <si>
    <t>Islands Brygge 38</t>
  </si>
  <si>
    <t>Frederikskaj 2</t>
  </si>
  <si>
    <t xml:space="preserve">G/F Teglholmen Øst  </t>
  </si>
  <si>
    <t>Støberigade 3 m.fl.</t>
  </si>
  <si>
    <t xml:space="preserve">E/F Parkvej 17-23 </t>
  </si>
  <si>
    <t>Parkvej 17-23</t>
  </si>
  <si>
    <t xml:space="preserve">E/F Flintholm Have </t>
  </si>
  <si>
    <t>Preben Kaas Vænge 2-8, Flintholm Allé 20, Dirch Passers Allé 17-27 Flintholm Allé 20-26</t>
  </si>
  <si>
    <t xml:space="preserve">E/F Revyhaven </t>
  </si>
  <si>
    <t>Dirch Passers Allé 3-15, Elga Olgas Vej 1-3</t>
  </si>
  <si>
    <t xml:space="preserve">E/F Scandiagade 13-15 </t>
  </si>
  <si>
    <t>Scandiagade 13-15</t>
  </si>
  <si>
    <t xml:space="preserve">Jernholmen 6 - 10 </t>
  </si>
  <si>
    <t>Jernholmen 6 - 10</t>
  </si>
  <si>
    <t>Taastrup Hovedgade 101 tidl. Køgevej</t>
  </si>
  <si>
    <t xml:space="preserve">Amalieparken </t>
  </si>
  <si>
    <t>Amalieparken 7, 25, 41, Margrethevænget 3, 9, 15, Amalieparken 7, 25, 41</t>
  </si>
  <si>
    <t>Nyvej 8 A-B, 10 A-B</t>
  </si>
  <si>
    <t xml:space="preserve">Flintholm Have P/S </t>
  </si>
  <si>
    <t>Flintholm Allé 20, Preben Kaas Vænge 2-8, Flintholm Allé 20-24, Preben Kaas' Vænge 2-8, Dirch Passers Allé 17-25</t>
  </si>
  <si>
    <t xml:space="preserve">Thorvaldsensvej 60, Dr. Abildgaards Allé 15 1955 Frederiksberg C </t>
  </si>
  <si>
    <t>Ejby Industrivej 125-139</t>
  </si>
  <si>
    <t xml:space="preserve">E/F Hvidovrevej 432-438 </t>
  </si>
  <si>
    <t>Gl.Køge Landevej 360, Hvidovrevej 432-436</t>
  </si>
  <si>
    <t xml:space="preserve">Ejby Industrivej 125-139 c/o </t>
  </si>
  <si>
    <t xml:space="preserve">Domus Vista (Fælles have) </t>
  </si>
  <si>
    <t>c/o Akelius Management ApS, Nordens Plads 4</t>
  </si>
  <si>
    <t xml:space="preserve">E/F Frederikskaj II </t>
  </si>
  <si>
    <t>Frederikskaj 2H mm.</t>
  </si>
  <si>
    <t xml:space="preserve">E/F Byhuse </t>
  </si>
  <si>
    <t>c/o ADVICE Ejd. Adm., Niels Neergaards Gade</t>
  </si>
  <si>
    <t>Teglholmsgade 39</t>
  </si>
  <si>
    <t xml:space="preserve">Portefølje I ApS </t>
  </si>
  <si>
    <t>Kresten Bernikowsgade 4, 1.</t>
  </si>
  <si>
    <t>vedr. Telegade 25 Ejendomskontoret</t>
  </si>
  <si>
    <t>35561 Dades A/S</t>
  </si>
  <si>
    <t xml:space="preserve">35074 Dades A/S </t>
  </si>
  <si>
    <t>Vedr. Sportono Allé 12-16</t>
  </si>
  <si>
    <t xml:space="preserve">35073 Dades A/S </t>
  </si>
  <si>
    <t>Vedr. Sportono Allé 2-10</t>
  </si>
  <si>
    <t xml:space="preserve">Grdf. Høje Taastrup Et.II Øst  </t>
  </si>
  <si>
    <t>Afd.709-01 Domea - att. Ole Pedersen</t>
  </si>
  <si>
    <t xml:space="preserve">Frederikskaj  </t>
  </si>
  <si>
    <t>Frederikskaj 2A-N</t>
  </si>
  <si>
    <t xml:space="preserve">G/F Høje-Taastrup Station Syd  </t>
  </si>
  <si>
    <t xml:space="preserve">Høje Tåstrup Boulevard Haslevgade Skagensgade </t>
  </si>
  <si>
    <t>G/F Høje-Taastrup Station Nord</t>
  </si>
  <si>
    <t>Thistedgade Telegade Dalbergstrøget Carl Gustavsgade</t>
  </si>
  <si>
    <t xml:space="preserve">Hvidovre Kommune </t>
  </si>
  <si>
    <t>E/F Thorsparken</t>
  </si>
  <si>
    <t>Michael Thaysen</t>
  </si>
  <si>
    <t>Lars Nielsen</t>
  </si>
  <si>
    <t>Jan Køhlert</t>
  </si>
  <si>
    <t>Michael Aggergaard</t>
  </si>
  <si>
    <t>Ole Schou Madsen</t>
  </si>
  <si>
    <t>Claus Fonnest</t>
  </si>
  <si>
    <t>Jens Nortoft</t>
  </si>
  <si>
    <t>GRUPPE 1 - PKA</t>
  </si>
  <si>
    <t>Østerbrogade 74-76 Nordre Frihavnsgade 2-4 Odensegade 3</t>
  </si>
  <si>
    <t>Lægernes pensionskasse</t>
  </si>
  <si>
    <t>Ejendomsvirke A/S</t>
  </si>
  <si>
    <t>JA Ejendomsservice</t>
  </si>
  <si>
    <t>Gårdmand Bjørn Aps</t>
  </si>
  <si>
    <t xml:space="preserve">GRUPPE 5 - </t>
  </si>
  <si>
    <t>9000</t>
  </si>
  <si>
    <t>Aalborg</t>
  </si>
  <si>
    <t>APPension</t>
  </si>
  <si>
    <t>Islands Brygge Rundholtsvej (GAS)</t>
  </si>
  <si>
    <t xml:space="preserve">G/F Artillerivej Syd Islands Brygge </t>
  </si>
  <si>
    <t>Flintholm Company House</t>
  </si>
  <si>
    <t>Teglholm Company House</t>
  </si>
  <si>
    <t>Teglholm Allé 1</t>
  </si>
  <si>
    <t>Industriparken 27</t>
  </si>
  <si>
    <t>Buddingevej 272</t>
  </si>
  <si>
    <t xml:space="preserve">Gladsaxe Company House </t>
  </si>
  <si>
    <t>Tobaksvejen 2A, Græsmarken 36</t>
  </si>
  <si>
    <t xml:space="preserve">Knud Højgaards Vej 1 </t>
  </si>
  <si>
    <t>Knud Højgaards Vej 1</t>
  </si>
  <si>
    <t xml:space="preserve">Strædet, Køge </t>
  </si>
  <si>
    <t>c/o TK Bygge-Holding A/S</t>
  </si>
  <si>
    <t>Antal:</t>
  </si>
  <si>
    <t>Kategori</t>
  </si>
  <si>
    <t>Erhverv</t>
  </si>
  <si>
    <t>René da Silva Mejborn - 16</t>
  </si>
  <si>
    <t>Brian Fenger - 9</t>
  </si>
  <si>
    <t>Thomas Olsen - 20</t>
  </si>
  <si>
    <t>Lars-Peter Norsker - 17</t>
  </si>
  <si>
    <t>Martin Kjærsgaard - 6</t>
  </si>
  <si>
    <t>René Rasmussen - 13</t>
  </si>
  <si>
    <t>Henrik Winther - 15</t>
  </si>
  <si>
    <t>Jesper Piel-Steenberg - 21</t>
  </si>
  <si>
    <t>Lars Kejlstrup Meier Nielsen - 8</t>
  </si>
  <si>
    <t>Jens Skjoldgaard - 1</t>
  </si>
  <si>
    <t>Pile Allé 9</t>
  </si>
  <si>
    <t>Exakt Ejendomsservice</t>
  </si>
  <si>
    <t>Søren Jørgensen Bladt - 2</t>
  </si>
  <si>
    <t xml:space="preserve">GRUPPE  - </t>
  </si>
  <si>
    <t xml:space="preserve">Ketteholm </t>
  </si>
  <si>
    <t>Ketteholm 29 - 37, Ketteholm 53 - 55 Ketteholm 75 - 81</t>
  </si>
  <si>
    <t>Herlev Hovedgade 136-140/Herlev Torv 1</t>
  </si>
  <si>
    <t>Boliger</t>
  </si>
  <si>
    <t>Bondebyerne</t>
  </si>
  <si>
    <t>B. S. Ejendomsservice</t>
  </si>
  <si>
    <t>Vækst &amp; Miljø A/S</t>
  </si>
  <si>
    <t>Grund</t>
  </si>
  <si>
    <t>Rask El Service</t>
  </si>
  <si>
    <t>Rygges Multiservice</t>
  </si>
  <si>
    <t>Green Circle</t>
  </si>
  <si>
    <t>Andet</t>
  </si>
  <si>
    <t>FS - John Frederiksen</t>
  </si>
  <si>
    <t>FS</t>
  </si>
  <si>
    <t>FS - Henrik Kirchherr</t>
  </si>
  <si>
    <t>FS - Johnny Faigh</t>
  </si>
  <si>
    <t>FS - Jesper Due</t>
  </si>
  <si>
    <t>FS - Ole Weibel</t>
  </si>
  <si>
    <t>FS - Thomas Danielsen</t>
  </si>
  <si>
    <t>FS - Jaroslaw Broz</t>
  </si>
  <si>
    <t>FS - Henning Søren Kjeldsen</t>
  </si>
  <si>
    <t>FS - Carsten Ingolf C.</t>
  </si>
  <si>
    <t>FS - Per Mortensen</t>
  </si>
  <si>
    <t>FS - Danny Nielsen</t>
  </si>
  <si>
    <t>FS - Thomas Eilsø</t>
  </si>
  <si>
    <t>FS - Henrik Tønnersen</t>
  </si>
  <si>
    <t>FS - Anne &amp; Kim</t>
  </si>
  <si>
    <t>FS - John Jørgensen</t>
  </si>
  <si>
    <t>FS - Simon Lyster</t>
  </si>
  <si>
    <t>FS - Kevin Henriksen</t>
  </si>
  <si>
    <t>FS - Martin Boy</t>
  </si>
  <si>
    <t>Kalvebod Huse, etape 2</t>
  </si>
  <si>
    <t>Ejby</t>
  </si>
  <si>
    <t>FS - René Jensen</t>
  </si>
  <si>
    <t>Altid Klar Vinduespolering</t>
  </si>
  <si>
    <t>Lars Grønager</t>
  </si>
  <si>
    <t>Glad Ejendomsservice</t>
  </si>
  <si>
    <t>Vækst og Miljø</t>
  </si>
  <si>
    <t>Carsten Baltzar</t>
  </si>
  <si>
    <t>(Domicil)</t>
  </si>
  <si>
    <t>HP Ejendomsservice</t>
  </si>
  <si>
    <t>-</t>
  </si>
  <si>
    <t>Ejendomsservice Kurt Svendsen</t>
  </si>
  <si>
    <t>Tjek Bygningsservice</t>
  </si>
  <si>
    <t>Uno X Brian Petersen</t>
  </si>
  <si>
    <t>Henning Toft Larsen/Jytte Petersen</t>
  </si>
  <si>
    <t>Michael Toft Nielsen/John Kelly</t>
  </si>
  <si>
    <t>Exact Ejendomsservice</t>
  </si>
  <si>
    <t>Jerry Filbert</t>
  </si>
  <si>
    <t>Bo's Service</t>
  </si>
  <si>
    <t>Ejerforening (Coller)</t>
  </si>
  <si>
    <t>FS - Ole Weibel (hører under JPS)</t>
  </si>
  <si>
    <t>Rhododendron Hus</t>
  </si>
  <si>
    <t>Rubinolavej 4-10, James Grievevej 1-7, Paradisæblevej 40-46, Retortvej 37-39</t>
  </si>
  <si>
    <t>Kamelia Hus</t>
  </si>
  <si>
    <t>Elstarvej 20-22</t>
  </si>
  <si>
    <t>Servicefrabrikken Stefan Pokomi</t>
  </si>
  <si>
    <t>Ejendomsvirke</t>
  </si>
  <si>
    <t>Hovedvejen 87</t>
  </si>
  <si>
    <t>Hovedvejen 104-108</t>
  </si>
  <si>
    <t>2601</t>
  </si>
  <si>
    <t>2602</t>
  </si>
  <si>
    <t>FS - kun flyttesyn+grønt</t>
  </si>
  <si>
    <t>Birgith Lystrup Thomsen</t>
  </si>
  <si>
    <t>GRUPPE 4 -</t>
  </si>
  <si>
    <t>Dan Pouldan - 10</t>
  </si>
  <si>
    <t>FS - Jørn Strenov/Michael Rasmussen</t>
  </si>
  <si>
    <t>Kay Helt &amp; BS</t>
  </si>
  <si>
    <t>FS - Matti</t>
  </si>
  <si>
    <t>FS - SC</t>
  </si>
  <si>
    <t>FS - Helge Madsen/Martin Boy</t>
  </si>
  <si>
    <t>FS - Finn Transtrøm/Jacob Ståhl/Allan Schumann</t>
  </si>
  <si>
    <t>Jan Petersen</t>
  </si>
  <si>
    <t>Allan Nymark Andersen</t>
  </si>
  <si>
    <t>FS - Tonny L. Hansen/Henrik Kann Jessen</t>
  </si>
  <si>
    <t>Patrick - 11</t>
  </si>
  <si>
    <t>G/F Søpark</t>
  </si>
  <si>
    <t>Mortonsvej 2 - 42</t>
  </si>
  <si>
    <t>Bagsværddal 20/Bagsværd Hovedgade 115</t>
  </si>
  <si>
    <t>Kastrupvej 113-117/Syriensvej 8-12/Persiensvej 2/Kastrupvej 113-117</t>
  </si>
  <si>
    <t>Amagerbrogade 193-195</t>
  </si>
  <si>
    <t>Amagerbrogade 193-195/Smyrnavej 2-4</t>
  </si>
  <si>
    <t>?</t>
  </si>
  <si>
    <t>FS - Maj-Britt Larsen</t>
  </si>
  <si>
    <t>E/F Riffelsyndikatet</t>
  </si>
  <si>
    <t>Southhamptongade 2</t>
  </si>
  <si>
    <t>Lynggården</t>
  </si>
  <si>
    <t>Rovsingsgade 17-29/Borthigsgade 16-22</t>
  </si>
  <si>
    <t>2101</t>
  </si>
  <si>
    <t>Peter Nielsen - 12</t>
  </si>
  <si>
    <t>Farum Hovedgade 2A-B</t>
  </si>
  <si>
    <t>Frederikshave 2</t>
  </si>
  <si>
    <t>3399</t>
  </si>
  <si>
    <t>Hildis Have</t>
  </si>
  <si>
    <t>Søndre Jernbanevej 25</t>
  </si>
  <si>
    <t>Stationsvej 4-8</t>
  </si>
  <si>
    <t>Stationsvej 4-8/Frederiksborgvej 28</t>
  </si>
  <si>
    <t>E/F Kronborg Strand I</t>
  </si>
  <si>
    <t>Strandpromenaden 37-49</t>
  </si>
  <si>
    <t xml:space="preserve">G/F Kronborg Strand </t>
  </si>
  <si>
    <t>Strandpromenaden 17-67</t>
  </si>
  <si>
    <t>Isefjords Allé 13-15</t>
  </si>
  <si>
    <t>FS - Jan Hemmersam</t>
  </si>
  <si>
    <t>Kronborg Strand</t>
  </si>
  <si>
    <t>Strandpromenaden 37-49, 17-35, 51-67</t>
  </si>
  <si>
    <t>Holbæk Fjordtårn</t>
  </si>
  <si>
    <t>E/F Holbæk fjordtårn</t>
  </si>
  <si>
    <t>Ejendomsudvikling Rådhus Have P/S</t>
  </si>
  <si>
    <t>Nordmarks Allé</t>
  </si>
  <si>
    <t>Albertslund</t>
  </si>
  <si>
    <t>Formeriet</t>
  </si>
  <si>
    <t>Teglholm Tværvej</t>
  </si>
  <si>
    <t>Ranunkel Hus</t>
  </si>
  <si>
    <t>KEH-gruppen</t>
  </si>
  <si>
    <t>Ejendomssels. Af 1/11 1979</t>
  </si>
  <si>
    <t>Michael Knudsen</t>
  </si>
  <si>
    <t>Ejendomssels. Af 1/11 1980</t>
  </si>
  <si>
    <t>Ejendomssels. Af 1/11 1981</t>
  </si>
  <si>
    <t>Ejendomssels. Af 1/11 1982</t>
  </si>
  <si>
    <t>Ejendomssels. Af 1/11 1983</t>
  </si>
  <si>
    <t>Ejendomssels. Af 1/11 1984</t>
  </si>
  <si>
    <t>Ejendomssels. Af 1/11 1985</t>
  </si>
  <si>
    <t>Ejendomssels. Af 1/11 1986</t>
  </si>
  <si>
    <t>Ejendomssels. Af 1/11 1987</t>
  </si>
  <si>
    <t>Ejendomssels. Af 1/11 1988</t>
  </si>
  <si>
    <t>Ejendomssels. Af 1/11 1989</t>
  </si>
  <si>
    <t>Ejendomssels. Af 1/11 1990</t>
  </si>
  <si>
    <t>Ejendomssels. Af 1/11 1991</t>
  </si>
  <si>
    <t>Ejendomssels. Af 1/11 1992</t>
  </si>
  <si>
    <t>Ejendomssels. Af 1/11 1993</t>
  </si>
  <si>
    <t>Ejendomssels. Af 1/11 1994</t>
  </si>
  <si>
    <t>Ejendomssels. Af 1/11 1995</t>
  </si>
  <si>
    <t>Ejendomssels. Af 1/11 1996</t>
  </si>
  <si>
    <t>Amerikavej 8</t>
  </si>
  <si>
    <t>Finlandsgade 13</t>
  </si>
  <si>
    <t>Store Møllevej 2- 20</t>
  </si>
  <si>
    <t>Nørre Søgade 37</t>
  </si>
  <si>
    <t>Nordre Fasanvej 66</t>
  </si>
  <si>
    <t>Møllehusene 2-14</t>
  </si>
  <si>
    <t>Himmelev Skovvej 53-89</t>
  </si>
  <si>
    <t>Hyld Ager 1-183</t>
  </si>
  <si>
    <t>Petersgården</t>
  </si>
  <si>
    <t>Peter Ipsens Allé</t>
  </si>
  <si>
    <t>Finlandsgade 5-15</t>
  </si>
  <si>
    <t>Egelykkeparken 4-26</t>
  </si>
  <si>
    <t>Amerikavej 10</t>
  </si>
  <si>
    <t>Holtegade 4</t>
  </si>
  <si>
    <t>Kastanie Alle 3-7</t>
  </si>
  <si>
    <t>Skovbominde 1-99</t>
  </si>
  <si>
    <t>Ejgårdsminde 1-118</t>
  </si>
  <si>
    <t>Morbærhegnet 1-27</t>
  </si>
  <si>
    <t>Hovedselskab</t>
  </si>
  <si>
    <t>FS - Matti Ø. Andersen</t>
  </si>
  <si>
    <t>Calum A/S</t>
  </si>
  <si>
    <t>Calum Falkevej K/S</t>
  </si>
  <si>
    <t>Falkevej 2-4</t>
  </si>
  <si>
    <t>Gothersgade 135</t>
  </si>
  <si>
    <t>Bryggervangen 7-19</t>
  </si>
  <si>
    <t>Bryggervangen 7 - 19</t>
  </si>
  <si>
    <t>C V E Knuthsvej 2A-F</t>
  </si>
  <si>
    <t>Indiakaj/Midtermolen</t>
  </si>
  <si>
    <t>Indiakaj 9-13, Midtermolen 2-12</t>
  </si>
  <si>
    <t>Langelinie</t>
  </si>
  <si>
    <t>Langelinie Allé 3-9</t>
  </si>
  <si>
    <t xml:space="preserve">Vodroffsvej </t>
  </si>
  <si>
    <t>Vodroffsvej 16</t>
  </si>
  <si>
    <t>Christopher Boecksvej 14-24</t>
  </si>
  <si>
    <t>Kompl. PFA Absalon Aps</t>
  </si>
  <si>
    <t>Sundkrogsgade 4</t>
  </si>
  <si>
    <t>PFA Absalon Ejendomme</t>
  </si>
  <si>
    <t>Sundkrogsgade 5</t>
  </si>
  <si>
    <t>Nyhavn 11 og St. Strandstræde 8-14</t>
  </si>
  <si>
    <t>Nyhavn 11</t>
  </si>
  <si>
    <t>Skindergade 28</t>
  </si>
  <si>
    <t>Nyvej</t>
  </si>
  <si>
    <t>Brian Frederiksen</t>
  </si>
  <si>
    <t>Pile Allé</t>
  </si>
  <si>
    <t>Nr. Søgade</t>
  </si>
  <si>
    <t>Lars Aagaard</t>
  </si>
  <si>
    <t>Gl. Kongevej</t>
  </si>
  <si>
    <t>Chr. Brygge</t>
  </si>
  <si>
    <t>Ole Jensen</t>
  </si>
  <si>
    <t>Stig/Kenneth/Dan</t>
  </si>
  <si>
    <t>Strandgade</t>
  </si>
  <si>
    <t>Gothersgade 135, Linnesgade 28</t>
  </si>
  <si>
    <t>1361</t>
  </si>
  <si>
    <t>Kronprinsessegade</t>
  </si>
  <si>
    <t>Thorvaldsensvej</t>
  </si>
  <si>
    <t>Nr. Voldgade</t>
  </si>
  <si>
    <t>Gothersgade 137</t>
  </si>
  <si>
    <t>Rømersgade 7 &amp; 7A</t>
  </si>
  <si>
    <t>1362</t>
  </si>
  <si>
    <t>Vendersgade</t>
  </si>
  <si>
    <t>c/o Vest Adm., Rømersgade, Vendersgade, Nr. Farimagsgade, Frederiksborggade</t>
  </si>
  <si>
    <t>Ole Suhrs Gade</t>
  </si>
  <si>
    <t>Mariendalsvej</t>
  </si>
  <si>
    <t>Kronprinsensgade</t>
  </si>
  <si>
    <t>Sigbrits Allé</t>
  </si>
  <si>
    <t>KEH</t>
  </si>
  <si>
    <t>Christianshavns Kanal</t>
  </si>
  <si>
    <t>Michael Claus Pedersen - 7</t>
  </si>
  <si>
    <t>Almenyttig</t>
  </si>
  <si>
    <t>Parkeringsanlægget Strandholmen</t>
  </si>
  <si>
    <t>E/F Havnebryggen Castor</t>
  </si>
  <si>
    <t>Islands Brygge 40-64</t>
  </si>
  <si>
    <t>E/F Hummeltofteparken</t>
  </si>
  <si>
    <t>Hummeltoftevej 6-62/Sennepsmarken 17-21</t>
  </si>
  <si>
    <t>FS - Sabrina</t>
  </si>
  <si>
    <t>E/F Sfinxen</t>
  </si>
  <si>
    <t>Drechselgade 10-18/Knud Kristensensgade 12-16</t>
  </si>
  <si>
    <t>Kunstnerkarreen</t>
  </si>
  <si>
    <t>Richard Mortensens Vej 25A-27N/Robert Jacobsens Vej 30A</t>
  </si>
  <si>
    <t>Hummeltofteparken</t>
  </si>
  <si>
    <t>Hummeltoftevej 6-14, 60A-M, 62A-C/Sennepsmarken 17-21</t>
  </si>
  <si>
    <t>Hannemanns Allé 30 (P-hus)</t>
  </si>
  <si>
    <t>Hannemanns Allé 30</t>
  </si>
  <si>
    <t>Hannemanns Allé 30 (Burger King)</t>
  </si>
  <si>
    <t>G/F Bellakvarter (P91)</t>
  </si>
  <si>
    <t>Dea Trier Mørchs Vej 2-4/Halldor Laxness Vej 26/Ørestads Boulevard 44</t>
  </si>
  <si>
    <t>G/F Bellakvarter (Delområde 5)</t>
  </si>
  <si>
    <t>Vallensbæk Company House IV</t>
  </si>
  <si>
    <t>Delta Park 45</t>
  </si>
  <si>
    <t>E/F Lersøhus</t>
  </si>
  <si>
    <t>Rønnegade 10-26</t>
  </si>
  <si>
    <t>PI</t>
  </si>
  <si>
    <t>MR Ejendomsservice</t>
  </si>
  <si>
    <t>FS/Green Circle</t>
  </si>
  <si>
    <t>FS - Servicecenter</t>
  </si>
  <si>
    <t>PEARS</t>
  </si>
  <si>
    <t>Norgesgade 5A - 5B</t>
  </si>
  <si>
    <t>Nygårdsvej 9/Strynøgade 1-3</t>
  </si>
  <si>
    <t>Søkanten</t>
  </si>
  <si>
    <t>Gyngemoseparkvej 52A - 56C</t>
  </si>
  <si>
    <t>A/B Middelfartsgården</t>
  </si>
  <si>
    <t>Ringkøbinggade 1-5/Vardegade 22-24/Holstebrogade 7-9/Middelfartsgade 6-10</t>
  </si>
  <si>
    <t>Div</t>
  </si>
  <si>
    <t>Div - 146stk</t>
  </si>
  <si>
    <t>Grøn Vækst A/S</t>
  </si>
  <si>
    <t>Parkeringslauget Teglholmen</t>
  </si>
  <si>
    <t>G/F Frederikskaj</t>
  </si>
  <si>
    <t>Novo Holdings A/S</t>
  </si>
  <si>
    <t>Tuborg Havnevej 19</t>
  </si>
  <si>
    <t>Landskronagade 33-35</t>
  </si>
  <si>
    <t>Tuborg Havnepark 1-4</t>
  </si>
  <si>
    <t>Lejerforeningen Tuborg Havnevej</t>
  </si>
  <si>
    <t>Tuborg Havnevej 18</t>
  </si>
  <si>
    <t>E/F Tuborg Havnepark A</t>
  </si>
  <si>
    <t>E/F Tuborg Havnepark 16-22</t>
  </si>
  <si>
    <t>Vacant - 14</t>
  </si>
  <si>
    <t>+ GARTNER TEAM</t>
  </si>
  <si>
    <t>Astilbehaven</t>
  </si>
  <si>
    <t>Astilbehaven 131-162</t>
  </si>
  <si>
    <t xml:space="preserve"> Høje Taastrup Boulevard 76, Høje Taastrup Boulevard 82, Høje Taastrup Boulevard 86, Banestrøget 25-29</t>
  </si>
  <si>
    <t>Hvidovrevej 432-438, Gl.Køge Landevej 360</t>
  </si>
  <si>
    <t>Buster Larsens Vej 1-5, Lily Brobergs Vej 51-55</t>
  </si>
  <si>
    <t>Dianas Have</t>
  </si>
  <si>
    <t>Dianas Have 11-77, Sdr. Jagtvej 5ABC</t>
  </si>
  <si>
    <t>Fredericiagade</t>
  </si>
  <si>
    <t>Fredericiagade 21-25</t>
  </si>
  <si>
    <t>Havnehusene</t>
  </si>
  <si>
    <t>Ovengaden Neden Vandet, Wildersgade 6A-C</t>
  </si>
  <si>
    <t>Kongelundsvej</t>
  </si>
  <si>
    <t>Kongelundsvej 59A-71C</t>
  </si>
  <si>
    <t>Rued Langgaards Vej</t>
  </si>
  <si>
    <t>Buster Larsens Vej</t>
  </si>
  <si>
    <t>Sveasvej</t>
  </si>
  <si>
    <t>Sveasvej 8-10</t>
  </si>
  <si>
    <t>Tove Maës Vej</t>
  </si>
  <si>
    <t xml:space="preserve">Tove Maës Vej 1-11, Poul Bundgaardsvej </t>
  </si>
  <si>
    <t>MBI</t>
  </si>
  <si>
    <t>HEW</t>
  </si>
  <si>
    <t>E/F Vagtelvænget</t>
  </si>
  <si>
    <t>Vagtelvej 15-55</t>
  </si>
  <si>
    <t>FS - Michael H. Larsen</t>
  </si>
  <si>
    <t>PT. DL</t>
  </si>
  <si>
    <t>E/F Gammel Kongevej 11-13</t>
  </si>
  <si>
    <t>RERA</t>
  </si>
  <si>
    <t>NFK</t>
  </si>
  <si>
    <t>Dag Hammerskjolds Allé 19-29</t>
  </si>
  <si>
    <t>MKJ</t>
  </si>
  <si>
    <t>Køge Kyst</t>
  </si>
  <si>
    <t>Søndre Molevej</t>
  </si>
  <si>
    <t>Køge</t>
  </si>
  <si>
    <t>FS ØST</t>
  </si>
  <si>
    <t>LAC</t>
  </si>
  <si>
    <t>JPS</t>
  </si>
  <si>
    <t>BPE</t>
  </si>
  <si>
    <t>Per Nilsson &amp; Torben Vestergaard Laursen</t>
  </si>
  <si>
    <t>LKMN</t>
  </si>
  <si>
    <t>PAAN</t>
  </si>
  <si>
    <t>LPN</t>
  </si>
  <si>
    <t>PNI</t>
  </si>
  <si>
    <t>BFE</t>
  </si>
  <si>
    <t>Ny vicevært</t>
  </si>
  <si>
    <t>FS - Finn Transtrøm - Henrik Jensen</t>
  </si>
  <si>
    <t>FS - Tom P - Michael A - Jan D</t>
  </si>
  <si>
    <t>Hennedal</t>
  </si>
  <si>
    <t>Søborg Hovedgade 169/Hennedal</t>
  </si>
  <si>
    <t>FS/CJ Ejendomsservice</t>
  </si>
  <si>
    <t>Strandvejen 169-171</t>
  </si>
  <si>
    <t>Bryggertorvet 2-6, Strandvejen 62-68 m.fl.</t>
  </si>
  <si>
    <t>Solgården</t>
  </si>
  <si>
    <t>Rebekkavej 59 m.fl.</t>
  </si>
  <si>
    <t>Jan Drejer, Tom Petersen, Michael Andersen</t>
  </si>
  <si>
    <t>Lersø Park Allé 100-110</t>
  </si>
  <si>
    <t>ATPE</t>
  </si>
  <si>
    <t>Arenahaven</t>
  </si>
  <si>
    <t>Hannemanns Allé 44 A-H</t>
  </si>
  <si>
    <t>Stefan Andersen - 22</t>
  </si>
  <si>
    <t>Rudersdalsvej 96-98, Øverødvej 83A, Paradisvej 4-6</t>
  </si>
  <si>
    <t>Er kun rådgiver på 9-700 og 9-855</t>
  </si>
  <si>
    <t>Christian Buch - 18</t>
  </si>
  <si>
    <t>Tuborg Boulevard 12</t>
  </si>
  <si>
    <t>Unicorn Aps</t>
  </si>
  <si>
    <t>Valby Residential Aps</t>
  </si>
  <si>
    <t>Fredericiagade Aps</t>
  </si>
  <si>
    <t>Nita Senning-Larsen</t>
  </si>
  <si>
    <t>Carsten Ingolf Christiansen</t>
  </si>
  <si>
    <t>Carolines Have</t>
  </si>
  <si>
    <t>Vejlegårdsvej 45</t>
  </si>
  <si>
    <t>Børne- og Ungdomspsykiatrisk Center</t>
  </si>
  <si>
    <t>Henrik Schjoldager</t>
  </si>
  <si>
    <t>BS</t>
  </si>
  <si>
    <t>P-lauget Artillerihaven</t>
  </si>
  <si>
    <t>Byggefelt 15</t>
  </si>
  <si>
    <t xml:space="preserve">Grønttorvet </t>
  </si>
  <si>
    <t>Vibekevej 7, Søndre Jernbanevej 25</t>
  </si>
  <si>
    <t>3401</t>
  </si>
  <si>
    <t>Enggården, Køge</t>
  </si>
  <si>
    <t>Strandpassagen 3A, Strandpassagen 3A-H</t>
  </si>
  <si>
    <t>Lyngby Søpark</t>
  </si>
  <si>
    <t>Agnetevej 5-33, 8-26</t>
  </si>
  <si>
    <t>Lyngby</t>
  </si>
  <si>
    <t>FS - Brohuset</t>
  </si>
  <si>
    <t>MCP</t>
  </si>
  <si>
    <t>Riffelsyndikatet</t>
  </si>
  <si>
    <t>Southamptongade 4, 1. sal</t>
  </si>
  <si>
    <t>By &amp; Havn</t>
  </si>
  <si>
    <t>FS - Thomas Donald Duffy</t>
  </si>
  <si>
    <t>FS - Jørgen Jensen</t>
  </si>
  <si>
    <t>FS - Benjamin Dirchsen</t>
  </si>
  <si>
    <t>FS - Sune</t>
  </si>
  <si>
    <t>FS - BS Ejendomsservice</t>
  </si>
  <si>
    <t>Ekstern</t>
  </si>
  <si>
    <t>E/F Tuborg Kanal</t>
  </si>
  <si>
    <t>E/F Tuborg Havnepark 5-8</t>
  </si>
  <si>
    <t>Tuborg Havnevej 15, 2.</t>
  </si>
  <si>
    <t>Dania Ship Management A/S</t>
  </si>
  <si>
    <t>Dania Ship Management Bulk</t>
  </si>
  <si>
    <t>Basico</t>
  </si>
  <si>
    <t>Philip Heymans Allé 3, 5.</t>
  </si>
  <si>
    <t>Allan Thøgersen - 2</t>
  </si>
  <si>
    <t>G/F Tuborg Syd</t>
  </si>
  <si>
    <t>G/F Tuborg Nord</t>
  </si>
  <si>
    <t>Hans Bekkevolds Allé 7</t>
  </si>
  <si>
    <t>The Cube</t>
  </si>
  <si>
    <t>Tuborg Boulevard 15</t>
  </si>
  <si>
    <t>Tuborg Sundpark 6</t>
  </si>
  <si>
    <t>Strandvejen 42-44</t>
  </si>
  <si>
    <t>Philip Heymans Allé 7</t>
  </si>
  <si>
    <t>Philip Heymans Allé 1-5</t>
  </si>
  <si>
    <t>Punkthusene 113, 114, 115</t>
  </si>
  <si>
    <t>Mercuri Urval A/S</t>
  </si>
  <si>
    <t>Mt Højgaard A/S</t>
  </si>
  <si>
    <t>Knud Højgaards Vej 7</t>
  </si>
  <si>
    <t>Vicevært</t>
  </si>
  <si>
    <t>Gartner</t>
  </si>
  <si>
    <t>Timer pr. uge</t>
  </si>
  <si>
    <t>Samleark for ejendomme</t>
  </si>
  <si>
    <t>DL</t>
  </si>
  <si>
    <t>Kommentar</t>
  </si>
  <si>
    <t>Opstartsdato</t>
  </si>
  <si>
    <t>Slutdato</t>
  </si>
  <si>
    <t>FS - Leif Nielsen/Emil/Juan</t>
  </si>
  <si>
    <t>Jan Drejer</t>
  </si>
  <si>
    <t>Sabrina Ripley</t>
  </si>
  <si>
    <t>Kay Helt</t>
  </si>
  <si>
    <t>Henrik Kirchherr</t>
  </si>
  <si>
    <t>Allan Ringsborg</t>
  </si>
  <si>
    <t>Nicolai V. Jensen</t>
  </si>
  <si>
    <t>Fuldt navn</t>
  </si>
  <si>
    <t>Brugertype</t>
  </si>
  <si>
    <t>Normtid</t>
  </si>
  <si>
    <t>T-Valby - Finn Transtrøm</t>
  </si>
  <si>
    <t>Servicemedarbejder (FS)</t>
  </si>
  <si>
    <t>01 - Christian Trajkovski</t>
  </si>
  <si>
    <t>03 - Hans Jørgen Thuesen</t>
  </si>
  <si>
    <t>06 - Johnni Howardsen</t>
  </si>
  <si>
    <t>Jaroslav Broz</t>
  </si>
  <si>
    <t>06 - John Thomsen</t>
  </si>
  <si>
    <t>Michael Nedergaard</t>
  </si>
  <si>
    <t>Henrik Gram Schjoldager</t>
  </si>
  <si>
    <t>05 - Ejvind Andersen</t>
  </si>
  <si>
    <t>Poul Erik Storm</t>
  </si>
  <si>
    <t>Kim Larsen</t>
  </si>
  <si>
    <t>01 - Alexander Kirchherr</t>
  </si>
  <si>
    <t>01 - Boye Jensen</t>
  </si>
  <si>
    <t>02 - Flemming Jespersen</t>
  </si>
  <si>
    <t>02 - Henrik Ankerstjerne Hansen</t>
  </si>
  <si>
    <t>02 - Kim Dullum</t>
  </si>
  <si>
    <t>02 - Sten Faurschou</t>
  </si>
  <si>
    <t>02 - Thor Hansen</t>
  </si>
  <si>
    <t>04 - Jakob Ståhl Mortensen</t>
  </si>
  <si>
    <t>04 - Jørn Strenov</t>
  </si>
  <si>
    <t>05 - Randi Mathiesen Gindeberg</t>
  </si>
  <si>
    <t>06 - Søren Buchholtz</t>
  </si>
  <si>
    <t>07 - Allan Mikkelsen</t>
  </si>
  <si>
    <t>07 - Peter Melchior Jensen</t>
  </si>
  <si>
    <t>08 - Anne Ankersen Benner</t>
  </si>
  <si>
    <t>08 - Kim Axkær</t>
  </si>
  <si>
    <t>08 - Kim Østergaard Jakobsen</t>
  </si>
  <si>
    <t>08 - Morten Pedersen</t>
  </si>
  <si>
    <t>08 - Peter Madsen</t>
  </si>
  <si>
    <t>11-T16 - Henrik Kann Jessen</t>
  </si>
  <si>
    <t>11-T16 - Tonny Lynge-Hansen</t>
  </si>
  <si>
    <t>13 - Henrik Jensen</t>
  </si>
  <si>
    <t>13 - T16 -  Michael Andersen</t>
  </si>
  <si>
    <t>13 - T16 - Jan Nørskov Drejer</t>
  </si>
  <si>
    <t>13 - T16-Tom Petersen</t>
  </si>
  <si>
    <t>14 - Martin Boy</t>
  </si>
  <si>
    <t>14 - T16 - Helge Madsen</t>
  </si>
  <si>
    <t>15 - Leif Nielsen</t>
  </si>
  <si>
    <t>18 - Majbrit Larsen</t>
  </si>
  <si>
    <t>20 - Brian Frederiksen</t>
  </si>
  <si>
    <t>21 - Jan Vaclav Hemmersam</t>
  </si>
  <si>
    <t>André Sørensen</t>
  </si>
  <si>
    <t>Brian Borch Rasmussen</t>
  </si>
  <si>
    <t>Carsten Thorup Bjergegaard</t>
  </si>
  <si>
    <t>Clement Simon</t>
  </si>
  <si>
    <t>Danny Nielsen</t>
  </si>
  <si>
    <t>David Price</t>
  </si>
  <si>
    <t>Emil Milo Lindblom</t>
  </si>
  <si>
    <t>Erling Steen Jørgensen</t>
  </si>
  <si>
    <t>Finn Haumann</t>
  </si>
  <si>
    <t>Helmer Axel Schødts</t>
  </si>
  <si>
    <t>Henning Søren Kjeldsen</t>
  </si>
  <si>
    <t>Henrik Tønnersen</t>
  </si>
  <si>
    <t>Henry Dalager Jeppesen</t>
  </si>
  <si>
    <t>Jan Agersten</t>
  </si>
  <si>
    <t>Jan Blindkilde</t>
  </si>
  <si>
    <t>Jan Due</t>
  </si>
  <si>
    <t>Jean Ungstrup Rasmussen</t>
  </si>
  <si>
    <t>Jesper Due</t>
  </si>
  <si>
    <t>Jesper Midtgaard Rasmussen</t>
  </si>
  <si>
    <t>John Frederiksen</t>
  </si>
  <si>
    <t>John Juul Jørgensen</t>
  </si>
  <si>
    <t>John Skovbo</t>
  </si>
  <si>
    <t>John Tångberg</t>
  </si>
  <si>
    <t>Johnny Halberg Faigh</t>
  </si>
  <si>
    <t>Juan Perez</t>
  </si>
  <si>
    <t>Kevin Henriksen</t>
  </si>
  <si>
    <t>Kim Bo Pallesen</t>
  </si>
  <si>
    <t>Lars Ingemann</t>
  </si>
  <si>
    <t>Lars Sejr Mulvad</t>
  </si>
  <si>
    <t>Lasse Rasmussen</t>
  </si>
  <si>
    <t>Michael Hamstrup</t>
  </si>
  <si>
    <t>Michael Herringstad Larsen</t>
  </si>
  <si>
    <t>Michael Rasmussen</t>
  </si>
  <si>
    <t>Mikkel Finne</t>
  </si>
  <si>
    <t>Mikko Paulo P. Agarin</t>
  </si>
  <si>
    <t>Morten Rubin</t>
  </si>
  <si>
    <t>Ole Johansen</t>
  </si>
  <si>
    <t>Ole Weibel</t>
  </si>
  <si>
    <t>Per Benno Hansen</t>
  </si>
  <si>
    <t>Per Hau</t>
  </si>
  <si>
    <t>Per Mortensen</t>
  </si>
  <si>
    <t>Per Toftum Flaskgaard</t>
  </si>
  <si>
    <t>Peter Vorbeck</t>
  </si>
  <si>
    <t>René Dyreborg</t>
  </si>
  <si>
    <t>Rene Jensen</t>
  </si>
  <si>
    <t>Ricky Johansen</t>
  </si>
  <si>
    <t>Simon Lyster</t>
  </si>
  <si>
    <t>Steen Benny Thorup</t>
  </si>
  <si>
    <t>Steffen Johansen</t>
  </si>
  <si>
    <t>Sune Richard Fredell</t>
  </si>
  <si>
    <t>Svend Åge Karmark Pedersen</t>
  </si>
  <si>
    <t>T-Gladsaxe  Allan Ringsborg</t>
  </si>
  <si>
    <t>T-Gladsaxe - Kay Helt</t>
  </si>
  <si>
    <t>T-Gladsaxe  Nicolai Verner Jensen</t>
  </si>
  <si>
    <t>Thomas Danielsen</t>
  </si>
  <si>
    <t>Thomas Donald Duffy</t>
  </si>
  <si>
    <t>Thomas Eilsø</t>
  </si>
  <si>
    <t>Thomas Højhus Fiil</t>
  </si>
  <si>
    <t>T-Nordsj.  Carsten Ingolf Christiansen</t>
  </si>
  <si>
    <t>T-Nordsj. - Nita Senning-Larsen</t>
  </si>
  <si>
    <t>T-Valby  Allan Schumann</t>
  </si>
  <si>
    <t>T-Vest1  Henning Toft Larsen</t>
  </si>
  <si>
    <t>T-Vest1  Stefan Andersen</t>
  </si>
  <si>
    <t>T-Vest2  Michael Toft Nielsen</t>
  </si>
  <si>
    <t>T-Vest2 John Kelly</t>
  </si>
  <si>
    <t>T-Øresund  Eddie Ivan Sarelius</t>
  </si>
  <si>
    <t>T-Øresund  Harley Erik Christiansen</t>
  </si>
  <si>
    <t>Uffe Buchgraitz</t>
  </si>
  <si>
    <t>Waldemar Dzialuk</t>
  </si>
  <si>
    <t>Jørgen Jensen</t>
  </si>
  <si>
    <t>Vicevært (Fast)</t>
  </si>
  <si>
    <t>08 - Svend Erik Bladt</t>
  </si>
  <si>
    <t>Dan Jensen</t>
  </si>
  <si>
    <t>Frank Farenzena</t>
  </si>
  <si>
    <t>Kenneth Voldstedlund</t>
  </si>
  <si>
    <t>Martin Frederiksen</t>
  </si>
  <si>
    <t>Per jensen</t>
  </si>
  <si>
    <t>Per Nilsson</t>
  </si>
  <si>
    <t>Poul Godtfred Sørensen</t>
  </si>
  <si>
    <t>Rolf Milson</t>
  </si>
  <si>
    <t>Stig Voldstedlund</t>
  </si>
  <si>
    <t>Torben Vestergaard Laursen</t>
  </si>
  <si>
    <t>RSM</t>
  </si>
  <si>
    <t>Allan Nymark Andersen-Claus Tornbak</t>
  </si>
  <si>
    <t>John Kelly</t>
  </si>
  <si>
    <t>Michael Toft Nielsen</t>
  </si>
  <si>
    <t>Afventer</t>
  </si>
  <si>
    <t>Lønnummer</t>
  </si>
  <si>
    <t>Medarb.nummer</t>
  </si>
  <si>
    <t>Mobilnr.</t>
  </si>
  <si>
    <t>4870</t>
  </si>
  <si>
    <t>27901934</t>
  </si>
  <si>
    <t>4573</t>
  </si>
  <si>
    <t>27901875</t>
  </si>
  <si>
    <t>5820</t>
  </si>
  <si>
    <t>77890588</t>
  </si>
  <si>
    <t>27901879</t>
  </si>
  <si>
    <t>4968</t>
  </si>
  <si>
    <t>27901941</t>
  </si>
  <si>
    <t>4719</t>
  </si>
  <si>
    <t>27901961</t>
  </si>
  <si>
    <t>5202</t>
  </si>
  <si>
    <t>27901850</t>
  </si>
  <si>
    <t>4830</t>
  </si>
  <si>
    <t>27901917</t>
  </si>
  <si>
    <t>5208</t>
  </si>
  <si>
    <t>27901470</t>
  </si>
  <si>
    <t>4960</t>
  </si>
  <si>
    <t>27901940</t>
  </si>
  <si>
    <t>4598</t>
  </si>
  <si>
    <t>27901889</t>
  </si>
  <si>
    <t>5294</t>
  </si>
  <si>
    <t>27901974</t>
  </si>
  <si>
    <t>5318</t>
  </si>
  <si>
    <t>27901026</t>
  </si>
  <si>
    <t>4985</t>
  </si>
  <si>
    <t>27901864</t>
  </si>
  <si>
    <t>4773</t>
  </si>
  <si>
    <t>27901921</t>
  </si>
  <si>
    <t>4988</t>
  </si>
  <si>
    <t>27901943</t>
  </si>
  <si>
    <t>4860</t>
  </si>
  <si>
    <t>27901932</t>
  </si>
  <si>
    <t>4382</t>
  </si>
  <si>
    <t>27901869</t>
  </si>
  <si>
    <t>5181</t>
  </si>
  <si>
    <t>27901957</t>
  </si>
  <si>
    <t>27901872</t>
  </si>
  <si>
    <t>5786</t>
  </si>
  <si>
    <t>20109685</t>
  </si>
  <si>
    <t>5790</t>
  </si>
  <si>
    <t>27901987</t>
  </si>
  <si>
    <t>5764</t>
  </si>
  <si>
    <t>27901958</t>
  </si>
  <si>
    <t>5788</t>
  </si>
  <si>
    <t>20109682</t>
  </si>
  <si>
    <t>5767</t>
  </si>
  <si>
    <t>27901973</t>
  </si>
  <si>
    <t>4240</t>
  </si>
  <si>
    <t>27901918</t>
  </si>
  <si>
    <t>5256</t>
  </si>
  <si>
    <t>27901977</t>
  </si>
  <si>
    <t>5682</t>
  </si>
  <si>
    <t>61639205</t>
  </si>
  <si>
    <t>5768</t>
  </si>
  <si>
    <t>20109658</t>
  </si>
  <si>
    <t>5775</t>
  </si>
  <si>
    <t>20109660</t>
  </si>
  <si>
    <t>5234</t>
  </si>
  <si>
    <t>27901978</t>
  </si>
  <si>
    <t>5557</t>
  </si>
  <si>
    <t>27901881</t>
  </si>
  <si>
    <t>5769</t>
  </si>
  <si>
    <t>20109657</t>
  </si>
  <si>
    <t>5791</t>
  </si>
  <si>
    <t>20109661</t>
  </si>
  <si>
    <t>19 - Matti Øhlenschlæger Andersen</t>
  </si>
  <si>
    <t>4940</t>
  </si>
  <si>
    <t>27901930</t>
  </si>
  <si>
    <t>5756</t>
  </si>
  <si>
    <t>27901985</t>
  </si>
  <si>
    <t>5796</t>
  </si>
  <si>
    <t>5665</t>
  </si>
  <si>
    <t>27901929</t>
  </si>
  <si>
    <t>5114</t>
  </si>
  <si>
    <t>61556878</t>
  </si>
  <si>
    <t>Bjarne Pedersen</t>
  </si>
  <si>
    <t>5644</t>
  </si>
  <si>
    <t>27901871</t>
  </si>
  <si>
    <t>Bjørn David Schistad Handberg</t>
  </si>
  <si>
    <t>5834</t>
  </si>
  <si>
    <t>27901729</t>
  </si>
  <si>
    <t>5761</t>
  </si>
  <si>
    <t>20109653</t>
  </si>
  <si>
    <t>Camilla Valim</t>
  </si>
  <si>
    <t>5683</t>
  </si>
  <si>
    <t>27901848</t>
  </si>
  <si>
    <t>4869</t>
  </si>
  <si>
    <t>27901935</t>
  </si>
  <si>
    <t>4498</t>
  </si>
  <si>
    <t>+4527901387</t>
  </si>
  <si>
    <t>5005</t>
  </si>
  <si>
    <t>27901968</t>
  </si>
  <si>
    <t>5189</t>
  </si>
  <si>
    <t>27901962</t>
  </si>
  <si>
    <t>5401</t>
  </si>
  <si>
    <t>27901877</t>
  </si>
  <si>
    <t>5771</t>
  </si>
  <si>
    <t>27901735</t>
  </si>
  <si>
    <t>4557</t>
  </si>
  <si>
    <t>27901858</t>
  </si>
  <si>
    <t>Filip Holst</t>
  </si>
  <si>
    <t>5792</t>
  </si>
  <si>
    <t>27901956</t>
  </si>
  <si>
    <t>4768</t>
  </si>
  <si>
    <t>27901863</t>
  </si>
  <si>
    <t>5841</t>
  </si>
  <si>
    <t>5324</t>
  </si>
  <si>
    <t>4034</t>
  </si>
  <si>
    <t>4828</t>
  </si>
  <si>
    <t>27901855</t>
  </si>
  <si>
    <t>Henrik Büchner</t>
  </si>
  <si>
    <t>5832</t>
  </si>
  <si>
    <t>27901732</t>
  </si>
  <si>
    <t>4755</t>
  </si>
  <si>
    <t>77890573</t>
  </si>
  <si>
    <t>4355</t>
  </si>
  <si>
    <t>77890572</t>
  </si>
  <si>
    <t>5242</t>
  </si>
  <si>
    <t>27901954</t>
  </si>
  <si>
    <t>4653</t>
  </si>
  <si>
    <t>27901436</t>
  </si>
  <si>
    <t>5508</t>
  </si>
  <si>
    <t>27901707</t>
  </si>
  <si>
    <t>5822</t>
  </si>
  <si>
    <t>27901628</t>
  </si>
  <si>
    <t>5237</t>
  </si>
  <si>
    <t>+4561201356</t>
  </si>
  <si>
    <t>5493</t>
  </si>
  <si>
    <t>27901206</t>
  </si>
  <si>
    <t>4427</t>
  </si>
  <si>
    <t>27901885</t>
  </si>
  <si>
    <t>5666</t>
  </si>
  <si>
    <t>27901036</t>
  </si>
  <si>
    <t>4969</t>
  </si>
  <si>
    <t>27901942</t>
  </si>
  <si>
    <t>5798</t>
  </si>
  <si>
    <t>77890401</t>
  </si>
  <si>
    <t>100324</t>
  </si>
  <si>
    <t>5532</t>
  </si>
  <si>
    <t>27901886</t>
  </si>
  <si>
    <t>5124</t>
  </si>
  <si>
    <t>21484586</t>
  </si>
  <si>
    <t>5212</t>
  </si>
  <si>
    <t>27901145</t>
  </si>
  <si>
    <t>4376</t>
  </si>
  <si>
    <t>27901867</t>
  </si>
  <si>
    <t>4335</t>
  </si>
  <si>
    <t>27901887</t>
  </si>
  <si>
    <t>5003</t>
  </si>
  <si>
    <t>27901888</t>
  </si>
  <si>
    <t>5770</t>
  </si>
  <si>
    <t>27901139</t>
  </si>
  <si>
    <t>6026</t>
  </si>
  <si>
    <t>Karin Korneliussen</t>
  </si>
  <si>
    <t>4821</t>
  </si>
  <si>
    <t>27901931</t>
  </si>
  <si>
    <t>Kenneth Højlund Gudmandsen</t>
  </si>
  <si>
    <t>5840</t>
  </si>
  <si>
    <t>5031</t>
  </si>
  <si>
    <t>27783706</t>
  </si>
  <si>
    <t>4787</t>
  </si>
  <si>
    <t>27901928</t>
  </si>
  <si>
    <t>5757</t>
  </si>
  <si>
    <t>5274</t>
  </si>
  <si>
    <t>7356</t>
  </si>
  <si>
    <t>5783</t>
  </si>
  <si>
    <t>27901988</t>
  </si>
  <si>
    <t>5824</t>
  </si>
  <si>
    <t>77890587</t>
  </si>
  <si>
    <t>Lene Gedsted Hansen</t>
  </si>
  <si>
    <t>5688</t>
  </si>
  <si>
    <t>27901927</t>
  </si>
  <si>
    <t>5784</t>
  </si>
  <si>
    <t>5249</t>
  </si>
  <si>
    <t>27901976</t>
  </si>
  <si>
    <t>Martin Stendahl</t>
  </si>
  <si>
    <t>4955</t>
  </si>
  <si>
    <t>27901894</t>
  </si>
  <si>
    <t>5825</t>
  </si>
  <si>
    <t>27901738</t>
  </si>
  <si>
    <t>4425</t>
  </si>
  <si>
    <t>27901895</t>
  </si>
  <si>
    <t>Michael Johansen</t>
  </si>
  <si>
    <t>4658</t>
  </si>
  <si>
    <t>27783848</t>
  </si>
  <si>
    <t>5679</t>
  </si>
  <si>
    <t>27901144</t>
  </si>
  <si>
    <t>Michael Randall</t>
  </si>
  <si>
    <t>5830</t>
  </si>
  <si>
    <t>4953</t>
  </si>
  <si>
    <t>27901897</t>
  </si>
  <si>
    <t>Mikkel Brock-Jørgensen</t>
  </si>
  <si>
    <t>5844</t>
  </si>
  <si>
    <t>5797</t>
  </si>
  <si>
    <t>27901992</t>
  </si>
  <si>
    <t>5290</t>
  </si>
  <si>
    <t>27901952</t>
  </si>
  <si>
    <t>Morten Gram</t>
  </si>
  <si>
    <t>4454</t>
  </si>
  <si>
    <t>27901898</t>
  </si>
  <si>
    <t>5315</t>
  </si>
  <si>
    <t>27901013</t>
  </si>
  <si>
    <t>4357</t>
  </si>
  <si>
    <t>27901902</t>
  </si>
  <si>
    <t>4835</t>
  </si>
  <si>
    <t>27901903</t>
  </si>
  <si>
    <t>4239</t>
  </si>
  <si>
    <t>27901904</t>
  </si>
  <si>
    <t>100598</t>
  </si>
  <si>
    <t>5257</t>
  </si>
  <si>
    <t>Per Edson Tang-Nielsen</t>
  </si>
  <si>
    <t>5843</t>
  </si>
  <si>
    <t>5801</t>
  </si>
  <si>
    <t>27901226</t>
  </si>
  <si>
    <t>5842</t>
  </si>
  <si>
    <t>4720</t>
  </si>
  <si>
    <t>27901892</t>
  </si>
  <si>
    <t>100617</t>
  </si>
  <si>
    <t>5169</t>
  </si>
  <si>
    <t>27901959</t>
  </si>
  <si>
    <t>Peter Heide Nielsen</t>
  </si>
  <si>
    <t>5751</t>
  </si>
  <si>
    <t>27901953</t>
  </si>
  <si>
    <t>5772</t>
  </si>
  <si>
    <t>22706998</t>
  </si>
  <si>
    <t>Philip Eland</t>
  </si>
  <si>
    <t>5674</t>
  </si>
  <si>
    <t>27901502</t>
  </si>
  <si>
    <t>5097</t>
  </si>
  <si>
    <t>5180</t>
  </si>
  <si>
    <t>Poul Hansen</t>
  </si>
  <si>
    <t>5833</t>
  </si>
  <si>
    <t>27901728</t>
  </si>
  <si>
    <t>4518</t>
  </si>
  <si>
    <t>27901907</t>
  </si>
  <si>
    <t>4971</t>
  </si>
  <si>
    <t>27901920</t>
  </si>
  <si>
    <t>5120</t>
  </si>
  <si>
    <t>27901899</t>
  </si>
  <si>
    <t>4346</t>
  </si>
  <si>
    <t>61554419</t>
  </si>
  <si>
    <t>Rita Dandanell</t>
  </si>
  <si>
    <t>4673</t>
  </si>
  <si>
    <t>27901919</t>
  </si>
  <si>
    <t>5381</t>
  </si>
  <si>
    <t>30515534</t>
  </si>
  <si>
    <t>Rudi Brøchmann Christiansen</t>
  </si>
  <si>
    <t>4936</t>
  </si>
  <si>
    <t>27901908</t>
  </si>
  <si>
    <t>5809</t>
  </si>
  <si>
    <t>27901937</t>
  </si>
  <si>
    <t>Simon Barfod</t>
  </si>
  <si>
    <t>4674</t>
  </si>
  <si>
    <t>27901910</t>
  </si>
  <si>
    <t>5191</t>
  </si>
  <si>
    <t>27901966</t>
  </si>
  <si>
    <t>5255</t>
  </si>
  <si>
    <t>27901911</t>
  </si>
  <si>
    <t>5098</t>
  </si>
  <si>
    <t>+4529122701</t>
  </si>
  <si>
    <t>5030</t>
  </si>
  <si>
    <t>61204648</t>
  </si>
  <si>
    <t>5675</t>
  </si>
  <si>
    <t>27901115</t>
  </si>
  <si>
    <t>4614</t>
  </si>
  <si>
    <t>27901866</t>
  </si>
  <si>
    <t>5681</t>
  </si>
  <si>
    <t>77890568</t>
  </si>
  <si>
    <t>5196</t>
  </si>
  <si>
    <t>27901965</t>
  </si>
  <si>
    <t>4472</t>
  </si>
  <si>
    <t>77890461</t>
  </si>
  <si>
    <t>4167</t>
  </si>
  <si>
    <t>27901914</t>
  </si>
  <si>
    <t>5500</t>
  </si>
  <si>
    <t>27901019</t>
  </si>
  <si>
    <t>4901</t>
  </si>
  <si>
    <t>27901938</t>
  </si>
  <si>
    <t>5650</t>
  </si>
  <si>
    <t>27901016</t>
  </si>
  <si>
    <t>5264</t>
  </si>
  <si>
    <t>25277437</t>
  </si>
  <si>
    <t>5667</t>
  </si>
  <si>
    <t>27901034</t>
  </si>
  <si>
    <t>Tobias Nielsen</t>
  </si>
  <si>
    <t>4721</t>
  </si>
  <si>
    <t>27901926</t>
  </si>
  <si>
    <t>Tommy Greve Rasmussen</t>
  </si>
  <si>
    <t>5774</t>
  </si>
  <si>
    <t>27901509</t>
  </si>
  <si>
    <t>101322</t>
  </si>
  <si>
    <t>5690</t>
  </si>
  <si>
    <t>27901947</t>
  </si>
  <si>
    <t>5678</t>
  </si>
  <si>
    <t>27901716</t>
  </si>
  <si>
    <t>4115</t>
  </si>
  <si>
    <t>77890571</t>
  </si>
  <si>
    <t>5461</t>
  </si>
  <si>
    <t>77890420</t>
  </si>
  <si>
    <t>4093</t>
  </si>
  <si>
    <t>77890416</t>
  </si>
  <si>
    <t>4702</t>
  </si>
  <si>
    <t>77890577</t>
  </si>
  <si>
    <t>4752</t>
  </si>
  <si>
    <t>61639216</t>
  </si>
  <si>
    <t>4748</t>
  </si>
  <si>
    <t>61639206</t>
  </si>
  <si>
    <t>4317</t>
  </si>
  <si>
    <t>4942</t>
  </si>
  <si>
    <t>27901939</t>
  </si>
  <si>
    <t>SC</t>
  </si>
  <si>
    <t>Hos DR</t>
  </si>
  <si>
    <t xml:space="preserve">GRUPPE - </t>
  </si>
  <si>
    <t>Feje/suge</t>
  </si>
  <si>
    <t>CTS</t>
  </si>
  <si>
    <t>Kr/år</t>
  </si>
  <si>
    <t>THOL</t>
  </si>
  <si>
    <t>STAN</t>
  </si>
  <si>
    <t>CHBU</t>
  </si>
  <si>
    <t>DPJ</t>
  </si>
  <si>
    <t>SBLA</t>
  </si>
  <si>
    <t>ALT</t>
  </si>
  <si>
    <t>JESK</t>
  </si>
  <si>
    <t>hosDR</t>
  </si>
  <si>
    <t>E/F Quintus Bastion</t>
  </si>
  <si>
    <t>E/F</t>
  </si>
  <si>
    <t>Krudtløbsvej 10-36</t>
  </si>
  <si>
    <t>Jakob Ståhl Mortensen -Michael Nedergaard</t>
  </si>
  <si>
    <t>Under opførelse</t>
  </si>
  <si>
    <t>Ingen FS</t>
  </si>
  <si>
    <t>Kun SC</t>
  </si>
  <si>
    <t>30.09.2020</t>
  </si>
  <si>
    <t>Genforhandling - kan ikke finde opstartsdato</t>
  </si>
  <si>
    <t>Ingen kalkulationer</t>
  </si>
  <si>
    <t>SC inkl. Kontor</t>
  </si>
  <si>
    <t>Kun DL og DR timer</t>
  </si>
  <si>
    <t>Overordnet</t>
  </si>
  <si>
    <t>25 timer pr. uge</t>
  </si>
  <si>
    <t>Gårdmand inkl. Gartner</t>
  </si>
  <si>
    <t>ca. 1995</t>
  </si>
  <si>
    <t>link_esdh
timeafregnes</t>
  </si>
  <si>
    <t>Hannemanns Allé 30 (Zleep)</t>
  </si>
  <si>
    <t>Hannemanns Allé 30 (Fællesområde)</t>
  </si>
  <si>
    <t>Ligger under "tabte" sager i tilbud</t>
  </si>
  <si>
    <t>Revideret kontrakt</t>
  </si>
  <si>
    <t>Ligger under "parkeret" sager i tilbud</t>
  </si>
  <si>
    <t>Ejendom ligger også under Lars-Peter</t>
  </si>
  <si>
    <t>Ligger under "opsagte" sager i tilbud</t>
  </si>
  <si>
    <t>Kun vedlagt 'allonge' dokumenter</t>
  </si>
  <si>
    <t>Revideret tilbud</t>
  </si>
  <si>
    <t>Kun FS-aftale, ingen kalkulationer</t>
  </si>
  <si>
    <t xml:space="preserve">VV ydelser ligger under gartner ift. kalkulationer </t>
  </si>
  <si>
    <t>Kun oversigtskort, ingen FS-aftale eller tilhørende kalkulationer</t>
  </si>
  <si>
    <t>Kun snerydning - ingen kalkulationer</t>
  </si>
  <si>
    <t>Kun FS-aftale, ingen tilhørende kalkulationer</t>
  </si>
  <si>
    <t>Ejendom er allerede inkluderet på driftleder</t>
  </si>
  <si>
    <t>Kun vedlagt SLA bilag i FS-aftale, intet time antal på ydelser</t>
  </si>
  <si>
    <t>Ejendom står her to gange?</t>
  </si>
  <si>
    <t>Alle tre ejendomme indgår i FS-aftale og kalkulationer</t>
  </si>
  <si>
    <t>Ligger under "parkeret og tabte" sager i tilbud</t>
  </si>
  <si>
    <t>Kun FS-aftale ingen kalkulationer</t>
  </si>
  <si>
    <t>Revideret aftale</t>
  </si>
  <si>
    <t>Ligger samlet i en FS-aftale, kun samlet pris for hver enkelt ejendom - ingen kalkulationer enkeltvis</t>
  </si>
  <si>
    <t>Kundespecifik aftale til VV 37 t/uge</t>
  </si>
  <si>
    <t>Står der to gange?</t>
  </si>
  <si>
    <t>Tilsyneladende ingen FS-aftale</t>
  </si>
  <si>
    <t>http://esdh/locator.aspx?name=DMS.Document.Details.Simplified.2&amp;recno=1426480&amp;module=Document&amp;VerID=1494736&amp;subtype=2</t>
  </si>
  <si>
    <t xml:space="preserve"> Tilsyneladende ingen FS-aftale</t>
  </si>
  <si>
    <t>Hedder den 087-515 på FS-drev?</t>
  </si>
  <si>
    <t>Samme ejendom står her allerede?</t>
  </si>
  <si>
    <t>Kun SC - ingen aftale eller faktura på SC</t>
  </si>
  <si>
    <t>Mappen er tom på FS drev</t>
  </si>
  <si>
    <t>Ligger under en ejendomsoversigt, men ingen kalkulationer</t>
  </si>
  <si>
    <t>Hedder 008-197 på FS-drev</t>
  </si>
  <si>
    <t>Kun flytning indgår i ydelser, ingen kalkulationer</t>
  </si>
  <si>
    <t>Antal VV timer ændres. 37 t/uge 1. år, 32 t/uge 2. år, 27,5 t/uge 3. år</t>
  </si>
  <si>
    <t>Ændring i antal VV timer pr uge efter 6 mdr drift, 37 t/uge første 6 mdr, derefter 21 t/uge</t>
  </si>
  <si>
    <t xml:space="preserve">Ændring i antal VV timer pr uge, starter med 37 t/uge, derefter 18/t uge fra 1/8/2019 </t>
  </si>
  <si>
    <t xml:space="preserve">Ændring i antal VV timer pr uge, starter med 37 t/uge, derefter 18/t uge fra 1/4/2019 </t>
  </si>
  <si>
    <t>VV timer ændres efter 1 års. Drift, starter med 37 t/uge, derefter 28 t/uge fra 1/4/2019 og fremad</t>
  </si>
  <si>
    <t>Gårdmand og Gartner</t>
  </si>
  <si>
    <t>Scannet FS-aftale siger denne dato - kalkulationer viser en anden, 01/03/2016</t>
  </si>
  <si>
    <t xml:space="preserve">Kun scannet FS-aftale, afsat 6 timer per uge. i ydelsesbeskrivelser </t>
  </si>
  <si>
    <t>FS-aftale</t>
  </si>
  <si>
    <t>2301</t>
  </si>
  <si>
    <t>JA</t>
  </si>
  <si>
    <t>NEJ</t>
  </si>
  <si>
    <t>Ingen FS -</t>
  </si>
  <si>
    <t>Ingen FS -  det er en domicil ejendom. Lejer har selv alt drift på matriklen.</t>
  </si>
  <si>
    <t>MIC undersøger sagen</t>
  </si>
  <si>
    <t>Ingen FS - MIC undersøger sagen</t>
  </si>
  <si>
    <t>Ingen FS-aftale - MIC undersøger</t>
  </si>
  <si>
    <t xml:space="preserve">JA </t>
  </si>
  <si>
    <t>Tilsyneladende ingen FS aftale - Aftalen ligger på 8-249 - E/F Riffelsyndikatet</t>
  </si>
  <si>
    <t>NEj</t>
  </si>
  <si>
    <t>Ligger under "opsagte" sager i tilbud - ER opsagt</t>
  </si>
  <si>
    <t>Ja</t>
  </si>
  <si>
    <t>Delt arbejde mellem fast mand og FS. Vi udfører grå og grønne opgaver.</t>
  </si>
  <si>
    <t>Tilsyneladende ingen FS-aftale - Administreaaftale</t>
  </si>
  <si>
    <t>Administreaaftale</t>
  </si>
  <si>
    <t>Tilsyneladende ingen FS-aftale - ad hoc. ydelser</t>
  </si>
  <si>
    <t>Tilsyneladende ingen FS-aftale - ad hoc ydelser</t>
  </si>
  <si>
    <t>2. drfitsår</t>
  </si>
  <si>
    <t>3. driftsår og fremad</t>
  </si>
  <si>
    <t>Tvivl om opstartsdato</t>
  </si>
  <si>
    <t xml:space="preserve">Samlet pris = 170.270 kr. </t>
  </si>
  <si>
    <t xml:space="preserve">Samlet pris = 13.400 kr. </t>
  </si>
  <si>
    <t xml:space="preserve">Samlet pris = 21.800 kr.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</si>
</sst>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kr.&quot;"/>
    <numFmt numFmtId="165" formatCode="#,##0.00\ [$kr.-406]"/>
    <numFmt numFmtId="166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DDDD"/>
        <bgColor rgb="FF000000"/>
      </patternFill>
    </fill>
    <fill>
      <patternFill patternType="solid">
        <fgColor rgb="FFEEEE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60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AAAAAA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000000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0" borderId="0"/>
    <xf numFmtId="0" fontId="11" fillId="5" borderId="0" applyNumberFormat="0" applyBorder="0" applyAlignment="0" applyProtection="0"/>
    <xf numFmtId="0" fontId="2" fillId="6" borderId="0" applyNumberFormat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166" fontId="2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3" borderId="1" xfId="2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3" borderId="1" xfId="2" applyFont="1" applyBorder="1"/>
    <xf numFmtId="0" fontId="2" fillId="3" borderId="1" xfId="2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 applyAlignment="1"/>
    <xf numFmtId="0" fontId="5" fillId="0" borderId="2" xfId="0" applyFont="1" applyBorder="1" applyAlignment="1">
      <alignment horizontal="left"/>
    </xf>
    <xf numFmtId="0" fontId="4" fillId="0" borderId="0" xfId="0" applyFont="1" applyAlignment="1"/>
    <xf numFmtId="0" fontId="1" fillId="0" borderId="0" xfId="4"/>
    <xf numFmtId="0" fontId="5" fillId="0" borderId="2" xfId="0" applyFont="1" applyBorder="1" applyAlignment="1"/>
    <xf numFmtId="0" fontId="5" fillId="0" borderId="2" xfId="0" applyFont="1" applyBorder="1" applyAlignment="1">
      <alignment horizontal="left"/>
    </xf>
    <xf numFmtId="0" fontId="4" fillId="0" borderId="0" xfId="0" applyFont="1" applyAlignment="1"/>
    <xf numFmtId="0" fontId="8" fillId="0" borderId="0" xfId="0" applyFont="1" applyAlignment="1">
      <alignment horizontal="left"/>
    </xf>
    <xf numFmtId="0" fontId="9" fillId="0" borderId="3" xfId="0" applyFont="1" applyBorder="1"/>
    <xf numFmtId="0" fontId="4" fillId="0" borderId="4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4" fillId="0" borderId="8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/>
    <xf numFmtId="0" fontId="0" fillId="0" borderId="0" xfId="0" applyAlignment="1">
      <alignment horizontal="center" wrapText="1"/>
    </xf>
    <xf numFmtId="0" fontId="4" fillId="0" borderId="0" xfId="0" applyFont="1" applyAlignment="1"/>
    <xf numFmtId="0" fontId="5" fillId="0" borderId="2" xfId="0" applyFont="1" applyBorder="1" applyAlignment="1">
      <alignment horizontal="left"/>
    </xf>
    <xf numFmtId="0" fontId="2" fillId="0" borderId="0" xfId="1" applyFill="1" applyAlignment="1">
      <alignment horizontal="left"/>
    </xf>
    <xf numFmtId="0" fontId="2" fillId="0" borderId="0" xfId="1" applyFill="1" applyAlignment="1">
      <alignment horizontal="center"/>
    </xf>
    <xf numFmtId="0" fontId="2" fillId="0" borderId="0" xfId="1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 applyAlignment="1"/>
    <xf numFmtId="0" fontId="0" fillId="0" borderId="0" xfId="0" applyFill="1" applyAlignment="1">
      <alignment horizontal="left"/>
    </xf>
    <xf numFmtId="0" fontId="10" fillId="0" borderId="0" xfId="0" quotePrefix="1" applyFont="1" applyFill="1" applyBorder="1" applyAlignment="1">
      <alignment horizontal="left"/>
    </xf>
    <xf numFmtId="0" fontId="10" fillId="0" borderId="0" xfId="0" quotePrefix="1" applyFont="1" applyFill="1" applyAlignment="1">
      <alignment horizontal="left"/>
    </xf>
    <xf numFmtId="0" fontId="10" fillId="0" borderId="0" xfId="3" applyFont="1" applyFill="1" applyBorder="1" applyAlignment="1">
      <alignment horizontal="left"/>
    </xf>
    <xf numFmtId="0" fontId="10" fillId="0" borderId="0" xfId="3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vertical="center" wrapText="1"/>
    </xf>
    <xf numFmtId="0" fontId="2" fillId="0" borderId="0" xfId="6" applyFill="1" applyAlignment="1">
      <alignment vertical="center"/>
    </xf>
    <xf numFmtId="0" fontId="11" fillId="5" borderId="0" xfId="5"/>
    <xf numFmtId="0" fontId="0" fillId="0" borderId="0" xfId="0" applyAlignment="1">
      <alignment horizontal="center"/>
    </xf>
    <xf numFmtId="49" fontId="5" fillId="0" borderId="0" xfId="0" quotePrefix="1" applyNumberFormat="1" applyFont="1"/>
    <xf numFmtId="0" fontId="2" fillId="0" borderId="0" xfId="2" applyFill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0" fillId="0" borderId="0" xfId="2" applyFont="1" applyFill="1" applyBorder="1"/>
    <xf numFmtId="0" fontId="0" fillId="0" borderId="0" xfId="2" applyFont="1" applyFill="1" applyBorder="1" applyAlignment="1">
      <alignment horizontal="left"/>
    </xf>
    <xf numFmtId="0" fontId="0" fillId="0" borderId="0" xfId="2" quotePrefix="1" applyFont="1" applyFill="1" applyBorder="1" applyAlignment="1">
      <alignment horizontal="left"/>
    </xf>
    <xf numFmtId="0" fontId="0" fillId="0" borderId="0" xfId="2" applyFont="1" applyFill="1" applyBorder="1" applyAlignment="1">
      <alignment horizontal="center"/>
    </xf>
    <xf numFmtId="0" fontId="11" fillId="5" borderId="0" xfId="5" applyAlignment="1">
      <alignment vertical="center" wrapText="1"/>
    </xf>
    <xf numFmtId="0" fontId="0" fillId="7" borderId="0" xfId="0" applyFill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1" xfId="2" applyFont="1" applyBorder="1" applyAlignment="1">
      <alignment horizontal="left"/>
    </xf>
    <xf numFmtId="0" fontId="10" fillId="0" borderId="0" xfId="0" applyFont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Border="1"/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NumberFormat="1" applyFill="1" applyAlignment="1">
      <alignment horizontal="center"/>
    </xf>
    <xf numFmtId="0" fontId="0" fillId="17" borderId="0" xfId="0" applyNumberFormat="1" applyFill="1" applyAlignment="1">
      <alignment horizontal="center"/>
    </xf>
    <xf numFmtId="0" fontId="0" fillId="0" borderId="0" xfId="0" applyFill="1" applyBorder="1"/>
    <xf numFmtId="0" fontId="0" fillId="0" borderId="3" xfId="0" applyBorder="1"/>
    <xf numFmtId="0" fontId="0" fillId="0" borderId="0" xfId="0" applyAlignment="1">
      <alignment horizontal="center" vertical="top"/>
    </xf>
    <xf numFmtId="0" fontId="12" fillId="0" borderId="0" xfId="0" applyFont="1" applyAlignment="1">
      <alignment horizontal="center"/>
    </xf>
    <xf numFmtId="0" fontId="12" fillId="0" borderId="0" xfId="0" quotePrefix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0" fillId="15" borderId="0" xfId="0" applyFill="1"/>
    <xf numFmtId="0" fontId="0" fillId="15" borderId="0" xfId="0" applyFill="1" applyAlignment="1">
      <alignment horizontal="left"/>
    </xf>
    <xf numFmtId="0" fontId="4" fillId="0" borderId="0" xfId="0" applyFont="1" applyAlignment="1"/>
    <xf numFmtId="0" fontId="5" fillId="0" borderId="2" xfId="0" applyFont="1" applyBorder="1" applyAlignment="1">
      <alignment horizontal="left"/>
    </xf>
    <xf numFmtId="0" fontId="4" fillId="0" borderId="0" xfId="0" applyFont="1" applyAlignment="1"/>
    <xf numFmtId="0" fontId="5" fillId="0" borderId="2" xfId="0" applyFont="1" applyBorder="1" applyAlignment="1">
      <alignment horizontal="left"/>
    </xf>
    <xf numFmtId="0" fontId="0" fillId="18" borderId="10" xfId="0" applyFill="1" applyBorder="1"/>
    <xf numFmtId="0" fontId="0" fillId="18" borderId="11" xfId="0" applyFill="1" applyBorder="1"/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15" fillId="20" borderId="12" xfId="7" applyFont="1" applyFill="1" applyBorder="1" applyAlignment="1">
      <alignment horizontal="center"/>
    </xf>
    <xf numFmtId="0" fontId="15" fillId="20" borderId="13" xfId="7" applyFont="1" applyFill="1" applyBorder="1" applyAlignment="1">
      <alignment horizontal="center"/>
    </xf>
    <xf numFmtId="0" fontId="14" fillId="0" borderId="14" xfId="7" applyBorder="1" applyAlignment="1">
      <alignment horizontal="left"/>
    </xf>
    <xf numFmtId="0" fontId="14" fillId="0" borderId="14" xfId="7" applyBorder="1" applyAlignment="1">
      <alignment horizontal="right"/>
    </xf>
    <xf numFmtId="0" fontId="14" fillId="0" borderId="15" xfId="7" applyBorder="1" applyAlignment="1">
      <alignment horizontal="right"/>
    </xf>
    <xf numFmtId="0" fontId="14" fillId="21" borderId="14" xfId="7" applyFill="1" applyBorder="1" applyAlignment="1">
      <alignment horizontal="left"/>
    </xf>
    <xf numFmtId="0" fontId="14" fillId="21" borderId="14" xfId="7" applyFill="1" applyBorder="1" applyAlignment="1">
      <alignment horizontal="right"/>
    </xf>
    <xf numFmtId="0" fontId="14" fillId="21" borderId="15" xfId="7" applyFill="1" applyBorder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5" fillId="0" borderId="2" xfId="0" applyFont="1" applyBorder="1" applyAlignment="1">
      <alignment horizontal="left"/>
    </xf>
    <xf numFmtId="0" fontId="2" fillId="3" borderId="16" xfId="2" applyFont="1" applyBorder="1" applyAlignment="1">
      <alignment horizontal="center"/>
    </xf>
    <xf numFmtId="0" fontId="2" fillId="3" borderId="16" xfId="2" applyBorder="1" applyAlignment="1">
      <alignment horizontal="center"/>
    </xf>
    <xf numFmtId="0" fontId="2" fillId="3" borderId="16" xfId="2" applyFont="1" applyBorder="1"/>
    <xf numFmtId="0" fontId="2" fillId="3" borderId="16" xfId="2" applyFont="1" applyBorder="1" applyAlignment="1">
      <alignment horizontal="left"/>
    </xf>
    <xf numFmtId="0" fontId="0" fillId="3" borderId="16" xfId="2" applyFont="1" applyBorder="1" applyAlignment="1">
      <alignment horizontal="left"/>
    </xf>
    <xf numFmtId="0" fontId="0" fillId="18" borderId="17" xfId="0" applyFill="1" applyBorder="1"/>
    <xf numFmtId="0" fontId="0" fillId="18" borderId="2" xfId="0" applyFill="1" applyBorder="1"/>
    <xf numFmtId="0" fontId="0" fillId="0" borderId="0" xfId="3" applyFont="1" applyFill="1" applyAlignment="1">
      <alignment horizontal="center"/>
    </xf>
    <xf numFmtId="0" fontId="0" fillId="25" borderId="0" xfId="0" applyFill="1"/>
    <xf numFmtId="0" fontId="0" fillId="25" borderId="0" xfId="0" applyFill="1" applyAlignment="1">
      <alignment wrapText="1"/>
    </xf>
    <xf numFmtId="14" fontId="0" fillId="0" borderId="0" xfId="0" applyNumberFormat="1" applyAlignment="1"/>
    <xf numFmtId="14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 applyAlignment="1"/>
    <xf numFmtId="164" fontId="0" fillId="0" borderId="0" xfId="0" applyNumberFormat="1" applyAlignmen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165" fontId="0" fillId="0" borderId="0" xfId="0" applyNumberFormat="1" applyAlignment="1"/>
    <xf numFmtId="165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Fill="1" applyAlignment="1"/>
    <xf numFmtId="2" fontId="0" fillId="0" borderId="0" xfId="0" applyNumberFormat="1" applyFill="1" applyAlignment="1"/>
    <xf numFmtId="14" fontId="0" fillId="0" borderId="0" xfId="0" applyNumberFormat="1" applyFill="1" applyAlignment="1"/>
    <xf numFmtId="14" fontId="0" fillId="0" borderId="0" xfId="0" applyNumberFormat="1" applyFill="1"/>
    <xf numFmtId="0" fontId="10" fillId="25" borderId="0" xfId="0" applyFont="1" applyFill="1"/>
    <xf numFmtId="164" fontId="0" fillId="0" borderId="0" xfId="0" applyNumberFormat="1" applyFill="1" applyAlignment="1">
      <alignment horizontal="right"/>
    </xf>
    <xf numFmtId="0" fontId="17" fillId="0" borderId="0" xfId="8" applyAlignment="1">
      <alignment wrapText="1"/>
    </xf>
    <xf numFmtId="0" fontId="0" fillId="0" borderId="0" xfId="0"/>
    <xf numFmtId="0" fontId="0" fillId="0" borderId="0" xfId="0" applyFill="1"/>
    <xf numFmtId="14" fontId="0" fillId="0" borderId="0" xfId="0" applyNumberFormat="1"/>
    <xf numFmtId="2" fontId="0" fillId="0" borderId="0" xfId="0" applyNumberFormat="1" applyFont="1" applyBorder="1" applyAlignment="1">
      <alignment horizontal="right"/>
    </xf>
    <xf numFmtId="164" fontId="0" fillId="0" borderId="0" xfId="0" applyNumberFormat="1" applyFont="1" applyBorder="1" applyAlignment="1">
      <alignment horizontal="right"/>
    </xf>
    <xf numFmtId="14" fontId="0" fillId="0" borderId="0" xfId="0" applyNumberFormat="1" applyFont="1" applyBorder="1" applyAlignment="1">
      <alignment horizontal="right"/>
    </xf>
    <xf numFmtId="2" fontId="0" fillId="0" borderId="0" xfId="0" applyNumberFormat="1" applyFill="1" applyAlignment="1">
      <alignment horizontal="right"/>
    </xf>
    <xf numFmtId="14" fontId="0" fillId="0" borderId="0" xfId="0" applyNumberFormat="1" applyFill="1" applyAlignment="1">
      <alignment horizontal="right"/>
    </xf>
    <xf numFmtId="164" fontId="0" fillId="0" borderId="0" xfId="0" quotePrefix="1" applyNumberFormat="1" applyAlignment="1">
      <alignment horizontal="right"/>
    </xf>
    <xf numFmtId="0" fontId="17" fillId="0" borderId="0" xfId="8"/>
    <xf numFmtId="0" fontId="0" fillId="25" borderId="0" xfId="2" applyFont="1" applyFill="1" applyBorder="1"/>
    <xf numFmtId="0" fontId="0" fillId="26" borderId="0" xfId="0" applyFill="1"/>
    <xf numFmtId="0" fontId="0" fillId="26" borderId="0" xfId="0" applyFill="1" applyAlignment="1">
      <alignment wrapText="1"/>
    </xf>
    <xf numFmtId="0" fontId="0" fillId="27" borderId="0" xfId="0" applyFill="1"/>
    <xf numFmtId="0" fontId="0" fillId="28" borderId="0" xfId="0" applyFill="1"/>
    <xf numFmtId="0" fontId="10" fillId="26" borderId="0" xfId="0" applyFont="1" applyFill="1"/>
    <xf numFmtId="0" fontId="0" fillId="2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19" borderId="2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0" fillId="24" borderId="2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</cellXfs>
  <cellStyles count="10">
    <cellStyle name="40 % - Farve2" xfId="1" builtinId="35"/>
    <cellStyle name="40 % - Farve4" xfId="6" builtinId="43"/>
    <cellStyle name="40 % - Farve5" xfId="2" builtinId="47"/>
    <cellStyle name="God" xfId="3" builtinId="26"/>
    <cellStyle name="Komma 2" xfId="9" xr:uid="{6AE72429-CAA8-4C8A-A54E-6790B6002669}"/>
    <cellStyle name="Link" xfId="8" builtinId="8"/>
    <cellStyle name="Neutral" xfId="5" builtinId="28"/>
    <cellStyle name="Normal" xfId="0" builtinId="0"/>
    <cellStyle name="Normal 2" xfId="4" xr:uid="{00000000-0005-0000-0000-000006000000}"/>
    <cellStyle name="Normal 3" xfId="7" xr:uid="{FA249662-61B8-424A-B3BC-2A0F3EA060D6}"/>
  </cellStyles>
  <dxfs count="289">
    <dxf>
      <alignment horizontal="center" vertical="bottom" textRotation="0" wrapText="0" indent="0" justifyLastLine="0" shrinkToFit="0" readingOrder="0"/>
    </dxf>
    <dxf>
      <numFmt numFmtId="167" formatCode="m/d/yyyy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7" formatCode="m/d/yyyy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numFmt numFmtId="167" formatCode="m/d/yyyy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7" formatCode="m/d/yyyy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67" formatCode="m/d/yyyy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7" formatCode="m/d/yyyy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7" formatCode="m/d/yyyy"/>
    </dxf>
    <dxf>
      <numFmt numFmtId="164" formatCode="#,##0.00\ &quot;kr.&quot;"/>
    </dxf>
    <dxf>
      <numFmt numFmtId="164" formatCode="#,##0.00\ &quot;kr.&quot;"/>
    </dxf>
    <dxf>
      <numFmt numFmtId="2" formatCode="0.00"/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#,##0.00\ &quot;kr.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4" formatCode="#,##0.00\ &quot;kr.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2D050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167" formatCode="m/d/yyyy"/>
    </dxf>
    <dxf>
      <numFmt numFmtId="164" formatCode="#,##0.00\ &quot;kr.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numFmt numFmtId="164" formatCode="#,##0.00\ &quot;kr.&quot;"/>
      <alignment horizontal="general" vertical="bottom" textRotation="0" wrapText="0" indent="0" justifyLastLine="0" shrinkToFit="0" readingOrder="0"/>
    </dxf>
    <dxf>
      <numFmt numFmtId="164" formatCode="#,##0.00\ &quot;kr.&quot;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C6E0B4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164" formatCode="#,##0.00\ &quot;kr.&quot;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5" formatCode="#,##0.00\ [$kr.-406]"/>
      <alignment horizontal="general" vertical="bottom" textRotation="0" wrapText="0" indent="0" justifyLastLine="0" shrinkToFit="0" readingOrder="0"/>
    </dxf>
    <dxf>
      <numFmt numFmtId="164" formatCode="#,##0.00\ &quot;kr.&quot;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colors>
    <mruColors>
      <color rgb="FFE5605D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18ECF-F264-45B4-AEE9-8971139B79B9}" name="Peter1" displayName="Peter1" ref="A9:U45" totalsRowShown="0" headerRowDxfId="288" dataDxfId="286" headerRowBorderDxfId="287" tableBorderDxfId="285">
  <autoFilter ref="A9:U45" xr:uid="{1F29CD4A-2093-4A3B-BDF2-30E911EF6702}"/>
  <tableColumns count="21">
    <tableColumn id="1" xr3:uid="{62BF2780-01B8-4354-9EDC-3732C9651751}" name="DL"/>
    <tableColumn id="2" xr3:uid="{64A48CC4-BB9C-428D-BE17-8A022CE8A892}" name="Kunde" dataDxfId="284"/>
    <tableColumn id="3" xr3:uid="{9B681760-437F-48ED-9D7D-0CA8A0E97D8A}" name="Selskab" dataDxfId="283"/>
    <tableColumn id="4" xr3:uid="{A7C68A4F-1BC9-43EC-9C58-1700BFD3534C}" name="Ejendoms nr" dataDxfId="282"/>
    <tableColumn id="5" xr3:uid="{4AFE6862-4E44-41CF-A70A-DC517587F3CF}" name="Gruppe" dataDxfId="281"/>
    <tableColumn id="6" xr3:uid="{4982E851-B6D1-4827-93A5-EA6E5A4AD751}" name="Ejendom"/>
    <tableColumn id="7" xr3:uid="{53719C78-D4AF-4701-9CED-E9EF5A6CC417}" name="Adresse" dataDxfId="280"/>
    <tableColumn id="8" xr3:uid="{38DB5DA9-650C-4A14-BEAC-29C9F04776B7}" name="Post nr" dataDxfId="279"/>
    <tableColumn id="9" xr3:uid="{0AD29F77-A047-49AE-9038-048364DE4BF1}" name="By" dataDxfId="278"/>
    <tableColumn id="10" xr3:uid="{2A717F00-72CF-4D3E-9B08-F2E72215B86F}" name="Viceværter"/>
    <tableColumn id="11" xr3:uid="{0E19532B-A774-4907-A4C8-639B8B54079D}" name="Ny vicevært"/>
    <tableColumn id="12" xr3:uid="{8B10AC4E-AD4B-40CC-9B93-839C2BDE4E1C}" name="Kategori" dataDxfId="277"/>
    <tableColumn id="13" xr3:uid="{1B5B8732-C9E0-4CBD-A465-D3C0A51542A3}" name="Vicevært" dataDxfId="276"/>
    <tableColumn id="14" xr3:uid="{73019B6C-4143-44CD-AD30-9C15E6031761}" name="Gartner" dataDxfId="275"/>
    <tableColumn id="19" xr3:uid="{623FB1BF-C435-44D4-A547-C4D33EBA7B6C}" name="Feje/suge" dataDxfId="274"/>
    <tableColumn id="20" xr3:uid="{BD59B087-D83A-4826-8DC5-EFEF039BEBAF}" name="CTS" dataDxfId="273"/>
    <tableColumn id="15" xr3:uid="{41136790-C48D-4039-8F31-BC01E3275A1D}" name="SC" dataDxfId="272"/>
    <tableColumn id="16" xr3:uid="{21BA63D1-BF05-4098-9863-28122F92359A}" name="Opstartsdato" dataDxfId="271"/>
    <tableColumn id="17" xr3:uid="{BBC2BD58-E9B0-49C1-B0D1-7AEB1D79A56B}" name="Slutdato" dataDxfId="270"/>
    <tableColumn id="21" xr3:uid="{50C5D1C9-C03E-442D-A901-F6904B36D7E2}" name="FS-aftale" dataDxfId="269"/>
    <tableColumn id="18" xr3:uid="{949A887A-D9A3-4E4A-8162-C0DA00B1421A}" name="Kommentar" dataDxfId="2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60AA3-0CA9-44CA-A4D6-617FC7C5C001}" name="LarsPeter1" displayName="LarsPeter1" ref="A9:U33" totalsRowShown="0" headerRowDxfId="267" headerRowBorderDxfId="266" tableBorderDxfId="265">
  <autoFilter ref="A9:U33" xr:uid="{70156421-7AD6-48CC-921E-E1CD3E707E26}"/>
  <tableColumns count="21">
    <tableColumn id="1" xr3:uid="{CB801717-3CD9-4C77-A0A2-DCDEE5024B87}" name="DL"/>
    <tableColumn id="2" xr3:uid="{A13BC9B2-BBF3-4D13-8645-DE36546687D7}" name="Kunde" dataDxfId="264"/>
    <tableColumn id="3" xr3:uid="{FD6F9639-47A8-4DE7-B9E6-F11C2E129FA2}" name="Selskab" dataDxfId="263"/>
    <tableColumn id="4" xr3:uid="{6B4AD356-2676-4784-8975-E88440D93F0C}" name="Ejendoms nr" dataDxfId="262"/>
    <tableColumn id="5" xr3:uid="{776A8B92-55D6-416C-AE5A-3119EF5DC860}" name="Gruppe" dataDxfId="261"/>
    <tableColumn id="6" xr3:uid="{51CF8648-BA1D-42D8-BAFB-93A25DA1BE44}" name="Ejendom"/>
    <tableColumn id="7" xr3:uid="{177D1718-889D-45B8-8BD9-B9D2BE28D227}" name="Adresse"/>
    <tableColumn id="8" xr3:uid="{A095FEC2-A67A-495B-A372-4AEBF472DF31}" name="Post nr" dataDxfId="260"/>
    <tableColumn id="9" xr3:uid="{382EFD82-9E36-4CA1-AA77-EB4AD9E09680}" name="By"/>
    <tableColumn id="10" xr3:uid="{8731B176-A91B-44D9-8211-A1E89869EABE}" name="Viceværter"/>
    <tableColumn id="11" xr3:uid="{23166381-08F0-4D2F-86E5-A28CE4F2C3FD}" name="Ny vicevært"/>
    <tableColumn id="12" xr3:uid="{A7218AF7-76C1-4395-9C81-1682DDA3357C}" name="Kategori"/>
    <tableColumn id="13" xr3:uid="{19F7F402-AA18-41A0-9A78-F61C6E74E201}" name="Vicevært" dataDxfId="259"/>
    <tableColumn id="14" xr3:uid="{32512986-98F4-4465-AEAC-5ED3F8CAECDB}" name="Gartner" dataDxfId="258"/>
    <tableColumn id="19" xr3:uid="{94559D3F-9EF8-4DE6-A9E6-EB3D727DB69C}" name="Feje/suge" dataDxfId="257"/>
    <tableColumn id="20" xr3:uid="{7DBF96C8-9DAB-40D3-A2DB-F78DDD627DCD}" name="CTS" dataDxfId="256"/>
    <tableColumn id="15" xr3:uid="{38FA54EA-2E97-4208-B621-090217844149}" name="SC" dataDxfId="255"/>
    <tableColumn id="16" xr3:uid="{85A49DA3-D323-40C2-9852-A787A270EC38}" name="Opstartsdato" dataDxfId="254"/>
    <tableColumn id="17" xr3:uid="{F74023E9-8CDE-4594-9823-3795F2810BDB}" name="Slutdato" dataDxfId="253"/>
    <tableColumn id="21" xr3:uid="{28C14767-B759-4A8D-9324-C98EE1B978C9}" name="FS-aftale" dataDxfId="252"/>
    <tableColumn id="18" xr3:uid="{8128620D-326E-4393-8769-396D8B8095A3}" name="Kommen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61C8BE-F6B9-4DDD-A99E-0A2CB5EE2E80}" name="Patrick1" displayName="Patrick1" ref="A9:U43" totalsRowShown="0" headerRowDxfId="251" headerRowBorderDxfId="250" tableBorderDxfId="249">
  <autoFilter ref="A9:U43" xr:uid="{0DD21540-B290-4ED2-BDF1-B82A5FFC49C4}"/>
  <sortState xmlns:xlrd2="http://schemas.microsoft.com/office/spreadsheetml/2017/richdata2" ref="A10:U43">
    <sortCondition sortBy="cellColor" ref="D9:D43" dxfId="248"/>
  </sortState>
  <tableColumns count="21">
    <tableColumn id="1" xr3:uid="{8645E480-35A1-4406-BE49-02571FF64CEF}" name="DL" dataDxfId="247"/>
    <tableColumn id="2" xr3:uid="{C5177DB1-C255-4333-8E0F-A1CA70427C14}" name="Kunde" dataDxfId="246"/>
    <tableColumn id="3" xr3:uid="{85218581-3E65-4E6E-AE30-B62FF3C4086B}" name="Selskab" dataDxfId="245"/>
    <tableColumn id="4" xr3:uid="{3DB64C8F-C37F-434B-A3FC-5EDE53A40D26}" name="Ejendoms nr" dataDxfId="244"/>
    <tableColumn id="5" xr3:uid="{5659E776-6123-497B-8E54-79AEBD04035B}" name="Gruppe" dataDxfId="243"/>
    <tableColumn id="6" xr3:uid="{402AB5C3-A91D-48A0-9933-2CE95A0C2647}" name="Ejendom"/>
    <tableColumn id="7" xr3:uid="{BBC413E4-F911-40CF-8EE6-DE75936E406A}" name="Adresse"/>
    <tableColumn id="8" xr3:uid="{2983B808-8496-4B88-9F42-ABE813D4C820}" name="Post nr" dataDxfId="242"/>
    <tableColumn id="9" xr3:uid="{4CA141BE-EAA1-4091-8ED6-DA530DA1F53F}" name="By"/>
    <tableColumn id="10" xr3:uid="{324E76FC-C09B-4193-B88F-0822AB624264}" name="Viceværter"/>
    <tableColumn id="11" xr3:uid="{B1187F57-F140-466E-8CE8-73EF33B62F0B}" name="Ny vicevært"/>
    <tableColumn id="12" xr3:uid="{17708984-9A34-406B-874D-CFEEB6D09133}" name="Kategori"/>
    <tableColumn id="13" xr3:uid="{A48E524E-6169-4000-8F47-C3908AD163AE}" name="Vicevært" dataDxfId="241"/>
    <tableColumn id="14" xr3:uid="{5C8095DF-42E2-4CAC-A1FD-16F4E955865A}" name="Gartner" dataDxfId="240"/>
    <tableColumn id="19" xr3:uid="{FF732FE4-5DF3-4599-847C-8F5FD82826BC}" name="Feje/suge" dataDxfId="239"/>
    <tableColumn id="20" xr3:uid="{FA8461C9-A4B8-4962-B6B0-F4B305677952}" name="CTS" dataDxfId="238"/>
    <tableColumn id="15" xr3:uid="{4A12C4A1-9DE4-4486-A3F7-EA5F388D7DC4}" name="SC" dataDxfId="237"/>
    <tableColumn id="16" xr3:uid="{92F56CD4-1714-45B4-9F9E-E88CDB34FCE5}" name="Opstartsdato"/>
    <tableColumn id="17" xr3:uid="{131793A5-FE82-4194-AFEE-AEAD6786F580}" name="Slutdato"/>
    <tableColumn id="21" xr3:uid="{733CEB3B-3B7A-4043-B4DC-64696064645F}" name="FS-aftale" dataDxfId="236"/>
    <tableColumn id="18" xr3:uid="{CC80CD49-1213-4252-A504-766A9D9FD05E}" name="Komment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596D8-0CD9-4F36-A64A-6AF0F78288E4}" name="René1" displayName="René1" ref="A9:U37" totalsRowShown="0" headerRowDxfId="235" dataDxfId="233" headerRowBorderDxfId="234" tableBorderDxfId="232">
  <autoFilter ref="A9:U37" xr:uid="{A2177055-A7E4-4A49-B20B-53A707689A21}"/>
  <tableColumns count="21">
    <tableColumn id="1" xr3:uid="{766DA024-B569-45FC-A4E5-824E9352BDE2}" name="DL" dataDxfId="231"/>
    <tableColumn id="2" xr3:uid="{E720B466-DDD0-4577-9F38-6F0836133D10}" name="Kunde" dataDxfId="230"/>
    <tableColumn id="3" xr3:uid="{52DFC8F1-AEDA-4AD1-A346-1F03F9034796}" name="Selskab" dataDxfId="229"/>
    <tableColumn id="4" xr3:uid="{9928A3D3-6AEF-4781-BA99-5B22BA69F0EB}" name="Ejendoms nr" dataDxfId="228"/>
    <tableColumn id="5" xr3:uid="{A33541B9-693A-4361-AB1D-E0BECCB714F3}" name="Gruppe" dataDxfId="227"/>
    <tableColumn id="6" xr3:uid="{36495DD1-67F4-4926-A00D-9DAE9445A329}" name="Ejendom"/>
    <tableColumn id="7" xr3:uid="{18BBCF67-DDB1-48E6-9527-0313D3552710}" name="Adresse" dataDxfId="226"/>
    <tableColumn id="8" xr3:uid="{83853006-0661-4158-89FB-C12DED5946CA}" name="Post nr" dataDxfId="225"/>
    <tableColumn id="9" xr3:uid="{32FF8BDD-B64F-4F91-B3CB-E5C32E655DC8}" name="By"/>
    <tableColumn id="10" xr3:uid="{F0DA9CCD-5D5E-4A97-8E32-2720D2D7F62D}" name="Viceværter" dataDxfId="224"/>
    <tableColumn id="11" xr3:uid="{F5571857-820B-4460-B21A-B165DA2E48AB}" name="Ny vicevært" dataDxfId="223"/>
    <tableColumn id="12" xr3:uid="{324B05A7-1778-4EB5-8CCD-DBEF917DCD0F}" name="Kategori" dataDxfId="222"/>
    <tableColumn id="13" xr3:uid="{5866F261-FCBA-4718-904E-A325126D15BA}" name="Vicevært" dataDxfId="221"/>
    <tableColumn id="14" xr3:uid="{C4E6BBC1-D8A9-47A1-A44D-8CB8FE7069E3}" name="Gartner" dataDxfId="220"/>
    <tableColumn id="19" xr3:uid="{2690B88A-BD47-4862-837D-7B8B110E0053}" name="Feje/suge" dataDxfId="219"/>
    <tableColumn id="20" xr3:uid="{CD053412-4E9E-49AC-A9B9-E9DC1FC7D21F}" name="CTS" dataDxfId="218"/>
    <tableColumn id="15" xr3:uid="{80089C68-0FB5-49FB-A9FA-69FD75E4095C}" name="SC" dataDxfId="217"/>
    <tableColumn id="16" xr3:uid="{74463720-D33E-4C20-AFE0-E9BC4F5414ED}" name="Opstartsdato" dataDxfId="216"/>
    <tableColumn id="17" xr3:uid="{6A2A2C0E-08FF-4687-908D-4DECDA52F4D7}" name="Slutdato" dataDxfId="215"/>
    <tableColumn id="21" xr3:uid="{A0BBC55B-76D6-44CD-A023-9ABDDC4C5FC7}" name="FS-aftale" dataDxfId="214"/>
    <tableColumn id="18" xr3:uid="{E1F3B64E-AFF4-4942-A471-42152B9C7F1F}" name="Kommentar" dataDxfId="2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478C1E-EC31-449B-970A-A88B148AB7EA}" name="Tabel7" displayName="Tabel7" ref="A9:W54" totalsRowShown="0" headerRowDxfId="212">
  <autoFilter ref="A9:W54" xr:uid="{7373CD3E-709F-497C-8EAA-A2254ACE2C86}"/>
  <tableColumns count="23">
    <tableColumn id="1" xr3:uid="{057F567F-4BC0-4E36-ABF8-FEC2E82A9E54}" name="DL" dataDxfId="211"/>
    <tableColumn id="2" xr3:uid="{9E3E4C41-EF8F-497A-8B7A-8E6EF1A43F3D}" name="Kunde" dataDxfId="210"/>
    <tableColumn id="3" xr3:uid="{00D4375F-4E1A-4362-9C82-9FD07D2AAC89}" name="Selskab" dataDxfId="209"/>
    <tableColumn id="4" xr3:uid="{41D2B6E0-DFA9-44EB-907F-7F243584C484}" name="Ejendoms nr" dataDxfId="208"/>
    <tableColumn id="5" xr3:uid="{DBA7D4D0-98A4-4FD0-8581-71751736E42E}" name="Gruppe" dataDxfId="207"/>
    <tableColumn id="6" xr3:uid="{2F07B911-0E70-49CC-BA66-C85199F66C5C}" name="Ejendom" dataDxfId="206"/>
    <tableColumn id="7" xr3:uid="{96974850-7B15-4E42-8461-680577A3EE28}" name="Adresse"/>
    <tableColumn id="8" xr3:uid="{0CBB8A81-313A-4EE6-B4C4-BF78E7B9FD83}" name="Post nr" dataDxfId="205"/>
    <tableColumn id="9" xr3:uid="{81EBF650-A4E8-4DB1-BA9D-48E3FEEEFD99}" name="By"/>
    <tableColumn id="10" xr3:uid="{BA016611-8420-486F-AEA7-A68BE70B5191}" name="Viceværter"/>
    <tableColumn id="11" xr3:uid="{BB0616A8-9E44-4115-8337-79BD7A36207C}" name="Ny vicevært"/>
    <tableColumn id="12" xr3:uid="{BC60C728-CBF1-4254-BFF5-4745F528AD43}" name="Kategori"/>
    <tableColumn id="13" xr3:uid="{7B0961AE-E893-4D6A-914C-D803A70311E8}" name="Vicevært" dataDxfId="204"/>
    <tableColumn id="14" xr3:uid="{781FD8E9-BBF1-499D-BB9C-25F9A843A502}" name="Gartner" dataDxfId="203"/>
    <tableColumn id="15" xr3:uid="{690C94CF-8345-4740-B750-9934F8BD218A}" name="Feje/suge" dataDxfId="202"/>
    <tableColumn id="16" xr3:uid="{469A7283-745C-46EB-A509-17DC79850FFD}" name="CTS" dataDxfId="201"/>
    <tableColumn id="17" xr3:uid="{E4172657-689F-4628-AF4E-8D0E3CEE48F8}" name="SC" dataDxfId="200"/>
    <tableColumn id="18" xr3:uid="{8D6ABFB4-EC0D-4CE8-B4DB-9253A9303943}" name="Opstartsdato" dataDxfId="199"/>
    <tableColumn id="19" xr3:uid="{C8A20A54-5C91-46BF-947C-892FF36541BD}" name="Slutdato"/>
    <tableColumn id="20" xr3:uid="{C8BEAB3E-6927-40E2-8381-BC0EE12D20D3}" name="FS-aftale" dataDxfId="198"/>
    <tableColumn id="21" xr3:uid="{9A49D08E-0C3B-4134-A528-CC7214C7219B}" name="Kommentar"/>
    <tableColumn id="22" xr3:uid="{602CB6D9-A00B-4952-9F3D-C8C3886A4EE5}" name="Antal:"/>
    <tableColumn id="23" xr3:uid="{28F7CEFF-E6D6-41B2-B5EA-DCA3CACFE7E9}" name="PT. DL" dataCellStyle="Neutr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8F8E59-DE7F-4A53-9870-96E7BD288958}" name="Tabel6" displayName="Tabel6" ref="A9:W46" totalsRowShown="0" headerRowDxfId="197">
  <autoFilter ref="A9:W46" xr:uid="{CBD7F549-0012-4012-AA1A-57D13513D734}"/>
  <tableColumns count="23">
    <tableColumn id="1" xr3:uid="{EA7ED893-FA0C-478F-937A-9F3BA64E3E75}" name="DL" dataDxfId="196"/>
    <tableColumn id="2" xr3:uid="{383E8BAF-41D0-4A31-A576-43833B8C681E}" name="Kunde" dataDxfId="195"/>
    <tableColumn id="3" xr3:uid="{2EC3C255-75EF-4617-89BC-550BF0ED10D8}" name="Selskab" dataDxfId="194"/>
    <tableColumn id="4" xr3:uid="{BF69586E-FD12-4E2E-BFA7-A54D230FA668}" name="Ejendoms nr" dataDxfId="193"/>
    <tableColumn id="5" xr3:uid="{EC0F9B35-9744-4FE8-A97C-EFD16A59CF86}" name="Gruppe"/>
    <tableColumn id="6" xr3:uid="{2A9C8513-A92A-4C78-A6C9-F9B637033A65}" name="Ejendom"/>
    <tableColumn id="7" xr3:uid="{E87AA703-B82E-4304-B3B8-3159E50C73AF}" name="Adresse"/>
    <tableColumn id="8" xr3:uid="{A6CDE9DD-69B6-4D5E-BAA5-0B0EE00A1EC8}" name="Post nr" dataDxfId="192"/>
    <tableColumn id="9" xr3:uid="{1A6BE440-BEA5-4BF6-825D-2E8FD7B6237D}" name="By"/>
    <tableColumn id="10" xr3:uid="{68B715E2-5686-494E-9E8C-AC1CF71B41DA}" name="Viceværter"/>
    <tableColumn id="11" xr3:uid="{FF0CC780-3597-45D1-A84A-99366A2CF531}" name="Ny vicevært"/>
    <tableColumn id="12" xr3:uid="{D4328765-DF1D-4648-8221-A1D9E40A8BED}" name="Kategori"/>
    <tableColumn id="13" xr3:uid="{7F0C6C5D-6422-4098-81F7-D98EBE89DC4A}" name="Vicevært" dataDxfId="191"/>
    <tableColumn id="14" xr3:uid="{44C8E5D2-62E9-48A0-B32D-64EBD0B3DC85}" name="Gartner" dataDxfId="190"/>
    <tableColumn id="15" xr3:uid="{09BE2EDB-6873-48BF-92A0-A831056744BC}" name="Feje/suge" dataDxfId="189"/>
    <tableColumn id="16" xr3:uid="{A684412D-2542-4F6E-AF03-90D32516E238}" name="CTS" dataDxfId="188"/>
    <tableColumn id="17" xr3:uid="{55D68A6C-613F-4F6C-8ED9-1E9E5479FD6C}" name="SC" dataDxfId="187"/>
    <tableColumn id="18" xr3:uid="{28447ED1-D6E6-4ABF-A346-2F4DCA498E0D}" name="Opstartsdato" dataDxfId="186"/>
    <tableColumn id="19" xr3:uid="{6A150045-4D0F-43B3-B847-EE769C858FDA}" name="Slutdato"/>
    <tableColumn id="20" xr3:uid="{E9B65463-50A1-4E20-A89D-1A0FE2F289AD}" name="FS-aftale"/>
    <tableColumn id="21" xr3:uid="{45165476-BE7D-434B-B5E4-0EDE81A224B9}" name="Kommentar"/>
    <tableColumn id="22" xr3:uid="{0B83F1C0-D644-45AC-9E99-AEB0365D798C}" name="Antal:"/>
    <tableColumn id="23" xr3:uid="{1A31CB5A-A504-4526-B0D1-AAD3CE655366}" name="PT. DL" dataCellStyle="Neutr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A7EEAB-2036-481D-921B-7F2482F2871D}" name="Tabel8" displayName="Tabel8" ref="A9:W38" totalsRowShown="0" headerRowDxfId="185" dataDxfId="184">
  <autoFilter ref="A9:W38" xr:uid="{7E5C241E-83D7-49BA-B415-44117636EFA7}"/>
  <tableColumns count="23">
    <tableColumn id="1" xr3:uid="{4A4D08D2-6C46-4897-BA9C-DC747D78684F}" name="DL" dataDxfId="183"/>
    <tableColumn id="2" xr3:uid="{67B79FA4-BFBE-4FBA-B198-8D90BD0B37F5}" name="Kunde" dataDxfId="182"/>
    <tableColumn id="3" xr3:uid="{D355C5CC-4243-47F8-A2E0-7CDE1ACE978D}" name="Selskab" dataDxfId="181"/>
    <tableColumn id="4" xr3:uid="{38D52452-59F3-443A-A7B4-0E25220EE916}" name="Ejendoms nr" dataDxfId="180"/>
    <tableColumn id="5" xr3:uid="{929D0EE1-09BA-44F3-9D45-23FF28454718}" name="Gruppe" dataDxfId="179"/>
    <tableColumn id="6" xr3:uid="{7ECEB57B-06D9-495C-8DDC-9818188F2CFD}" name="Ejendom" dataDxfId="178"/>
    <tableColumn id="7" xr3:uid="{4D85F23B-3ABC-4269-8C6F-600531083BBB}" name="Adresse" dataDxfId="177"/>
    <tableColumn id="8" xr3:uid="{77CB6A0D-AD5C-4926-80F2-41BC67B4EFDA}" name="Post nr" dataDxfId="176"/>
    <tableColumn id="9" xr3:uid="{2F9C7933-1897-41F6-9BE5-DB0EE3C6B129}" name="By" dataDxfId="175"/>
    <tableColumn id="10" xr3:uid="{28781A23-EE85-41FE-B5FE-689EFA1CDFAA}" name="Viceværter" dataDxfId="174"/>
    <tableColumn id="11" xr3:uid="{4CB31846-49C5-4E89-AAE5-419F8B5EB050}" name="Ny vicevært" dataDxfId="173"/>
    <tableColumn id="12" xr3:uid="{C7FA1BD8-A42A-45A5-AD02-67CC26FAF57E}" name="Kategori" dataDxfId="172"/>
    <tableColumn id="13" xr3:uid="{269F36CE-B008-406B-9DAA-CDB0E2AF2DD4}" name="Vicevært" dataDxfId="171"/>
    <tableColumn id="14" xr3:uid="{C7415B1B-A3B6-4509-9C42-1D4207650469}" name="Gartner" dataDxfId="170"/>
    <tableColumn id="15" xr3:uid="{33C92DAC-AD4A-4509-BAD1-1CA9CAE58A27}" name="Feje/suge" dataDxfId="169"/>
    <tableColumn id="16" xr3:uid="{DE67B195-6E8B-4E5C-8D6E-22986F8E818E}" name="CTS" dataDxfId="168"/>
    <tableColumn id="17" xr3:uid="{11D50689-92C7-40F6-96ED-5DE5019826CD}" name="SC" dataDxfId="167"/>
    <tableColumn id="18" xr3:uid="{34323444-C813-49BF-A81C-B0B43570F185}" name="Opstartsdato" dataDxfId="166"/>
    <tableColumn id="19" xr3:uid="{152AA94E-0315-447E-9FD6-542C049ACDFA}" name="Slutdato" dataDxfId="165"/>
    <tableColumn id="20" xr3:uid="{DBED66F2-11BF-4949-A8D7-4BF3A6934231}" name="FS-aftale" dataDxfId="164"/>
    <tableColumn id="21" xr3:uid="{CE98CB7E-ECD6-4244-86C1-D5DEFD5A858C}" name="Kommentar" dataDxfId="163"/>
    <tableColumn id="22" xr3:uid="{47BC23AB-4924-41D8-844D-2A41541918EE}" name="Antal:" dataDxfId="162"/>
    <tableColumn id="23" xr3:uid="{9CF0B2B8-4C85-4957-A379-F88C50AE5B78}" name="PT. DL" dataCellStyle="Neutr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2A4044-5FBB-48D8-B257-4D8FBB990B01}" name="Tabel9" displayName="Tabel9" ref="A9:W33" totalsRowShown="0" headerRowDxfId="161">
  <autoFilter ref="A9:W33" xr:uid="{EB04BB60-F78C-4EFD-9A54-9E80AC07164A}"/>
  <tableColumns count="23">
    <tableColumn id="1" xr3:uid="{DEF73397-FC20-4009-A4E1-A32CBF69B08F}" name="DL" dataDxfId="160"/>
    <tableColumn id="2" xr3:uid="{10EC4991-5ED1-4BEF-A93E-1AC2A150C51B}" name="Kunde" dataDxfId="159"/>
    <tableColumn id="3" xr3:uid="{54F8C471-16D6-43E0-9AFD-E4EFF4A76318}" name="Selskab" dataDxfId="158"/>
    <tableColumn id="4" xr3:uid="{148EFBF7-B60C-45C7-A224-E87B3C69CAF0}" name="Ejendoms nr" dataDxfId="157"/>
    <tableColumn id="5" xr3:uid="{DBEAB114-68CC-4167-98B8-20BBFC88AAEE}" name="Gruppe" dataDxfId="156"/>
    <tableColumn id="6" xr3:uid="{D420E210-FB6E-488A-B9CF-F978F9039F2D}" name="Ejendom"/>
    <tableColumn id="7" xr3:uid="{B4FE5D8F-0F74-4C64-ABFB-095A1F780906}" name="Adresse"/>
    <tableColumn id="8" xr3:uid="{73DBA7CF-0EA2-41B5-9312-F266DF901647}" name="Post nr" dataDxfId="155"/>
    <tableColumn id="9" xr3:uid="{351BEFF3-43FD-4F2C-B5E3-B3FA70685047}" name="By" dataDxfId="154"/>
    <tableColumn id="10" xr3:uid="{E98EFC2E-1AF8-4AEA-955C-0D207B000C52}" name="Viceværter"/>
    <tableColumn id="11" xr3:uid="{F6A8887E-212D-4FD4-AE97-A8F3441A96F4}" name="Ny vicevært"/>
    <tableColumn id="12" xr3:uid="{ACDAB048-3730-4B03-9C68-39A4AF94D3CD}" name="Kategori"/>
    <tableColumn id="13" xr3:uid="{7CD9457A-048C-4990-BE4C-021CF6E674E5}" name="Vicevært" dataDxfId="153"/>
    <tableColumn id="14" xr3:uid="{9C3ECC6A-53BA-4065-B32D-F61DC93DB369}" name="Gartner" dataDxfId="152"/>
    <tableColumn id="15" xr3:uid="{EB211D45-208F-4EC1-88B2-8ACA2F6D5FBF}" name="Feje/suge" dataDxfId="151"/>
    <tableColumn id="16" xr3:uid="{443DCB80-A5BF-4B0F-B6A1-A8EC960C5797}" name="CTS" dataDxfId="150"/>
    <tableColumn id="17" xr3:uid="{E5BAD90F-C324-49C4-B278-86123994B785}" name="SC" dataDxfId="149"/>
    <tableColumn id="18" xr3:uid="{690E39F0-3131-45C2-B852-3DA98623A6B6}" name="Opstartsdato" dataDxfId="148"/>
    <tableColumn id="19" xr3:uid="{D1B6F279-8B20-4A6F-A633-F352C1224153}" name="Slutdato"/>
    <tableColumn id="20" xr3:uid="{7B3E8CE2-7CD7-4146-9940-7B7A620ACC2E}" name="FS-aftale" dataDxfId="147"/>
    <tableColumn id="21" xr3:uid="{EAC71A25-ECA2-4172-8EFD-5A68A3366F53}" name="Kommentar"/>
    <tableColumn id="22" xr3:uid="{9B5A015B-07E1-4F5A-9C90-95D9B21F3FE8}" name="Antal:"/>
    <tableColumn id="23" xr3:uid="{333FFEA2-623D-409D-BD44-1A63DEEE377C}" name="PT. DL" dataCellStyle="Neutr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85FEA0-00EE-48C9-AD0B-7ACB4115D1FD}" name="Tabel10" displayName="Tabel10" ref="A9:W40" totalsRowShown="0" headerRowDxfId="146">
  <autoFilter ref="A9:W40" xr:uid="{BCD465F1-90D9-42AD-8AF1-2018619F4808}"/>
  <tableColumns count="23">
    <tableColumn id="1" xr3:uid="{61DFF95B-4466-44EC-B52F-803338563145}" name="DL" dataDxfId="145"/>
    <tableColumn id="2" xr3:uid="{9523239B-AD19-4BA3-BAED-39AD282D700E}" name="Kunde" dataDxfId="144"/>
    <tableColumn id="3" xr3:uid="{8E9A4631-2F1B-4ADB-B3C9-27BEE7256A62}" name="Selskab" dataDxfId="143"/>
    <tableColumn id="4" xr3:uid="{078489B8-15B0-416E-9A67-F79DCD25CF16}" name="Ejendoms nr" dataDxfId="142"/>
    <tableColumn id="5" xr3:uid="{7D8F250A-E27D-40E0-8A29-C14973C4C304}" name="Gruppe" dataDxfId="141"/>
    <tableColumn id="6" xr3:uid="{0A576FDD-C857-42B7-BCB6-121198597FBE}" name="Ejendom"/>
    <tableColumn id="7" xr3:uid="{5DB0EE48-B9FA-4631-84D4-49CE03BF92D6}" name="Adresse"/>
    <tableColumn id="8" xr3:uid="{928BDDD7-3FEF-4FCA-B516-D8F7D8DBFEF3}" name="Post nr" dataDxfId="140"/>
    <tableColumn id="9" xr3:uid="{9D99FFAA-C99D-4641-9060-8B508997357A}" name="By"/>
    <tableColumn id="10" xr3:uid="{CC407112-404C-44D7-9B71-7B8F1866EB32}" name="Viceværter"/>
    <tableColumn id="11" xr3:uid="{8ED9F39B-D51D-4973-9CC7-EC3F8749157E}" name="Ny vicevært"/>
    <tableColumn id="12" xr3:uid="{AD57F7D5-3D00-4FF7-A14D-B6898B9E8B52}" name="Kategori"/>
    <tableColumn id="13" xr3:uid="{845656F0-38CE-44AB-99DF-CA452FAAE571}" name="Vicevært" dataDxfId="139"/>
    <tableColumn id="14" xr3:uid="{EA4BC3FC-1D1D-484E-B245-45345060A38C}" name="Gartner" dataDxfId="138"/>
    <tableColumn id="15" xr3:uid="{BEC831F3-8A2F-4C18-A292-AD903ACB2E8D}" name="Feje/suge" dataDxfId="137"/>
    <tableColumn id="16" xr3:uid="{CD2EF047-0455-45BE-892D-C1885EBBAED5}" name="CTS" dataDxfId="136"/>
    <tableColumn id="17" xr3:uid="{09CD17A0-C4AC-4B02-A5B9-D61E0A53D2FC}" name="SC" dataDxfId="135"/>
    <tableColumn id="18" xr3:uid="{E2C8B01A-4216-46F6-A066-3CCD08B4FC02}" name="Opstartsdato" dataDxfId="134"/>
    <tableColumn id="19" xr3:uid="{DA2FF2FB-E24E-4254-A9B9-DA3838511DE0}" name="Slutdato"/>
    <tableColumn id="20" xr3:uid="{04A68B16-7CFE-4A40-977B-D6B0420607D9}" name="FS-aftale" dataDxfId="133"/>
    <tableColumn id="21" xr3:uid="{A798037F-C4D7-4272-BAD9-371E57230919}" name="Kommentar"/>
    <tableColumn id="22" xr3:uid="{94CE8187-B9D1-476D-A36A-E713146CFC18}" name="Antal:"/>
    <tableColumn id="23" xr3:uid="{9F7C2010-6984-402B-87DA-37DC15E5A0BB}" name="PT. DL" dataCellStyle="Neutr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D65D40-7850-4F74-B6BB-F7C1E76D41BA}" name="Tabel11" displayName="Tabel11" ref="A9:W44" totalsRowShown="0" headerRowDxfId="132">
  <autoFilter ref="A9:W44" xr:uid="{06386F98-5767-40EE-B84F-C390D3613FE2}"/>
  <tableColumns count="23">
    <tableColumn id="1" xr3:uid="{B6E42777-EE18-4BDE-ABF8-EDE46EF92BF7}" name="DL" dataDxfId="131"/>
    <tableColumn id="2" xr3:uid="{9CFC6D1B-4D94-4687-95E4-42244E3065F2}" name="Kunde" dataDxfId="130"/>
    <tableColumn id="3" xr3:uid="{2F34AC5E-8385-48E7-91AB-B03449883BBD}" name="Selskab" dataDxfId="129"/>
    <tableColumn id="4" xr3:uid="{497BDCC4-84F9-4BE1-9DFA-696C3434BC75}" name="Ejendoms nr" dataDxfId="128"/>
    <tableColumn id="5" xr3:uid="{06FF5D3F-0A76-442D-9B83-2954ED61713F}" name="Gruppe" dataDxfId="127"/>
    <tableColumn id="6" xr3:uid="{16B8CD76-2564-457D-98EB-143E623EA229}" name="Ejendom"/>
    <tableColumn id="7" xr3:uid="{93C99E7D-9117-427D-A245-B7D975FA0581}" name="Adresse"/>
    <tableColumn id="8" xr3:uid="{1F1C2FB5-CB9C-4B75-8497-27B78E20EC31}" name="Post nr" dataDxfId="126"/>
    <tableColumn id="9" xr3:uid="{312602F5-28B0-45F9-8585-5D9491118105}" name="By" dataDxfId="125"/>
    <tableColumn id="10" xr3:uid="{240CD342-B188-4CEC-9F50-F900E1659B62}" name="Viceværter" dataDxfId="124"/>
    <tableColumn id="11" xr3:uid="{B74BFB86-EE87-4562-91C8-4773C01151BD}" name="Ny vicevært"/>
    <tableColumn id="12" xr3:uid="{14D6E7DF-BD10-4477-9074-68AD97B1940B}" name="Kategori"/>
    <tableColumn id="13" xr3:uid="{4FD3BD02-0C66-4C82-A091-A9C390893592}" name="Vicevært" dataDxfId="123"/>
    <tableColumn id="14" xr3:uid="{946FE691-6C89-44E1-8864-59E6980E2E6A}" name="Gartner" dataDxfId="122"/>
    <tableColumn id="15" xr3:uid="{2FB1E5C5-DAE4-4EF3-999B-1857AD3E4D85}" name="Feje/suge" dataDxfId="121"/>
    <tableColumn id="16" xr3:uid="{42EA9FF0-3062-4548-A048-62A488F847F5}" name="CTS" dataDxfId="120"/>
    <tableColumn id="17" xr3:uid="{4B1626C0-C04C-44CD-90D2-C20B45123331}" name="SC" dataDxfId="119"/>
    <tableColumn id="18" xr3:uid="{8DD53477-81B3-45EF-B55E-A6346DBD5A58}" name="Opstartsdato" dataDxfId="118"/>
    <tableColumn id="19" xr3:uid="{F8698828-3709-4E2B-ACCE-E58C8B79EE69}" name="Slutdato"/>
    <tableColumn id="20" xr3:uid="{D71963F6-4929-483D-B636-11A301DA3604}" name="FS-aftale" dataDxfId="117"/>
    <tableColumn id="21" xr3:uid="{56F4CDE5-EDB5-46E0-B23A-4D56CA952AC8}" name="Kommentar"/>
    <tableColumn id="22" xr3:uid="{90BD7442-6743-4639-B0C1-88FD24BF41C4}" name="Antal:" dataDxfId="116"/>
    <tableColumn id="23" xr3:uid="{D2AEFA87-7D88-4EA3-AD88-0352505766CE}" name="PT. DL" dataCellStyle="Neutr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FD0BA8-5613-4E48-8A36-696F93C9DC5D}" name="Tabel12" displayName="Tabel12" ref="A9:W26" totalsRowShown="0" headerRowDxfId="115">
  <autoFilter ref="A9:W26" xr:uid="{5C9DEEEE-8B04-4C26-B271-DACD32A85DBC}"/>
  <tableColumns count="23">
    <tableColumn id="1" xr3:uid="{352033A9-7DCD-4649-BC3A-52DA5864C7DB}" name="DL" dataDxfId="114"/>
    <tableColumn id="2" xr3:uid="{17A70E7E-DEEB-4942-A4F6-1C14DD27C4A7}" name="Kunde" dataDxfId="113"/>
    <tableColumn id="3" xr3:uid="{5BB6AF1B-7E0F-4D70-B694-BE6E0E7DD8BC}" name="Selskab" dataDxfId="112"/>
    <tableColumn id="4" xr3:uid="{F52B3A23-0485-43E0-A2C4-391C7A962C2F}" name="Ejendoms nr" dataDxfId="111"/>
    <tableColumn id="5" xr3:uid="{FB9BC38F-04F3-49FD-962B-C4ABBFFA05D4}" name="Gruppe" dataDxfId="110"/>
    <tableColumn id="6" xr3:uid="{5AB99C3A-A882-46D3-B158-2173B52E04A9}" name="Ejendom"/>
    <tableColumn id="7" xr3:uid="{4820C8F0-3BAB-4539-95BD-071C734CC3C9}" name="Adresse"/>
    <tableColumn id="8" xr3:uid="{0BA6B050-BEA6-4631-81DF-C3E48121C6B5}" name="Post nr" dataDxfId="109"/>
    <tableColumn id="9" xr3:uid="{6D1FD1C0-57F7-4858-9FC1-5CB1273C5F1B}" name="By"/>
    <tableColumn id="10" xr3:uid="{E8E5D4C6-6211-4A02-9C54-6114841C2DC5}" name="Viceværter"/>
    <tableColumn id="11" xr3:uid="{B06E7DE1-3B45-4CB5-899F-C4903C1DFC8B}" name="Ny vicevært"/>
    <tableColumn id="12" xr3:uid="{2A3E9F63-924D-4DEB-A67D-05ED187D740E}" name="Kategori"/>
    <tableColumn id="13" xr3:uid="{2D55569C-4F3B-49D1-9B8C-74B2B1D1BE75}" name="Vicevært" dataDxfId="108"/>
    <tableColumn id="14" xr3:uid="{DB09ADDE-5230-43DC-A916-26AEE63207A4}" name="Gartner" dataDxfId="107"/>
    <tableColumn id="15" xr3:uid="{A0EF747F-E613-4A11-91D3-564D82DC9D25}" name="Feje/suge" dataDxfId="106"/>
    <tableColumn id="16" xr3:uid="{80FBF33A-560C-4DB5-A633-818431243E83}" name="CTS" dataDxfId="105"/>
    <tableColumn id="17" xr3:uid="{3DA36F40-CB78-43D0-9A86-F8465C7603E1}" name="SC" dataDxfId="104"/>
    <tableColumn id="18" xr3:uid="{19886CD9-B1FB-4550-BFBC-37D2F5441ABF}" name="Opstartsdato" dataDxfId="103"/>
    <tableColumn id="19" xr3:uid="{E214E8CF-5A4F-424D-8C8E-62855E929FA9}" name="Slutdato"/>
    <tableColumn id="20" xr3:uid="{4650C06C-9FAD-4827-9711-B54BFC6C340B}" name="FS-aftale" dataDxfId="102"/>
    <tableColumn id="21" xr3:uid="{27627377-0F0B-4897-B696-BFEACD2BB79C}" name="Kommentar"/>
    <tableColumn id="22" xr3:uid="{1CFA9B22-8864-4B37-9CD6-CF479D50466B}" name="Antal:"/>
    <tableColumn id="23" xr3:uid="{BEC91E9D-73CB-4CAF-AA25-859E8D97C6D0}" name="PT. DL" dataCellStyle="Neutr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67287E-68A1-407A-9BE3-07634BB6895E}" name="Tabel13" displayName="Tabel13" ref="A9:W38" totalsRowShown="0" headerRowDxfId="101">
  <autoFilter ref="A9:W38" xr:uid="{6B00F45A-BF28-4D92-9842-3C6E895D2527}"/>
  <tableColumns count="23">
    <tableColumn id="1" xr3:uid="{98DD9F07-3DE2-4092-B8E5-D38234703B7D}" name="DL"/>
    <tableColumn id="2" xr3:uid="{80C1B06A-47A6-4065-B79D-064F623E30EF}" name="Kunde" dataDxfId="100"/>
    <tableColumn id="3" xr3:uid="{3E1EE295-ED40-4F82-9CE4-1AE68A79FB36}" name="Selskab" dataDxfId="99"/>
    <tableColumn id="4" xr3:uid="{0FEED287-1BE5-44EC-8B74-2F049034205B}" name="Ejendoms nr" dataDxfId="98"/>
    <tableColumn id="5" xr3:uid="{149C1BEB-0EBC-4DE1-AC84-156B7EB2158F}" name="Gruppe" dataDxfId="97"/>
    <tableColumn id="6" xr3:uid="{0A1B68F1-5F62-498C-A121-9E6C794A5DBC}" name="Ejendom" dataDxfId="96"/>
    <tableColumn id="7" xr3:uid="{44D0EFBE-EC97-4CB6-BFE6-AE0B5EE5EE70}" name="Adresse"/>
    <tableColumn id="8" xr3:uid="{402C25B9-0CAD-4BCE-9308-2FC6EF6F72A0}" name="Post nr" dataDxfId="95"/>
    <tableColumn id="9" xr3:uid="{AC21F580-7101-4B09-8DCB-25A1D9B0BC1D}" name="By" dataDxfId="94"/>
    <tableColumn id="10" xr3:uid="{E27C27CD-8A6D-42EA-8EA3-C9C4F1A7B852}" name="Viceværter" dataDxfId="93"/>
    <tableColumn id="11" xr3:uid="{EEF1FBAB-3E65-4125-8CA5-F907C2D0199D}" name="Ny vicevært" dataDxfId="92"/>
    <tableColumn id="12" xr3:uid="{AB433920-B0A3-4931-85C5-B43DF637304D}" name="Kategori"/>
    <tableColumn id="13" xr3:uid="{24BEF029-54A8-4FA7-A385-B26DA3FC9B4D}" name="Vicevært" dataDxfId="91"/>
    <tableColumn id="14" xr3:uid="{31D10989-412E-42E0-B041-D834BFE8C4A4}" name="Gartner" dataDxfId="90"/>
    <tableColumn id="15" xr3:uid="{346D12FD-22BC-4C73-A432-AC80D70EF336}" name="Feje/suge" dataDxfId="89"/>
    <tableColumn id="16" xr3:uid="{7A984EA2-D67D-461D-919F-1B83ABCF2232}" name="CTS" dataDxfId="88"/>
    <tableColumn id="17" xr3:uid="{9A38495C-B47C-4B9C-A4B8-E294C1CADD1F}" name="SC" dataDxfId="87"/>
    <tableColumn id="18" xr3:uid="{8D1F6170-4C99-4F5E-AE84-C502A1F2AE60}" name="Opstartsdato"/>
    <tableColumn id="19" xr3:uid="{0922532D-2CBA-48C0-B5B7-BEA3864D0A45}" name="Slutdato"/>
    <tableColumn id="20" xr3:uid="{C3177430-BAE8-4306-B4F6-02BEBF840C80}" name="FS-aftale" dataDxfId="86"/>
    <tableColumn id="21" xr3:uid="{5AB95F87-A1A5-4C71-80FF-8EF86C49579C}" name="Kommentar"/>
    <tableColumn id="22" xr3:uid="{37BC415A-C7BC-4680-9875-DB33D463150A}" name="Antal:"/>
    <tableColumn id="23" xr3:uid="{5BBD5114-797E-4015-9B84-AB9C6ACE2F27}" name="PT. DL" dataCellStyle="Neutr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07DFB23-7C19-4F75-94C5-FBA84C0E440A}" name="Tabel14" displayName="Tabel14" ref="A9:W37" totalsRowShown="0" headerRowDxfId="85">
  <autoFilter ref="A9:W37" xr:uid="{F80975C9-8AFE-4E39-BD0E-67F68A63FE00}"/>
  <tableColumns count="23">
    <tableColumn id="1" xr3:uid="{8103D2F3-CCDA-4425-A13B-3D8388100D2A}" name="DL" dataDxfId="84"/>
    <tableColumn id="2" xr3:uid="{482D811D-F736-4B50-9DF3-919674BAA1B7}" name="Kunde" dataDxfId="83"/>
    <tableColumn id="3" xr3:uid="{9B5A5CB7-6CA0-417F-9190-EE407C585E55}" name="Selskab" dataDxfId="82"/>
    <tableColumn id="4" xr3:uid="{B14F45FD-F9EE-4111-B62E-766AAAE4182E}" name="Ejendoms nr" dataDxfId="81"/>
    <tableColumn id="5" xr3:uid="{3153937E-74D8-4AC2-B5D4-8FC66A35B1F5}" name="Gruppe" dataDxfId="80"/>
    <tableColumn id="6" xr3:uid="{DECEF155-98A7-40B1-BE47-9C1B4575AC89}" name="Ejendom" dataDxfId="79"/>
    <tableColumn id="7" xr3:uid="{7ADE9029-5B9F-49D4-AB8D-35242615F281}" name="Adresse"/>
    <tableColumn id="8" xr3:uid="{9B62B311-3970-4FF6-97A9-1A4A5AAA211B}" name="Post nr" dataDxfId="78"/>
    <tableColumn id="9" xr3:uid="{8BAA69E2-AB68-40C7-8276-9827AAA98A9F}" name="By"/>
    <tableColumn id="10" xr3:uid="{A920CCE3-C2EF-48FC-BA5F-4EB640BA27BD}" name="Viceværter"/>
    <tableColumn id="11" xr3:uid="{1B9130DA-52C7-4AC7-8C81-D92D061792E0}" name="Ny vicevært"/>
    <tableColumn id="12" xr3:uid="{F0AD8FB5-6D5B-4DFE-BFE3-37FC0096B408}" name="Kategori"/>
    <tableColumn id="13" xr3:uid="{5BEEFB83-A960-4A22-A931-8D3C00C2642D}" name="Vicevært" dataDxfId="77"/>
    <tableColumn id="14" xr3:uid="{11E2C544-3CA1-447A-A769-36C7CD319BE0}" name="Gartner" dataDxfId="76"/>
    <tableColumn id="15" xr3:uid="{8D88B329-687E-4B7C-A870-8976A61B7735}" name="Feje/suge" dataDxfId="75"/>
    <tableColumn id="16" xr3:uid="{A4E4F45F-697C-4A7C-9777-98802925D146}" name="CTS" dataDxfId="74"/>
    <tableColumn id="17" xr3:uid="{7016ECD7-C1D3-49CF-9C2E-8F023A9C804A}" name="SC" dataDxfId="73"/>
    <tableColumn id="18" xr3:uid="{97CEECB3-453A-418A-96EA-1F674AF33FB5}" name="Opstartsdato"/>
    <tableColumn id="19" xr3:uid="{056E58EA-B208-479F-A60B-710C97E87130}" name="Slutdato"/>
    <tableColumn id="20" xr3:uid="{7A35B9F5-18EA-4089-B891-F3DB62C3DE93}" name="FS-aftale" dataDxfId="72"/>
    <tableColumn id="21" xr3:uid="{24E06DA7-919A-4FFE-97CE-3DD2B3ECB8E3}" name="Kommentar"/>
    <tableColumn id="22" xr3:uid="{C8C4C89A-E8A6-4C95-9E39-491E5809DBD0}" name="Antal:"/>
    <tableColumn id="23" xr3:uid="{3D230F0B-3C77-45C4-BD9C-2BC24FAB4741}" name="PT. DL" dataCellStyle="Neutra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FA46114-72FD-411A-9FFB-03C9507D90A0}" name="Tabel15" displayName="Tabel15" ref="A9:W32" totalsRowShown="0" headerRowDxfId="71">
  <autoFilter ref="A9:W32" xr:uid="{34369EE6-AC4E-460E-BB8A-C913BA3078E4}"/>
  <tableColumns count="23">
    <tableColumn id="1" xr3:uid="{D3FD62B7-9AFF-4D95-834F-2ECFAA019FC5}" name="DL" dataDxfId="70"/>
    <tableColumn id="2" xr3:uid="{A0B3E34D-BD98-4E9B-A864-9E712815546E}" name="Kunde" dataDxfId="69"/>
    <tableColumn id="3" xr3:uid="{2BE6E8C5-0F79-4708-B08B-350CBC9DD85D}" name="Selskab" dataDxfId="68"/>
    <tableColumn id="4" xr3:uid="{5B714ED4-5BA3-4AC4-B11C-821C925EBFF5}" name="Ejendoms nr" dataDxfId="67"/>
    <tableColumn id="5" xr3:uid="{7FD5C051-5C28-4E50-98C4-05DD2B792612}" name="Gruppe" dataDxfId="66"/>
    <tableColumn id="6" xr3:uid="{4C2592D9-1DB8-4564-8669-E63272544DEF}" name="Ejendom" dataDxfId="65"/>
    <tableColumn id="7" xr3:uid="{3D5C1828-2D2A-4F60-9289-DB2353F41010}" name="Adresse"/>
    <tableColumn id="8" xr3:uid="{8FAFEF8C-8B47-4453-AF7B-B0C9B0F0F871}" name="Post nr" dataDxfId="64"/>
    <tableColumn id="9" xr3:uid="{B0092161-E2C0-41A9-B254-7AFC08D7D1BC}" name="By"/>
    <tableColumn id="10" xr3:uid="{13B5358A-C350-4560-8870-9AE520972324}" name="Viceværter" dataDxfId="63"/>
    <tableColumn id="11" xr3:uid="{75B5E03C-96D6-45A4-AFEF-93ADA686F178}" name="Ny vicevært" dataDxfId="62"/>
    <tableColumn id="12" xr3:uid="{1B0A9742-4480-43BA-80DA-8C912F7B12B4}" name="Kategori"/>
    <tableColumn id="13" xr3:uid="{BEB91C94-65C1-4300-9535-2BCF4BC87500}" name="Vicevært" dataDxfId="61"/>
    <tableColumn id="14" xr3:uid="{D93B3223-C816-4981-BE11-4A2BA119850F}" name="Gartner" dataDxfId="60"/>
    <tableColumn id="15" xr3:uid="{1478B88D-7259-4001-8138-E4E99776D74B}" name="Feje/suge" dataDxfId="59"/>
    <tableColumn id="16" xr3:uid="{9373316A-C10D-40B7-A4FA-1C62E4B15397}" name="CTS" dataDxfId="58"/>
    <tableColumn id="17" xr3:uid="{DDFA3194-7739-4A2A-B348-821DF3C51EA0}" name="SC" dataDxfId="57"/>
    <tableColumn id="18" xr3:uid="{CC238532-5D57-4F87-8A16-714A865DB81A}" name="Opstartsdato"/>
    <tableColumn id="19" xr3:uid="{5D92ACDA-552D-4647-8C2C-234328A92C4F}" name="Slutdato"/>
    <tableColumn id="20" xr3:uid="{79F269DA-98F3-4AF8-9431-AF962E463FF7}" name="FS-aftale" dataDxfId="56"/>
    <tableColumn id="21" xr3:uid="{E1A6436C-DFFD-4C4C-AA21-BEBD7C69A492}" name="Kommentar"/>
    <tableColumn id="22" xr3:uid="{5BBBCB46-A368-4FA3-BF20-8CF21A81380F}" name="Antal:"/>
    <tableColumn id="23" xr3:uid="{C85CA8BB-6E3B-4E67-A012-AAB44F858F5B}" name="PT. DL" dataDxfId="55" dataCellStyle="Neutra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44B0A5-5B0D-485A-8D46-58DA362A9183}" name="Tabel16" displayName="Tabel16" ref="A9:W53" totalsRowShown="0" headerRowDxfId="54">
  <autoFilter ref="A9:W53" xr:uid="{73BC72E3-5D8E-4E05-9531-4FAE1C0F352D}"/>
  <tableColumns count="23">
    <tableColumn id="1" xr3:uid="{25189B7A-7B8A-4934-950C-75895A4100AC}" name="DL" dataDxfId="53"/>
    <tableColumn id="2" xr3:uid="{0406606C-E780-43A1-B431-17ADEA060B76}" name="Kunde" dataDxfId="52"/>
    <tableColumn id="3" xr3:uid="{D9E9E7C2-A0C4-4791-AC23-724C338524F4}" name="Selskab" dataDxfId="51"/>
    <tableColumn id="4" xr3:uid="{30347238-D3B1-4AA9-811D-E641F1470DF0}" name="Ejendoms nr" dataDxfId="50"/>
    <tableColumn id="5" xr3:uid="{FBCCF637-81DA-494C-91C1-263B38D212CA}" name="Gruppe" dataDxfId="49"/>
    <tableColumn id="6" xr3:uid="{0F7E801B-0B2E-4E1D-8227-C12CC1951E0C}" name="Ejendom"/>
    <tableColumn id="7" xr3:uid="{4920DC0B-05CC-4F2C-A401-F4312D970D64}" name="Adresse"/>
    <tableColumn id="8" xr3:uid="{E793B3FE-4AED-4166-A016-2A5EDA78DBF0}" name="Post nr" dataDxfId="48"/>
    <tableColumn id="9" xr3:uid="{36D8E1E4-581E-4473-BAF5-DC0F83B81933}" name="By"/>
    <tableColumn id="10" xr3:uid="{7304BE08-5F63-4A88-A64D-2B635DE25E3F}" name="Viceværter"/>
    <tableColumn id="11" xr3:uid="{FD88E2BE-A2DC-40F5-8FB7-E8A39C36DBBD}" name="Ny vicevært"/>
    <tableColumn id="12" xr3:uid="{D9D759C5-4EA2-4BEC-B8D8-AA952C964EA5}" name="Kategori"/>
    <tableColumn id="13" xr3:uid="{AB18E8A3-C208-405C-97B6-6DB9F4F22A2F}" name="Vicevært" dataDxfId="47"/>
    <tableColumn id="14" xr3:uid="{221AE69D-0746-43D4-B6ED-DE967263BDD9}" name="Gartner" dataDxfId="46"/>
    <tableColumn id="15" xr3:uid="{2B87ACC2-7FC3-49A0-9933-6DF336C47112}" name="Feje/suge" dataDxfId="45"/>
    <tableColumn id="16" xr3:uid="{E323CF72-B856-418E-8A3E-95EF427260C6}" name="CTS" dataDxfId="44"/>
    <tableColumn id="17" xr3:uid="{81A4998B-A4D9-4C14-9DEE-4A6281DE4497}" name="SC" dataDxfId="43"/>
    <tableColumn id="18" xr3:uid="{54CD0631-1031-4B47-B040-AC2DB2D433C7}" name="Opstartsdato" dataDxfId="42"/>
    <tableColumn id="19" xr3:uid="{AF769637-5A22-4B2F-BD3D-0EE57F425211}" name="Slutdato"/>
    <tableColumn id="20" xr3:uid="{AF87C790-4C48-45B6-9573-70CD959DE8FF}" name="FS-aftale"/>
    <tableColumn id="21" xr3:uid="{13E817E3-2403-4EF0-B37F-CB2D7C524EFD}" name="Kommentar"/>
    <tableColumn id="22" xr3:uid="{286141A6-7E2B-4E76-B564-AF299C12A2D3}" name="Antal:"/>
    <tableColumn id="23" xr3:uid="{EA6824F3-8CD0-4046-85BC-2878C0A4BBCD}" name="PT. DL" dataCellStyle="Neutr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BE258D6-B295-4F9E-B948-B160AB23F0D3}" name="Tabel17" displayName="Tabel17" ref="A9:W20" totalsRowShown="0" headerRowDxfId="41">
  <autoFilter ref="A9:W20" xr:uid="{4F702398-6B18-4558-96AD-41C6137EBA58}"/>
  <tableColumns count="23">
    <tableColumn id="1" xr3:uid="{D96C805D-DFDD-43C6-8BB3-B67AD51D6525}" name="DL" dataDxfId="40" dataCellStyle="God"/>
    <tableColumn id="2" xr3:uid="{05C6E549-6B47-4B10-B931-5EDA29D24A38}" name="Kunde"/>
    <tableColumn id="3" xr3:uid="{9A7468F5-4A6B-45FD-A79F-A828F8BAEA1C}" name="Selskab" dataDxfId="39"/>
    <tableColumn id="4" xr3:uid="{97B4D7A1-EB33-4568-AB0E-8ADC6B6346F9}" name="Ejendoms nr" dataDxfId="38"/>
    <tableColumn id="5" xr3:uid="{88067530-F6C4-4F2C-A9D5-49830C508BB1}" name="Gruppe" dataDxfId="37"/>
    <tableColumn id="6" xr3:uid="{918F2916-7AF3-44C0-AA27-FC32D0A521C2}" name="Ejendom" dataDxfId="36"/>
    <tableColumn id="7" xr3:uid="{80ABE119-350B-4505-B58E-0488CE4CC162}" name="Adresse"/>
    <tableColumn id="8" xr3:uid="{EE2B0836-C7C4-474D-AD02-25A1F73F0E0B}" name="Post nr" dataDxfId="35"/>
    <tableColumn id="9" xr3:uid="{C80BC236-821F-4076-B178-0B7763E0A4B6}" name="By" dataDxfId="34"/>
    <tableColumn id="10" xr3:uid="{28BE51D8-8424-471E-B956-7030F4C7695E}" name="Viceværter"/>
    <tableColumn id="11" xr3:uid="{00F2656F-7568-4FBF-A0F7-A9B07AF7FCC9}" name="Ny vicevært"/>
    <tableColumn id="12" xr3:uid="{3D7932CF-1EEB-4924-ABCE-1E39B208410F}" name="Kategori" dataDxfId="33"/>
    <tableColumn id="13" xr3:uid="{7F2E6AE4-7EFF-4013-8D6E-0CEE15C6B9B9}" name="Vicevært" dataDxfId="32"/>
    <tableColumn id="14" xr3:uid="{8F263EE3-BA27-4FE8-9F46-6D2D29E46924}" name="Gartner" dataDxfId="31"/>
    <tableColumn id="15" xr3:uid="{66799D28-89B9-4889-9161-D37EF6CE73DB}" name="Feje/suge" dataDxfId="30"/>
    <tableColumn id="16" xr3:uid="{42E433C0-F510-4C3B-B041-FCA89922F33D}" name="CTS" dataDxfId="29"/>
    <tableColumn id="17" xr3:uid="{78C96E6A-1D06-40A9-A7CA-7645A73B1634}" name="SC" dataDxfId="28"/>
    <tableColumn id="18" xr3:uid="{9E8301C3-C366-4CC3-95C1-5CC3FDDE31D8}" name="Opstartsdato"/>
    <tableColumn id="19" xr3:uid="{6D8C4225-3538-4DE4-934F-41835E37CF17}" name="Slutdato"/>
    <tableColumn id="20" xr3:uid="{39DCAD3A-2D6A-479A-B48F-1CBB5770A943}" name="FS-aftale" dataDxfId="27"/>
    <tableColumn id="21" xr3:uid="{04D0AADD-982D-4E66-8954-44420DBCDFE1}" name="Kommentar"/>
    <tableColumn id="22" xr3:uid="{BD38840C-0C10-4741-ADB7-EE45AA838273}" name="Antal:"/>
    <tableColumn id="23" xr3:uid="{CFE0E127-2B99-4270-AB29-1F5B91C41080}" name="PT. D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947A804-0992-487F-86CD-40E794C5DE0B}" name="Tabel18" displayName="Tabel18" ref="A9:W20" totalsRowShown="0" headerRowDxfId="26">
  <autoFilter ref="A9:W20" xr:uid="{005656CF-1D25-4BCD-A916-A9E45A9DEAF8}"/>
  <tableColumns count="23">
    <tableColumn id="1" xr3:uid="{928A6A97-F994-4F1E-956B-153281EC991A}" name="DL"/>
    <tableColumn id="2" xr3:uid="{911ACBCE-7AA6-47D7-83AA-5F5B9E9046DE}" name="Kunde"/>
    <tableColumn id="3" xr3:uid="{89852608-9FF4-4D55-B9CF-057A2C8A947B}" name="Selskab" dataDxfId="25"/>
    <tableColumn id="4" xr3:uid="{2D6F8BFF-B5B9-49B2-8104-B2540747ADE1}" name="Ejendoms nr" dataDxfId="24"/>
    <tableColumn id="5" xr3:uid="{B648C71F-5B38-47D2-8419-8583B0A215F7}" name="Gruppe" dataDxfId="23"/>
    <tableColumn id="6" xr3:uid="{5FD2D909-B6A5-4193-972F-66099273CDFC}" name="Ejendom"/>
    <tableColumn id="7" xr3:uid="{38C10691-AEE7-446E-9031-51712BE63D95}" name="Adresse"/>
    <tableColumn id="8" xr3:uid="{583BA923-DA8F-45A8-BAC8-7E2CE0ECDEB1}" name="Post nr" dataDxfId="22"/>
    <tableColumn id="9" xr3:uid="{B7C6FC73-99FA-4023-A28A-73D5E72AFB6C}" name="By" dataDxfId="21"/>
    <tableColumn id="10" xr3:uid="{B7D43703-430A-4A3F-9AF7-EA32B760D58B}" name="Viceværter"/>
    <tableColumn id="11" xr3:uid="{529089BB-41F3-448F-B5B4-E8580EDF1A1C}" name="Ny vicevært"/>
    <tableColumn id="12" xr3:uid="{964E2AE3-2934-4D7A-B7CE-A6D3FEFF1610}" name="Kategori" dataDxfId="20"/>
    <tableColumn id="13" xr3:uid="{5A21B238-7AEF-4961-8A40-B67A1A49F176}" name="Vicevært" dataDxfId="19"/>
    <tableColumn id="14" xr3:uid="{7250CD84-7C67-40F1-8D0B-9C8E4B627194}" name="Gartner" dataDxfId="18"/>
    <tableColumn id="15" xr3:uid="{4C2B8CA2-FA5B-4FF0-8A2E-4D3EF65FB758}" name="Feje/suge" dataDxfId="17"/>
    <tableColumn id="16" xr3:uid="{A1E566E7-7AC9-4D95-A053-8AD2F0035597}" name="CTS" dataDxfId="16"/>
    <tableColumn id="17" xr3:uid="{09C4DAF6-8C86-4201-B1D0-99F2A920C4CB}" name="SC" dataDxfId="15"/>
    <tableColumn id="18" xr3:uid="{798C01B0-7F5E-4CBF-9115-97C6E034B09D}" name="Opstartsdato" dataDxfId="14"/>
    <tableColumn id="19" xr3:uid="{89FBF093-D077-49EC-A1D0-5EB4EB1B4851}" name="Slutdato"/>
    <tableColumn id="20" xr3:uid="{C4240DBB-7071-49B5-8294-EB0056280309}" name="FS-aftale" dataDxfId="13"/>
    <tableColumn id="21" xr3:uid="{8459297C-50F8-4115-BE8C-B19D1571A8BA}" name="Kommentar"/>
    <tableColumn id="22" xr3:uid="{1BF6D3E7-DE25-4B14-8246-FF5BC59E87E1}" name="Antal:"/>
    <tableColumn id="23" xr3:uid="{2162BE3C-2F1B-4FF2-A2D1-C80F616222F8}" name="PT. D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150467D-C972-4205-89EC-38B60C3154A9}" name="Tabel19" displayName="Tabel19" ref="A9:W18" totalsRowShown="0" headerRowDxfId="12">
  <autoFilter ref="A9:W18" xr:uid="{83ACE790-96D1-4287-A70D-D10B4C7319E2}"/>
  <tableColumns count="23">
    <tableColumn id="1" xr3:uid="{466B28F7-2C0A-4A94-AE1C-CA61BACD3278}" name="DL"/>
    <tableColumn id="2" xr3:uid="{A25973D6-4B80-4BA2-96B9-DEC0B14083D6}" name="Kunde"/>
    <tableColumn id="3" xr3:uid="{8B2E3206-0582-4383-98D2-F371A9351F87}" name="Selskab" dataDxfId="11"/>
    <tableColumn id="4" xr3:uid="{554FCAC2-FF07-4888-BABC-DA1117026C27}" name="Ejendoms nr" dataDxfId="10"/>
    <tableColumn id="5" xr3:uid="{325E7C82-E76B-40DC-8E0F-E30A8992D53D}" name="Gruppe" dataDxfId="9"/>
    <tableColumn id="6" xr3:uid="{E42FF27E-BC6F-4DDA-A6A3-5902E440F64A}" name="Ejendom" dataDxfId="8"/>
    <tableColumn id="7" xr3:uid="{6CE2D237-9C5E-4EC8-8373-64E677A8D15F}" name="Adresse"/>
    <tableColumn id="8" xr3:uid="{86D7FDCA-2BEB-4D9B-8D28-BEE5EF531C99}" name="Post nr" dataDxfId="7"/>
    <tableColumn id="9" xr3:uid="{2A6AF7A1-5704-44BF-BBC4-FC642F6AE754}" name="By"/>
    <tableColumn id="10" xr3:uid="{C620CC59-8F9E-41E6-B7DA-87D6519B9E8B}" name="Viceværter"/>
    <tableColumn id="11" xr3:uid="{A85C2092-4AD4-4512-89F4-4A5BFF2B0D77}" name="Ny vicevært"/>
    <tableColumn id="12" xr3:uid="{E6AAFF3B-9D85-4342-BBE4-36AAB0D93A9F}" name="Kategori"/>
    <tableColumn id="13" xr3:uid="{1222718A-F970-4AAB-BCF9-3B150A5AF3AE}" name="Vicevært" dataDxfId="6"/>
    <tableColumn id="14" xr3:uid="{E1A386A5-8431-44CA-B8F9-8D760C0DD5F8}" name="Gartner" dataDxfId="5"/>
    <tableColumn id="15" xr3:uid="{50AFC4DD-B046-4904-934E-845A5CCE2CAA}" name="Feje/suge" dataDxfId="4"/>
    <tableColumn id="16" xr3:uid="{4BBD256E-0B0B-4494-AF65-6191763B4EC3}" name="CTS" dataDxfId="3"/>
    <tableColumn id="17" xr3:uid="{10389BE9-E1C4-4134-B0DA-C46D960B0D3D}" name="SC" dataDxfId="2"/>
    <tableColumn id="18" xr3:uid="{A36CC410-63E1-4B85-ACC6-C78CE037AC55}" name="Opstartsdato" dataDxfId="1"/>
    <tableColumn id="19" xr3:uid="{FC05EE12-5585-478F-9662-74F8FCA27370}" name="Slutdato"/>
    <tableColumn id="20" xr3:uid="{DE4F34FF-98CE-440D-8BFB-C1B1CEE73E96}" name="FS-aftale" dataDxfId="0"/>
    <tableColumn id="21" xr3:uid="{4C89B5F3-F993-40B7-A7F8-970E3C1970EF}" name="Kommentar"/>
    <tableColumn id="22" xr3:uid="{ED2E75D1-B14F-405A-961E-20617B43676A}" name="Antal:"/>
    <tableColumn id="23" xr3:uid="{6D9CCE8E-D19C-483F-B796-07922A271E92}" name="PT. D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11&amp;EjendomNr=154&amp;rs%3AParameterLanguage=" TargetMode="External"/><Relationship Id="rId13" Type="http://schemas.openxmlformats.org/officeDocument/2006/relationships/hyperlink" Target="http://sa03/ReportServer?%2FInterne%20Lister%2FEjendomsliste1&amp;SelskabNr=11&amp;EjendomNr=404&amp;rs%3AParameterLanguage=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sa03/ReportServer?%2FInterne%20Lister%2FEjendomsliste1&amp;SelskabNr=11&amp;EjendomNr=319&amp;rs%3AParameterLanguage=" TargetMode="External"/><Relationship Id="rId7" Type="http://schemas.openxmlformats.org/officeDocument/2006/relationships/hyperlink" Target="http://sa03/ReportServer?%2FInterne%20Lister%2FEjendomsliste1&amp;SelskabNr=11&amp;EjendomNr=134&amp;rs%3AParameterLanguage=" TargetMode="External"/><Relationship Id="rId12" Type="http://schemas.openxmlformats.org/officeDocument/2006/relationships/hyperlink" Target="http://sa03/ReportServer?%2FInterne%20Lister%2FEjendomsliste1&amp;SelskabNr=11&amp;EjendomNr=199&amp;rs%3AParameterLanguage=" TargetMode="External"/><Relationship Id="rId17" Type="http://schemas.openxmlformats.org/officeDocument/2006/relationships/hyperlink" Target="http://sa03/ReportServer?%2FInterne%20Lister%2FEjendomsliste1&amp;SelskabNr=11&amp;EjendomNr=425&amp;rs%3AParameterLanguage=" TargetMode="External"/><Relationship Id="rId2" Type="http://schemas.openxmlformats.org/officeDocument/2006/relationships/hyperlink" Target="http://sa03/ReportServer?%2FInterne%20Lister%2FEjdStamdata&amp;SelskabNr=11&amp;EjendomNr=414&amp;rs%3AParameterLanguage=" TargetMode="External"/><Relationship Id="rId16" Type="http://schemas.openxmlformats.org/officeDocument/2006/relationships/hyperlink" Target="http://sa03/ReportServer?%2FInterne%20Lister%2FEjendomsliste1&amp;SelskabNr=11&amp;EjendomNr=304&amp;rs%3AParameterLanguage=" TargetMode="External"/><Relationship Id="rId1" Type="http://schemas.openxmlformats.org/officeDocument/2006/relationships/hyperlink" Target="http://sa03/ReportServer?%2FInterne%20Lister%2FEjdStamdata&amp;SelskabNr=11&amp;EjendomNr=392&amp;rs%3AParameterLanguage=" TargetMode="External"/><Relationship Id="rId6" Type="http://schemas.openxmlformats.org/officeDocument/2006/relationships/hyperlink" Target="http://sa03/ReportServer?%2FInterne%20Lister%2FEjdStamdata&amp;SelskabNr=11&amp;EjendomNr=454&amp;rs%3AParameterLanguage=" TargetMode="External"/><Relationship Id="rId11" Type="http://schemas.openxmlformats.org/officeDocument/2006/relationships/hyperlink" Target="http://sa03/ReportServer?%2FInterne%20Lister%2FEjendomsliste1&amp;SelskabNr=11&amp;EjendomNr=198&amp;rs%3AParameterLanguage=" TargetMode="External"/><Relationship Id="rId5" Type="http://schemas.openxmlformats.org/officeDocument/2006/relationships/hyperlink" Target="http://sa03/ReportServer?%2FInterne%20Lister%2FEjdStamdata&amp;SelskabNr=11&amp;EjendomNr=396&amp;rs%3AParameterLanguage=" TargetMode="External"/><Relationship Id="rId15" Type="http://schemas.openxmlformats.org/officeDocument/2006/relationships/hyperlink" Target="http://sa03/ReportServer?%2FInterne%20Lister%2FEjendomsliste1&amp;SelskabNr=11&amp;EjendomNr=189&amp;rs%3AParameterLanguage=" TargetMode="External"/><Relationship Id="rId10" Type="http://schemas.openxmlformats.org/officeDocument/2006/relationships/hyperlink" Target="http://sa03/ReportServer?%2FInterne%20Lister%2FEjendomsliste1&amp;SelskabNr=11&amp;EjendomNr=193&amp;rs%3AParameterLanguage=" TargetMode="External"/><Relationship Id="rId4" Type="http://schemas.openxmlformats.org/officeDocument/2006/relationships/hyperlink" Target="http://sa03/ReportServer?%2FInterne%20Lister%2FEjendomsliste1&amp;SelskabNr=11&amp;EjendomNr=409&amp;rs%3AParameterLanguage=" TargetMode="External"/><Relationship Id="rId9" Type="http://schemas.openxmlformats.org/officeDocument/2006/relationships/hyperlink" Target="http://sa03/ReportServer?%2FInterne%20Lister%2FEjendomsliste1&amp;SelskabNr=11&amp;EjendomNr=191&amp;rs%3AParameterLanguage=" TargetMode="External"/><Relationship Id="rId14" Type="http://schemas.openxmlformats.org/officeDocument/2006/relationships/hyperlink" Target="http://sa03/ReportServer?%2FInterne%20Lister%2FEjendomsliste1&amp;SelskabNr=11&amp;EjendomNr=490&amp;rs%3AParameterLanguage=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://sa03/ReportServer?%2FInterne%20Lister%2FEjendomsliste1&amp;SelskabNr=11&amp;EjendomNr=319&amp;rs%3AParameterLanguage=" TargetMode="External"/><Relationship Id="rId7" Type="http://schemas.openxmlformats.org/officeDocument/2006/relationships/hyperlink" Target="http://sa03/ReportServer?%2FInterne%20Lister%2FEjendomsliste1&amp;SelskabNr=11&amp;EjendomNr=134&amp;rs%3AParameterLanguage=" TargetMode="External"/><Relationship Id="rId2" Type="http://schemas.openxmlformats.org/officeDocument/2006/relationships/hyperlink" Target="http://sa03/ReportServer?%2FInterne%20Lister%2FEjdStamdata&amp;SelskabNr=11&amp;EjendomNr=414&amp;rs%3AParameterLanguage=" TargetMode="External"/><Relationship Id="rId1" Type="http://schemas.openxmlformats.org/officeDocument/2006/relationships/hyperlink" Target="http://sa03/ReportServer?%2FInterne%20Lister%2FEjdStamdata&amp;SelskabNr=11&amp;EjendomNr=392&amp;rs%3AParameterLanguage=" TargetMode="External"/><Relationship Id="rId6" Type="http://schemas.openxmlformats.org/officeDocument/2006/relationships/hyperlink" Target="http://sa03/ReportServer?%2FInterne%20Lister%2FEjdStamdata&amp;SelskabNr=11&amp;EjendomNr=454&amp;rs%3AParameterLanguage=" TargetMode="External"/><Relationship Id="rId5" Type="http://schemas.openxmlformats.org/officeDocument/2006/relationships/hyperlink" Target="http://sa03/ReportServer?%2FInterne%20Lister%2FEjdStamdata&amp;SelskabNr=11&amp;EjendomNr=396&amp;rs%3AParameterLanguage=" TargetMode="External"/><Relationship Id="rId4" Type="http://schemas.openxmlformats.org/officeDocument/2006/relationships/hyperlink" Target="http://sa03/ReportServer?%2FInterne%20Lister%2FEjendomsliste1&amp;SelskabNr=11&amp;EjendomNr=409&amp;rs%3AParameterLanguage=" TargetMode="External"/><Relationship Id="rId9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13&amp;EjendomNr=523&amp;rs%3AParameterLanguage=" TargetMode="External"/><Relationship Id="rId13" Type="http://schemas.openxmlformats.org/officeDocument/2006/relationships/hyperlink" Target="http://sa03/ReportServer?%2FInterne%20Lister%2FEjendomsliste1&amp;SelskabNr=13&amp;EjendomNr=560&amp;rs%3AParameterLanguage=" TargetMode="External"/><Relationship Id="rId18" Type="http://schemas.openxmlformats.org/officeDocument/2006/relationships/hyperlink" Target="http://sa03/ReportServer?%2FInterne%20Lister%2FEjendomsliste1&amp;SelskabNr=9&amp;EjendomNr=556&amp;rs%3AParameterLanguage=" TargetMode="External"/><Relationship Id="rId26" Type="http://schemas.openxmlformats.org/officeDocument/2006/relationships/hyperlink" Target="http://sa03/ReportServer?%2FInterne%20Lister%2FEjendomsliste1&amp;SelskabNr=8&amp;EjendomNr=150&amp;rs%3AParameterLanguage=" TargetMode="External"/><Relationship Id="rId3" Type="http://schemas.openxmlformats.org/officeDocument/2006/relationships/hyperlink" Target="http://sa03/ReportServer?%2FInterne%20Lister%2FEjendomsliste1&amp;SelskabNr=170&amp;EjendomNr=101&amp;rs%3AParameterLanguage=" TargetMode="External"/><Relationship Id="rId21" Type="http://schemas.openxmlformats.org/officeDocument/2006/relationships/hyperlink" Target="http://sa03/ReportServer?%2FInterne%20Lister%2FEjendomsliste1&amp;SelskabNr=9&amp;EjendomNr=145&amp;rs%3AParameterLanguage=" TargetMode="External"/><Relationship Id="rId7" Type="http://schemas.openxmlformats.org/officeDocument/2006/relationships/hyperlink" Target="http://sa03/ReportServer?%2FInterne%20Lister%2FEjendomsliste1&amp;SelskabNr=13&amp;EjendomNr=410&amp;rs%3AParameterLanguage=" TargetMode="External"/><Relationship Id="rId12" Type="http://schemas.openxmlformats.org/officeDocument/2006/relationships/hyperlink" Target="http://sa03/ReportServer?%2FInterne%20Lister%2FEjendomsliste1&amp;SelskabNr=13&amp;EjendomNr=552&amp;rs%3AParameterLanguage=" TargetMode="External"/><Relationship Id="rId17" Type="http://schemas.openxmlformats.org/officeDocument/2006/relationships/hyperlink" Target="http://sa03/ReportServer?%2FInterne%20Lister%2FEjendomsliste1&amp;SelskabNr=9&amp;EjendomNr=559&amp;rs%3AParameterLanguage=" TargetMode="External"/><Relationship Id="rId25" Type="http://schemas.openxmlformats.org/officeDocument/2006/relationships/hyperlink" Target="http://sa03/ReportServer?%2FInterne%20Lister%2FEjendomsliste1&amp;SelskabNr=9&amp;EjendomNr=141&amp;rs%3AParameterLanguage=" TargetMode="External"/><Relationship Id="rId2" Type="http://schemas.openxmlformats.org/officeDocument/2006/relationships/hyperlink" Target="http://sa03/ReportServer?%2FInterne%20Lister%2FEjendomsliste1&amp;SelskabNr=134&amp;EjendomNr=111&amp;rs%3AParameterLanguage=" TargetMode="External"/><Relationship Id="rId16" Type="http://schemas.openxmlformats.org/officeDocument/2006/relationships/hyperlink" Target="http://sa03/ReportServer?%2FInterne%20Lister%2FEjendomsliste1&amp;SelskabNr=9&amp;EjendomNr=140&amp;rs%3AParameterLanguage=" TargetMode="External"/><Relationship Id="rId20" Type="http://schemas.openxmlformats.org/officeDocument/2006/relationships/hyperlink" Target="http://sa03/ReportServer?%2FInterne%20Lister%2FEjendomsliste1&amp;SelskabNr=9&amp;EjendomNr=553&amp;rs%3AParameterLanguage=" TargetMode="External"/><Relationship Id="rId1" Type="http://schemas.openxmlformats.org/officeDocument/2006/relationships/hyperlink" Target="http://sa03/ReportServer?%2FInterne%20Lister%2FEjendomsliste1&amp;SelskabNr=134&amp;EjendomNr=110&amp;rs%3AParameterLanguage=" TargetMode="External"/><Relationship Id="rId6" Type="http://schemas.openxmlformats.org/officeDocument/2006/relationships/hyperlink" Target="http://sa03/ReportServer?%2FInterne%20Lister%2FEjendomsliste1&amp;SelskabNr=13&amp;EjendomNr=516&amp;rs%3AParameterLanguage=" TargetMode="External"/><Relationship Id="rId11" Type="http://schemas.openxmlformats.org/officeDocument/2006/relationships/hyperlink" Target="http://sa03/ReportServer?%2FInterne%20Lister%2FEjendomsliste1&amp;SelskabNr=13&amp;EjendomNr=536&amp;rs%3AParameterLanguage=" TargetMode="External"/><Relationship Id="rId24" Type="http://schemas.openxmlformats.org/officeDocument/2006/relationships/hyperlink" Target="http://sa03/ReportServer?%2FInterne%20Lister%2FEjendomsliste1&amp;SelskabNr=9&amp;EjendomNr=142&amp;rs%3AParameterLanguage=" TargetMode="External"/><Relationship Id="rId5" Type="http://schemas.openxmlformats.org/officeDocument/2006/relationships/hyperlink" Target="http://sa03/ReportServer?%2FInterne%20Lister%2FEjendomsliste1&amp;SelskabNr=13&amp;EjendomNr=404&amp;rs%3AParameterLanguage=" TargetMode="External"/><Relationship Id="rId15" Type="http://schemas.openxmlformats.org/officeDocument/2006/relationships/hyperlink" Target="http://sa03/ReportServer?%2FInterne%20Lister%2FEjendomsliste1&amp;SelskabNr=8&amp;EjendomNr=359&amp;rs%3AParameterLanguage=" TargetMode="External"/><Relationship Id="rId23" Type="http://schemas.openxmlformats.org/officeDocument/2006/relationships/hyperlink" Target="http://sa03/ReportServer?%2FInterne%20Lister%2FEjendomsliste1&amp;SelskabNr=9&amp;EjendomNr=143&amp;rs%3AParameterLanguage=" TargetMode="External"/><Relationship Id="rId28" Type="http://schemas.openxmlformats.org/officeDocument/2006/relationships/table" Target="../tables/table5.xml"/><Relationship Id="rId10" Type="http://schemas.openxmlformats.org/officeDocument/2006/relationships/hyperlink" Target="http://sa03/ReportServer?%2FInterne%20Lister%2FEjendomsliste1&amp;SelskabNr=13&amp;EjendomNr=535&amp;rs%3AParameterLanguage=" TargetMode="External"/><Relationship Id="rId19" Type="http://schemas.openxmlformats.org/officeDocument/2006/relationships/hyperlink" Target="http://sa03/ReportServer?%2FInterne%20Lister%2FEjendomsliste1&amp;SelskabNr=9&amp;EjendomNr=555&amp;rs%3AParameterLanguage=" TargetMode="External"/><Relationship Id="rId4" Type="http://schemas.openxmlformats.org/officeDocument/2006/relationships/hyperlink" Target="http://sa03/ReportServer?%2FInterne%20Lister%2FEjendomsliste1&amp;SelskabNr=8&amp;EjendomNr=404&amp;rs%3AParameterLanguage=" TargetMode="External"/><Relationship Id="rId9" Type="http://schemas.openxmlformats.org/officeDocument/2006/relationships/hyperlink" Target="http://sa03/ReportServer?%2FInterne%20Lister%2FEjendomsliste1&amp;SelskabNr=13&amp;EjendomNr=524&amp;rs%3AParameterLanguage=" TargetMode="External"/><Relationship Id="rId14" Type="http://schemas.openxmlformats.org/officeDocument/2006/relationships/hyperlink" Target="http://sa03/ReportServer?%2FInterne%20Lister%2FEjendomsliste1&amp;SelskabNr=8&amp;EjendomNr=603&amp;rs%3AParameterLanguage=" TargetMode="External"/><Relationship Id="rId22" Type="http://schemas.openxmlformats.org/officeDocument/2006/relationships/hyperlink" Target="http://sa03/ReportServer?%2FInterne%20Lister%2FEjendomsliste1&amp;SelskabNr=9&amp;EjendomNr=144&amp;rs%3AParameterLanguage=" TargetMode="External"/><Relationship Id="rId27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41&amp;EjendomNr=891&amp;rs%3AParameterLanguage=" TargetMode="External"/><Relationship Id="rId13" Type="http://schemas.openxmlformats.org/officeDocument/2006/relationships/hyperlink" Target="http://sa03/ReportServer?%2FInterne%20Lister%2FEjendomsliste1&amp;SelskabNr=41&amp;EjendomNr=9999&amp;rs%3AParameterLanguage=" TargetMode="External"/><Relationship Id="rId3" Type="http://schemas.openxmlformats.org/officeDocument/2006/relationships/hyperlink" Target="http://sa03/ReportServer?%2FInterne%20Lister%2FEjendomsliste1&amp;SelskabNr=59&amp;EjendomNr=3&amp;rs%3AParameterLanguage=" TargetMode="External"/><Relationship Id="rId7" Type="http://schemas.openxmlformats.org/officeDocument/2006/relationships/hyperlink" Target="http://sa03/ReportServer?%2FInterne%20Lister%2FEjendomsliste1&amp;SelskabNr=20&amp;EjendomNr=214&amp;rs%3AParameterLanguage=" TargetMode="External"/><Relationship Id="rId12" Type="http://schemas.openxmlformats.org/officeDocument/2006/relationships/hyperlink" Target="http://sa03/ReportServer?%2FInterne%20Lister%2FEjendomsliste1&amp;SelskabNr=41&amp;EjendomNr=898&amp;rs%3AParameterLanguage=" TargetMode="External"/><Relationship Id="rId2" Type="http://schemas.openxmlformats.org/officeDocument/2006/relationships/hyperlink" Target="http://sa03/ReportServer?%2FInterne%20Lister%2FEjendomsliste1&amp;SelskabNr=59&amp;EjendomNr=2&amp;rs%3AParameterLanguage=" TargetMode="External"/><Relationship Id="rId1" Type="http://schemas.openxmlformats.org/officeDocument/2006/relationships/hyperlink" Target="http://sa03/ReportServer?%2FInterne%20Lister%2FEjendomsliste1&amp;SelskabNr=59&amp;EjendomNr=1&amp;rs%3AParameterLanguage=" TargetMode="External"/><Relationship Id="rId6" Type="http://schemas.openxmlformats.org/officeDocument/2006/relationships/hyperlink" Target="http://sa03/ReportServer?%2FInterne%20Lister%2FEjendomsliste1&amp;SelskabNr=39&amp;EjendomNr=853&amp;rs%3AParameterLanguage=" TargetMode="External"/><Relationship Id="rId11" Type="http://schemas.openxmlformats.org/officeDocument/2006/relationships/hyperlink" Target="http://sa03/ReportServer?%2FInterne%20Lister%2FEjendomsliste1&amp;SelskabNr=41&amp;EjendomNr=897&amp;rs%3AParameterLanguage=" TargetMode="External"/><Relationship Id="rId5" Type="http://schemas.openxmlformats.org/officeDocument/2006/relationships/hyperlink" Target="http://sa03/ReportServer?%2FInterne%20Lister%2FEjendomsliste1&amp;SelskabNr=39&amp;EjendomNr=854&amp;rs%3AParameterLanguage=" TargetMode="External"/><Relationship Id="rId15" Type="http://schemas.openxmlformats.org/officeDocument/2006/relationships/table" Target="../tables/table6.xml"/><Relationship Id="rId10" Type="http://schemas.openxmlformats.org/officeDocument/2006/relationships/hyperlink" Target="http://sa03/ReportServer?%2FInterne%20Lister%2FEjendomsliste1&amp;SelskabNr=41&amp;EjendomNr=895&amp;rs%3AParameterLanguage=" TargetMode="External"/><Relationship Id="rId4" Type="http://schemas.openxmlformats.org/officeDocument/2006/relationships/hyperlink" Target="http://sa03/ReportServer?%2FInterne%20Lister%2FEjendomsliste1&amp;SelskabNr=59&amp;EjendomNr=4&amp;rs%3AParameterLanguage=" TargetMode="External"/><Relationship Id="rId9" Type="http://schemas.openxmlformats.org/officeDocument/2006/relationships/hyperlink" Target="http://sa03/ReportServer?%2FInterne%20Lister%2FEjendomsliste1&amp;SelskabNr=41&amp;EjendomNr=894&amp;rs%3AParameterLanguage=" TargetMode="External"/><Relationship Id="rId14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hyperlink" Target="http://sa03/ReportServer?%2FInterne%20Lister%2FEjendomsliste1&amp;SelskabNr=2&amp;EjendomNr=718&amp;rs%3AParameterLanguage=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://sa03/ReportServer?%2FInterne%20Lister%2FEjendomsliste1&amp;SelskabNr=2&amp;EjendomNr=721&amp;rs%3AParameterLanguage=" TargetMode="External"/><Relationship Id="rId1" Type="http://schemas.openxmlformats.org/officeDocument/2006/relationships/hyperlink" Target="http://sa03/ReportServer?%2FInterne%20Lister%2FEjendomsliste1&amp;SelskabNr=2&amp;EjendomNr=714&amp;rs%3AParameterLanguage=" TargetMode="External"/><Relationship Id="rId6" Type="http://schemas.openxmlformats.org/officeDocument/2006/relationships/hyperlink" Target="http://sa03/ReportServer?%2FInterne%20Lister%2FEjdStamdata&amp;SelskabNr=87&amp;EjendomNr=519&amp;rs%3AParameterLanguage=" TargetMode="External"/><Relationship Id="rId5" Type="http://schemas.openxmlformats.org/officeDocument/2006/relationships/hyperlink" Target="http://sa03/ReportServer?%2FInterne%20Lister%2FEjdStamdata&amp;SelskabNr=87&amp;EjendomNr=518&amp;rs%3AParameterLanguage=" TargetMode="External"/><Relationship Id="rId4" Type="http://schemas.openxmlformats.org/officeDocument/2006/relationships/hyperlink" Target="http://sa03/ReportServer?%2FInterne%20Lister%2FEjendomsliste1&amp;SelskabNr=2&amp;EjendomNr=722&amp;rs%3AParameterLanguage=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hyperlink" Target="http://sa03/ReportServer?%2FInterne%20Lister%2FEjendomsliste1&amp;SelskabNr=117&amp;EjendomNr=107&amp;rs%3AParameterLanguage=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http://sa03/ReportServer?%2FInterne%20Lister%2FEjendomsliste1&amp;SelskabNr=117&amp;EjendomNr=106&amp;rs%3AParameterLanguage=" TargetMode="External"/><Relationship Id="rId1" Type="http://schemas.openxmlformats.org/officeDocument/2006/relationships/hyperlink" Target="http://sa03/ReportServer?%2FInterne%20Lister%2FEjendomsliste1&amp;SelskabNr=98&amp;EjendomNr=116&amp;rs%3AParameterLanguage=" TargetMode="External"/><Relationship Id="rId6" Type="http://schemas.openxmlformats.org/officeDocument/2006/relationships/hyperlink" Target="http://sa03/ReportServer?%2FInterne%20Lister%2FEjendomsliste1&amp;SelskabNr=98&amp;EjendomNr=201&amp;rs%3AParameterLanguage=" TargetMode="External"/><Relationship Id="rId5" Type="http://schemas.openxmlformats.org/officeDocument/2006/relationships/hyperlink" Target="http://sa03/ReportServer?%2FInterne%20Lister%2FEjendomsliste1&amp;SelskabNr=138&amp;EjendomNr=103&amp;rs%3AParameterLanguage=" TargetMode="External"/><Relationship Id="rId4" Type="http://schemas.openxmlformats.org/officeDocument/2006/relationships/hyperlink" Target="http://sa03/ReportServer?%2FInterne%20Lister%2FEjendomsliste1&amp;SelskabNr=117&amp;EjendomNr=108&amp;rs%3AParameterLanguage=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61&amp;EjendomNr=140&amp;rs%3AParameterLanguage=" TargetMode="External"/><Relationship Id="rId13" Type="http://schemas.openxmlformats.org/officeDocument/2006/relationships/hyperlink" Target="http://sa03/ReportServer?%2FInterne%20Lister%2FEjendomsliste1&amp;SelskabNr=28&amp;EjendomNr=64&amp;rs%3AParameterLanguage=" TargetMode="External"/><Relationship Id="rId18" Type="http://schemas.openxmlformats.org/officeDocument/2006/relationships/printerSettings" Target="../printerSettings/printerSettings11.bin"/><Relationship Id="rId3" Type="http://schemas.openxmlformats.org/officeDocument/2006/relationships/hyperlink" Target="http://sa03/ReportServer?%2FInterne%20Lister%2FEjendomsliste1&amp;SelskabNr=51&amp;EjendomNr=581&amp;rs%3AParameterLanguage=" TargetMode="External"/><Relationship Id="rId7" Type="http://schemas.openxmlformats.org/officeDocument/2006/relationships/hyperlink" Target="http://sa03/ReportServer?%2FInterne%20Lister%2FEjendomsliste1&amp;SelskabNr=191&amp;EjendomNr=251&amp;rs%3AParameterLanguage=" TargetMode="External"/><Relationship Id="rId12" Type="http://schemas.openxmlformats.org/officeDocument/2006/relationships/hyperlink" Target="http://sa03/ReportServer?%2FInterne%20Lister%2FEjendomsliste1&amp;SelskabNr=28&amp;EjendomNr=63&amp;rs%3AParameterLanguage=" TargetMode="External"/><Relationship Id="rId17" Type="http://schemas.openxmlformats.org/officeDocument/2006/relationships/hyperlink" Target="http://sa03/ReportServer?%2FInterne%20Lister%2FEjendomsliste1&amp;SelskabNr=28&amp;EjendomNr=62&amp;rs%3AParameterLanguage=" TargetMode="External"/><Relationship Id="rId2" Type="http://schemas.openxmlformats.org/officeDocument/2006/relationships/hyperlink" Target="http://sa03/ReportServer?%2FInterne%20Lister%2FEjendomsliste1&amp;SelskabNr=51&amp;EjendomNr=571&amp;rs%3AParameterLanguage=" TargetMode="External"/><Relationship Id="rId16" Type="http://schemas.openxmlformats.org/officeDocument/2006/relationships/hyperlink" Target="http://sa03/ReportServer?%2FInterne%20Lister%2FEjendomsliste1&amp;SelskabNr=61&amp;EjendomNr=300&amp;rs%3AParameterLanguage=" TargetMode="External"/><Relationship Id="rId1" Type="http://schemas.openxmlformats.org/officeDocument/2006/relationships/hyperlink" Target="http://sa03/ReportServer?%2FInterne%20Lister%2FEjendomsliste1&amp;SelskabNr=51&amp;EjendomNr=541&amp;rs%3AParameterLanguage=" TargetMode="External"/><Relationship Id="rId6" Type="http://schemas.openxmlformats.org/officeDocument/2006/relationships/hyperlink" Target="http://sa03/ReportServer?%2FInterne%20Lister%2FEjendomsliste1&amp;SelskabNr=54&amp;EjendomNr=960&amp;rs%3AParameterLanguage=" TargetMode="External"/><Relationship Id="rId11" Type="http://schemas.openxmlformats.org/officeDocument/2006/relationships/hyperlink" Target="http://sa03/ReportServer?%2FInterne%20Lister%2FEjdStamdata&amp;SelskabNr=8&amp;EjendomNr=732&amp;rs%3AParameterLanguage=" TargetMode="External"/><Relationship Id="rId5" Type="http://schemas.openxmlformats.org/officeDocument/2006/relationships/hyperlink" Target="http://sa03/ReportServer?%2FInterne%20Lister%2FEjendomsliste1&amp;SelskabNr=54&amp;EjendomNr=404&amp;rs%3AParameterLanguage=" TargetMode="External"/><Relationship Id="rId15" Type="http://schemas.openxmlformats.org/officeDocument/2006/relationships/hyperlink" Target="http://sa03/ReportServer?%2FInterne%20Lister%2FEjendomsliste1&amp;SelskabNr=54&amp;EjendomNr=516&amp;rs%3AParameterLanguage=" TargetMode="External"/><Relationship Id="rId10" Type="http://schemas.openxmlformats.org/officeDocument/2006/relationships/hyperlink" Target="http://sa03/ReportServer?%2FInterne%20Lister%2FEjendomsliste1&amp;SelskabNr=8&amp;EjendomNr=732&amp;rs%3AParameterLanguage=" TargetMode="External"/><Relationship Id="rId19" Type="http://schemas.openxmlformats.org/officeDocument/2006/relationships/table" Target="../tables/table10.xml"/><Relationship Id="rId4" Type="http://schemas.openxmlformats.org/officeDocument/2006/relationships/hyperlink" Target="http://sa03/ReportServer?%2FInterne%20Lister%2FEjendomsliste1&amp;SelskabNr=54&amp;EjendomNr=402&amp;rs%3AParameterLanguage=" TargetMode="External"/><Relationship Id="rId9" Type="http://schemas.openxmlformats.org/officeDocument/2006/relationships/hyperlink" Target="http://sa03/ReportServer?%2FInterne%20Lister%2FEjendomsliste1&amp;SelskabNr=51&amp;EjendomNr=591&amp;rs%3AParameterLanguage=" TargetMode="External"/><Relationship Id="rId14" Type="http://schemas.openxmlformats.org/officeDocument/2006/relationships/hyperlink" Target="http://sa03/ReportServer?%2FInterne%20Lister%2FEjendomsliste1&amp;SelskabNr=53&amp;EjendomNr=1&amp;rs%3AParameterLanguage=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.bin"/><Relationship Id="rId3" Type="http://schemas.openxmlformats.org/officeDocument/2006/relationships/hyperlink" Target="http://sa03/ReportServer?%2FInterne%20Lister%2FEjendomsliste1&amp;SelskabNr=14&amp;EjendomNr=801&amp;rs%3AParameterLanguage=" TargetMode="External"/><Relationship Id="rId7" Type="http://schemas.openxmlformats.org/officeDocument/2006/relationships/hyperlink" Target="http://sa03/ReportServer?%2FInterne%20Lister%2FEjendomsliste1&amp;SelskabNr=800&amp;EjendomNr=60&amp;rs%3AParameterLanguage=" TargetMode="External"/><Relationship Id="rId2" Type="http://schemas.openxmlformats.org/officeDocument/2006/relationships/hyperlink" Target="http://sa03/ReportServer?%2FInterne%20Lister%2FEjdStamdata&amp;SelskabNr=14&amp;EjendomNr=801&amp;rs%3AParameterLanguage=" TargetMode="External"/><Relationship Id="rId1" Type="http://schemas.openxmlformats.org/officeDocument/2006/relationships/hyperlink" Target="http://sa03/ReportServer?%2FInterne%20Lister%2FEjendomsliste1&amp;SelskabNr=800&amp;EjendomNr=48&amp;rs%3AParameterLanguage=" TargetMode="External"/><Relationship Id="rId6" Type="http://schemas.openxmlformats.org/officeDocument/2006/relationships/hyperlink" Target="http://sa03/ReportServer?%2FInterne%20Lister%2FEjendomsliste1&amp;SelskabNr=28&amp;EjendomNr=61&amp;rs%3AParameterLanguage=" TargetMode="External"/><Relationship Id="rId5" Type="http://schemas.openxmlformats.org/officeDocument/2006/relationships/hyperlink" Target="http://sa03/ReportServer?%2FInterne%20Lister%2FEjendomsliste1&amp;SelskabNr=51&amp;EjendomNr=122&amp;rs%3AParameterLanguage=" TargetMode="External"/><Relationship Id="rId4" Type="http://schemas.openxmlformats.org/officeDocument/2006/relationships/hyperlink" Target="http://sa03/ReportServer?%2FInterne%20Lister%2FEjendomsliste1&amp;SelskabNr=160&amp;EjendomNr=110&amp;rs%3AParameterLanguage=" TargetMode="External"/><Relationship Id="rId9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140&amp;EjendomNr=910&amp;rs%3AParameterLanguage=" TargetMode="External"/><Relationship Id="rId13" Type="http://schemas.openxmlformats.org/officeDocument/2006/relationships/hyperlink" Target="http://sa03/ReportServer?%2FInterne%20Lister%2FEjendomsliste1&amp;SelskabNr=140&amp;EjendomNr=926&amp;rs%3AParameterLanguage=" TargetMode="External"/><Relationship Id="rId18" Type="http://schemas.openxmlformats.org/officeDocument/2006/relationships/hyperlink" Target="http://sa03/ReportServer?%2FInterne%20Lister%2FEjendomsliste1&amp;SelskabNr=2&amp;EjendomNr=719&amp;rs%3AParameterLanguage=" TargetMode="External"/><Relationship Id="rId26" Type="http://schemas.openxmlformats.org/officeDocument/2006/relationships/hyperlink" Target="http://sa03/ReportServer?%2FInterne%20Lister%2FEjendomsliste1&amp;SelskabNr=110&amp;EjendomNr=142&amp;rs%3AParameterLanguage=" TargetMode="External"/><Relationship Id="rId3" Type="http://schemas.openxmlformats.org/officeDocument/2006/relationships/hyperlink" Target="http://sa03/ReportServer?%2FInterne%20Lister%2FEjendomsliste1&amp;SelskabNr=140&amp;EjendomNr=908&amp;rs%3AParameterLanguage=" TargetMode="External"/><Relationship Id="rId21" Type="http://schemas.openxmlformats.org/officeDocument/2006/relationships/hyperlink" Target="http://sa03/ReportServer?%2FInterne%20Lister%2FEjendomsliste1&amp;SelskabNr=9&amp;EjendomNr=521&amp;rs%3AParameterLanguage=" TargetMode="External"/><Relationship Id="rId7" Type="http://schemas.openxmlformats.org/officeDocument/2006/relationships/hyperlink" Target="http://sa03/ReportServer?%2FInterne%20Lister%2FEjendomsliste1&amp;SelskabNr=140&amp;EjendomNr=956&amp;rs%3AParameterLanguage=" TargetMode="External"/><Relationship Id="rId12" Type="http://schemas.openxmlformats.org/officeDocument/2006/relationships/hyperlink" Target="http://sa03/ReportServer?%2FInterne%20Lister%2FEjendomsliste1&amp;SelskabNr=140&amp;EjendomNr=957&amp;rs%3AParameterLanguage=" TargetMode="External"/><Relationship Id="rId17" Type="http://schemas.openxmlformats.org/officeDocument/2006/relationships/hyperlink" Target="http://sa03/ReportServer?%2FInterne%20Lister%2FEjendomsliste1&amp;SelskabNr=2&amp;EjendomNr=717&amp;rs%3AParameterLanguage=" TargetMode="External"/><Relationship Id="rId25" Type="http://schemas.openxmlformats.org/officeDocument/2006/relationships/hyperlink" Target="http://sa03/ReportServer?%2FInterne%20Lister%2FEjendomsliste1&amp;SelskabNr=110&amp;EjendomNr=126&amp;rs%3AParameterLanguage=" TargetMode="External"/><Relationship Id="rId2" Type="http://schemas.openxmlformats.org/officeDocument/2006/relationships/hyperlink" Target="http://sa03/ReportServer?%2FInterne%20Lister%2FEjendomsliste1&amp;SelskabNr=140&amp;EjendomNr=907&amp;rs%3AParameterLanguage=" TargetMode="External"/><Relationship Id="rId16" Type="http://schemas.openxmlformats.org/officeDocument/2006/relationships/hyperlink" Target="http://sa03/ReportServer?%2FInterne%20Lister%2FEjendomsliste1&amp;SelskabNr=2&amp;EjendomNr=715&amp;rs%3AParameterLanguage=" TargetMode="External"/><Relationship Id="rId20" Type="http://schemas.openxmlformats.org/officeDocument/2006/relationships/hyperlink" Target="http://sa03/ReportServer?%2FInterne%20Lister%2FEjendomsliste1&amp;SelskabNr=9&amp;EjendomNr=520&amp;rs%3AParameterLanguage=" TargetMode="External"/><Relationship Id="rId29" Type="http://schemas.openxmlformats.org/officeDocument/2006/relationships/table" Target="../tables/table12.xml"/><Relationship Id="rId1" Type="http://schemas.openxmlformats.org/officeDocument/2006/relationships/hyperlink" Target="http://sa03/ReportServer?%2FInterne%20Lister%2FEjendomsliste1&amp;SelskabNr=8&amp;EjendomNr=739&amp;rs%3AParameterLanguage=" TargetMode="External"/><Relationship Id="rId6" Type="http://schemas.openxmlformats.org/officeDocument/2006/relationships/hyperlink" Target="http://sa03/ReportServer?%2FInterne%20Lister%2FEjendomsliste1&amp;SelskabNr=140&amp;EjendomNr=954&amp;rs%3AParameterLanguage=" TargetMode="External"/><Relationship Id="rId11" Type="http://schemas.openxmlformats.org/officeDocument/2006/relationships/hyperlink" Target="http://sa03/ReportServer?%2FInterne%20Lister%2FEjendomsliste1&amp;SelskabNr=140&amp;EjendomNr=952&amp;rs%3AParameterLanguage=" TargetMode="External"/><Relationship Id="rId24" Type="http://schemas.openxmlformats.org/officeDocument/2006/relationships/hyperlink" Target="http://sa03/ReportServer?%2FInterne%20Lister%2FEjendomsliste1&amp;SelskabNr=110&amp;EjendomNr=125&amp;rs%3AParameterLanguage=" TargetMode="External"/><Relationship Id="rId5" Type="http://schemas.openxmlformats.org/officeDocument/2006/relationships/hyperlink" Target="http://sa03/ReportServer?%2FInterne%20Lister%2FEjendomsliste1&amp;SelskabNr=140&amp;EjendomNr=948&amp;rs%3AParameterLanguage=" TargetMode="External"/><Relationship Id="rId15" Type="http://schemas.openxmlformats.org/officeDocument/2006/relationships/hyperlink" Target="http://sa03/ReportServer?%2FInterne%20Lister%2FEjendomsliste1&amp;SelskabNr=2&amp;EjendomNr=711&amp;rs%3AParameterLanguage=" TargetMode="External"/><Relationship Id="rId23" Type="http://schemas.openxmlformats.org/officeDocument/2006/relationships/hyperlink" Target="http://sa03/ReportServer?%2FInterne%20Lister%2FEjendomsliste1&amp;SelskabNr=110&amp;EjendomNr=122&amp;rs%3AParameterLanguage=" TargetMode="External"/><Relationship Id="rId28" Type="http://schemas.openxmlformats.org/officeDocument/2006/relationships/printerSettings" Target="../printerSettings/printerSettings14.bin"/><Relationship Id="rId10" Type="http://schemas.openxmlformats.org/officeDocument/2006/relationships/hyperlink" Target="http://sa03/ReportServer?%2FInterne%20Lister%2FEjendomsliste1&amp;SelskabNr=140&amp;EjendomNr=935&amp;rs%3AParameterLanguage=" TargetMode="External"/><Relationship Id="rId19" Type="http://schemas.openxmlformats.org/officeDocument/2006/relationships/hyperlink" Target="http://sa03/ReportServer?%2FInterne%20Lister%2FEjendomsliste1&amp;SelskabNr=8&amp;EjendomNr=732&amp;rs%3AParameterLanguage=" TargetMode="External"/><Relationship Id="rId4" Type="http://schemas.openxmlformats.org/officeDocument/2006/relationships/hyperlink" Target="http://sa03/ReportServer?%2FInterne%20Lister%2FEjendomsliste1&amp;SelskabNr=140&amp;EjendomNr=916&amp;rs%3AParameterLanguage=" TargetMode="External"/><Relationship Id="rId9" Type="http://schemas.openxmlformats.org/officeDocument/2006/relationships/hyperlink" Target="http://sa03/ReportServer?%2FInterne%20Lister%2FEjendomsliste1&amp;SelskabNr=140&amp;EjendomNr=932&amp;rs%3AParameterLanguage=" TargetMode="External"/><Relationship Id="rId14" Type="http://schemas.openxmlformats.org/officeDocument/2006/relationships/hyperlink" Target="http://sa03/ReportServer?%2FInterne%20Lister%2FEjendomsliste1&amp;SelskabNr=2&amp;EjendomNr=713&amp;rs%3AParameterLanguage=" TargetMode="External"/><Relationship Id="rId22" Type="http://schemas.openxmlformats.org/officeDocument/2006/relationships/hyperlink" Target="http://sa03/ReportServer?%2FInterne%20Lister%2FEjendomsliste1&amp;SelskabNr=9&amp;EjendomNr=522&amp;rs%3AParameterLanguage=" TargetMode="External"/><Relationship Id="rId27" Type="http://schemas.openxmlformats.org/officeDocument/2006/relationships/hyperlink" Target="http://sa03/ReportServer?%2FInterne%20Lister%2FEjendomsliste1&amp;SelskabNr=110&amp;EjendomNr=122&amp;rs%3AParameterLanguage=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sa03/ReportServer?%2FInterne%20Lister%2FEjendomsliste1&amp;SelskabNr=31&amp;EjendomNr=506&amp;rs%3AParameterLanguage=" TargetMode="External"/><Relationship Id="rId2" Type="http://schemas.openxmlformats.org/officeDocument/2006/relationships/hyperlink" Target="http://sa03/ReportServer?%2FInterne%20Lister%2FEjendomsliste1&amp;SelskabNr=86&amp;EjendomNr=220&amp;rs%3AParameterLanguage=" TargetMode="External"/><Relationship Id="rId1" Type="http://schemas.openxmlformats.org/officeDocument/2006/relationships/hyperlink" Target="http://sa03/ReportServer?%2FInterne%20Lister%2FEjendomsliste1&amp;SelskabNr=9&amp;EjendomNr=545&amp;rs%3AParameterLanguage=" TargetMode="External"/><Relationship Id="rId6" Type="http://schemas.openxmlformats.org/officeDocument/2006/relationships/table" Target="../tables/table13.xml"/><Relationship Id="rId5" Type="http://schemas.openxmlformats.org/officeDocument/2006/relationships/printerSettings" Target="../printerSettings/printerSettings15.bin"/><Relationship Id="rId4" Type="http://schemas.openxmlformats.org/officeDocument/2006/relationships/hyperlink" Target="http://sa03/ReportServer?%2FInterne%20Lister%2FEjendomsliste1&amp;SelskabNr=31&amp;EjendomNr=506&amp;rs%3AParameterLanguage=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11&amp;EjendomNr=518&amp;rs%3AParameterLanguage=" TargetMode="External"/><Relationship Id="rId13" Type="http://schemas.openxmlformats.org/officeDocument/2006/relationships/hyperlink" Target="http://sa03/ReportServer?%2FInterne%20Lister%2FEjdStamdata&amp;SelskabNr=20&amp;EjendomNr=406&amp;rs%3AParameterLanguage=" TargetMode="External"/><Relationship Id="rId18" Type="http://schemas.openxmlformats.org/officeDocument/2006/relationships/hyperlink" Target="http://sa03/ReportServer?%2FInterne%20Lister%2FEjendomsliste1&amp;SelskabNr=51&amp;EjendomNr=591&amp;rs%3AParameterLanguage=" TargetMode="External"/><Relationship Id="rId26" Type="http://schemas.openxmlformats.org/officeDocument/2006/relationships/hyperlink" Target="http://sa03/ReportServer?%2FInterne%20Lister%2FEjendomsliste1&amp;SelskabNr=185&amp;EjendomNr=112&amp;rs%3AParameterLanguage=" TargetMode="External"/><Relationship Id="rId3" Type="http://schemas.openxmlformats.org/officeDocument/2006/relationships/hyperlink" Target="http://sa03/ReportServer?%2FInterne%20Lister%2FEjdStamdata&amp;SelskabNr=11&amp;EjendomNr=450&amp;rs%3AParameterLanguage=" TargetMode="External"/><Relationship Id="rId21" Type="http://schemas.openxmlformats.org/officeDocument/2006/relationships/hyperlink" Target="http://sa03/ReportServer?%2FInterne%20Lister%2FEjdStamdata&amp;SelskabNr=122&amp;EjendomNr=800&amp;rs%3AParameterLanguage=" TargetMode="External"/><Relationship Id="rId7" Type="http://schemas.openxmlformats.org/officeDocument/2006/relationships/hyperlink" Target="http://sa03/ReportServer?%2FInterne%20Lister%2FEjdStamdata&amp;SelskabNr=11&amp;EjendomNr=518&amp;rs%3AParameterLanguage=" TargetMode="External"/><Relationship Id="rId12" Type="http://schemas.openxmlformats.org/officeDocument/2006/relationships/hyperlink" Target="http://sa03/ReportServer?%2FInterne%20Lister%2FEjendomsliste1&amp;SelskabNr=12&amp;EjendomNr=196&amp;rs%3AParameterLanguage=" TargetMode="External"/><Relationship Id="rId17" Type="http://schemas.openxmlformats.org/officeDocument/2006/relationships/hyperlink" Target="http://sa03/ReportServer?%2FInterne%20Lister%2FEjdStamdata&amp;SelskabNr=51&amp;EjendomNr=591&amp;rs%3AParameterLanguage=" TargetMode="External"/><Relationship Id="rId25" Type="http://schemas.openxmlformats.org/officeDocument/2006/relationships/hyperlink" Target="http://sa03/ReportServer?%2FInterne%20Lister%2FEjdStamdata&amp;SelskabNr=185&amp;EjendomNr=112&amp;rs%3AParameterLanguage=" TargetMode="External"/><Relationship Id="rId2" Type="http://schemas.openxmlformats.org/officeDocument/2006/relationships/hyperlink" Target="http://sa03/ReportServer?%2FInterne%20Lister%2FEjendomsliste1&amp;SelskabNr=11&amp;EjendomNr=449&amp;rs%3AParameterLanguage=" TargetMode="External"/><Relationship Id="rId16" Type="http://schemas.openxmlformats.org/officeDocument/2006/relationships/hyperlink" Target="http://sa03/ReportServer?%2FInterne%20Lister%2FEjendomsliste1&amp;SelskabNr=28&amp;EjendomNr=82&amp;rs%3AParameterLanguage=" TargetMode="External"/><Relationship Id="rId20" Type="http://schemas.openxmlformats.org/officeDocument/2006/relationships/hyperlink" Target="http://sa03/ReportServer?%2FInterne%20Lister%2FEjendomsliste1&amp;SelskabNr=87&amp;EjendomNr=507&amp;rs%3AParameterLanguage=" TargetMode="External"/><Relationship Id="rId29" Type="http://schemas.openxmlformats.org/officeDocument/2006/relationships/hyperlink" Target="http://sa03/ReportServer?%2FInterne%20Lister%2FEjendomsliste1&amp;SelskabNr=15&amp;EjendomNr=509&amp;rs%3AParameterLanguage=" TargetMode="External"/><Relationship Id="rId1" Type="http://schemas.openxmlformats.org/officeDocument/2006/relationships/hyperlink" Target="http://sa03/ReportServer?%2FInterne%20Lister%2FEjdStamdata&amp;SelskabNr=11&amp;EjendomNr=449&amp;rs%3AParameterLanguage=" TargetMode="External"/><Relationship Id="rId6" Type="http://schemas.openxmlformats.org/officeDocument/2006/relationships/hyperlink" Target="http://sa03/ReportServer?%2FInterne%20Lister%2FEjendomsliste1&amp;SelskabNr=11&amp;EjendomNr=492&amp;rs%3AParameterLanguage=" TargetMode="External"/><Relationship Id="rId11" Type="http://schemas.openxmlformats.org/officeDocument/2006/relationships/hyperlink" Target="http://sa03/ReportServer?%2FInterne%20Lister%2FEjdStamdata&amp;SelskabNr=12&amp;EjendomNr=196&amp;rs%3AParameterLanguage=" TargetMode="External"/><Relationship Id="rId24" Type="http://schemas.openxmlformats.org/officeDocument/2006/relationships/hyperlink" Target="http://sa03/ReportServer?%2FInterne%20Lister%2FEjendomsliste1&amp;SelskabNr=140&amp;EjendomNr=926&amp;rs%3AParameterLanguage=" TargetMode="External"/><Relationship Id="rId32" Type="http://schemas.openxmlformats.org/officeDocument/2006/relationships/table" Target="../tables/table14.xml"/><Relationship Id="rId5" Type="http://schemas.openxmlformats.org/officeDocument/2006/relationships/hyperlink" Target="http://sa03/ReportServer?%2FInterne%20Lister%2FEjdStamdata&amp;SelskabNr=11&amp;EjendomNr=492&amp;rs%3AParameterLanguage=" TargetMode="External"/><Relationship Id="rId15" Type="http://schemas.openxmlformats.org/officeDocument/2006/relationships/hyperlink" Target="http://sa03/ReportServer?%2FInterne%20Lister%2FEjdStamdata&amp;SelskabNr=28&amp;EjendomNr=82&amp;rs%3AParameterLanguage=" TargetMode="External"/><Relationship Id="rId23" Type="http://schemas.openxmlformats.org/officeDocument/2006/relationships/hyperlink" Target="http://sa03/ReportServer?%2FInterne%20Lister%2FEjdStamdata&amp;SelskabNr=140&amp;EjendomNr=926&amp;rs%3AParameterLanguage=" TargetMode="External"/><Relationship Id="rId28" Type="http://schemas.openxmlformats.org/officeDocument/2006/relationships/hyperlink" Target="http://sa03/ReportServer?%2FInterne%20Lister%2FEjendomsliste1&amp;SelskabNr=800&amp;EjendomNr=64&amp;rs%3AParameterLanguage=" TargetMode="External"/><Relationship Id="rId10" Type="http://schemas.openxmlformats.org/officeDocument/2006/relationships/hyperlink" Target="http://sa03/ReportServer?%2FInterne%20Lister%2FEjendomsliste1&amp;SelskabNr=11&amp;EjendomNr=786&amp;rs%3AParameterLanguage=" TargetMode="External"/><Relationship Id="rId19" Type="http://schemas.openxmlformats.org/officeDocument/2006/relationships/hyperlink" Target="http://sa03/ReportServer?%2FInterne%20Lister%2FEjdStamdata&amp;SelskabNr=87&amp;EjendomNr=507&amp;rs%3AParameterLanguage=" TargetMode="External"/><Relationship Id="rId31" Type="http://schemas.openxmlformats.org/officeDocument/2006/relationships/printerSettings" Target="../printerSettings/printerSettings16.bin"/><Relationship Id="rId4" Type="http://schemas.openxmlformats.org/officeDocument/2006/relationships/hyperlink" Target="http://sa03/ReportServer?%2FInterne%20Lister%2FEjendomsliste1&amp;SelskabNr=11&amp;EjendomNr=450&amp;rs%3AParameterLanguage=" TargetMode="External"/><Relationship Id="rId9" Type="http://schemas.openxmlformats.org/officeDocument/2006/relationships/hyperlink" Target="http://sa03/ReportServer?%2FInterne%20Lister%2FEjdStamdata&amp;SelskabNr=11&amp;EjendomNr=786&amp;rs%3AParameterLanguage=" TargetMode="External"/><Relationship Id="rId14" Type="http://schemas.openxmlformats.org/officeDocument/2006/relationships/hyperlink" Target="http://sa03/ReportServer?%2FInterne%20Lister%2FEjendomsliste1&amp;SelskabNr=20&amp;EjendomNr=406&amp;rs%3AParameterLanguage=" TargetMode="External"/><Relationship Id="rId22" Type="http://schemas.openxmlformats.org/officeDocument/2006/relationships/hyperlink" Target="http://sa03/ReportServer?%2FInterne%20Lister%2FEjendomsliste1&amp;SelskabNr=122&amp;EjendomNr=800&amp;rs%3AParameterLanguage=" TargetMode="External"/><Relationship Id="rId27" Type="http://schemas.openxmlformats.org/officeDocument/2006/relationships/hyperlink" Target="http://sa03/ReportServer?%2FInterne%20Lister%2FEjdStamdata&amp;SelskabNr=800&amp;EjendomNr=64&amp;rs%3AParameterLanguage=" TargetMode="External"/><Relationship Id="rId30" Type="http://schemas.openxmlformats.org/officeDocument/2006/relationships/hyperlink" Target="http://sa03/ReportServer?%2FInterne%20Lister%2FEjendomsliste1&amp;SelskabNr=15&amp;EjendomNr=526&amp;rs%3AParameterLanguage=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://sa03/ReportServer?%2FInterne%20Lister%2FEjendomsliste1&amp;SelskabNr=7&amp;EjendomNr=144&amp;rs%3AParameterLanguage=" TargetMode="External"/><Relationship Id="rId13" Type="http://schemas.openxmlformats.org/officeDocument/2006/relationships/hyperlink" Target="http://sa03/ReportServer?%2FInterne%20Lister%2FEjendomsliste1&amp;SelskabNr=109&amp;EjendomNr=7&amp;rs%3AParameterLanguage=" TargetMode="External"/><Relationship Id="rId18" Type="http://schemas.openxmlformats.org/officeDocument/2006/relationships/hyperlink" Target="http://sa03/ReportServer?%2FInterne%20Lister%2FEjendomsliste1&amp;SelskabNr=800&amp;EjendomNr=9&amp;rs%3AParameterLanguage=" TargetMode="External"/><Relationship Id="rId26" Type="http://schemas.openxmlformats.org/officeDocument/2006/relationships/printerSettings" Target="../printerSettings/printerSettings17.bin"/><Relationship Id="rId3" Type="http://schemas.openxmlformats.org/officeDocument/2006/relationships/hyperlink" Target="http://sa03/ReportServer?%2FInterne%20Lister%2FEjendomsliste1&amp;SelskabNr=2&amp;EjendomNr=823&amp;rs%3AParameterLanguage=" TargetMode="External"/><Relationship Id="rId21" Type="http://schemas.openxmlformats.org/officeDocument/2006/relationships/hyperlink" Target="http://sa03/ReportServer?%2FInterne%20Lister%2FEjendomsliste1&amp;SelskabNr=109&amp;EjendomNr=305&amp;rs%3AParameterLanguage=" TargetMode="External"/><Relationship Id="rId7" Type="http://schemas.openxmlformats.org/officeDocument/2006/relationships/hyperlink" Target="http://sa03/ReportServer?%2FInterne%20Lister%2FEjendomsliste1&amp;SelskabNr=2&amp;EjendomNr=827&amp;rs%3AParameterLanguage=" TargetMode="External"/><Relationship Id="rId12" Type="http://schemas.openxmlformats.org/officeDocument/2006/relationships/hyperlink" Target="http://sa03/ReportServer?%2FInterne%20Lister%2FEjendomsliste1&amp;SelskabNr=108&amp;EjendomNr=237&amp;rs%3AParameterLanguage=" TargetMode="External"/><Relationship Id="rId17" Type="http://schemas.openxmlformats.org/officeDocument/2006/relationships/hyperlink" Target="http://sa03/ReportServer?%2FInterne%20Lister%2FEjendomsliste1&amp;SelskabNr=800&amp;EjendomNr=7&amp;rs%3AParameterLanguage=" TargetMode="External"/><Relationship Id="rId25" Type="http://schemas.openxmlformats.org/officeDocument/2006/relationships/hyperlink" Target="http://esdh/locator.aspx?name=DMS.Case.Details.Simplified.200006&amp;recno=456981&amp;module=Case&amp;subtype=200006" TargetMode="External"/><Relationship Id="rId2" Type="http://schemas.openxmlformats.org/officeDocument/2006/relationships/hyperlink" Target="http://sa03/ReportServer?%2FInterne%20Lister%2FEjendomsliste1&amp;SelskabNr=2&amp;EjendomNr=822&amp;rs%3AParameterLanguage=" TargetMode="External"/><Relationship Id="rId16" Type="http://schemas.openxmlformats.org/officeDocument/2006/relationships/hyperlink" Target="http://sa03/ReportServer?%2FInterne%20Lister%2FEjendomsliste1&amp;SelskabNr=800&amp;EjendomNr=6&amp;rs%3AParameterLanguage=" TargetMode="External"/><Relationship Id="rId20" Type="http://schemas.openxmlformats.org/officeDocument/2006/relationships/hyperlink" Target="http://sa03/ReportServer?%2FInterne%20Lister%2FEjendomsliste1&amp;SelskabNr=800&amp;EjendomNr=52&amp;rs%3AParameterLanguage=" TargetMode="External"/><Relationship Id="rId1" Type="http://schemas.openxmlformats.org/officeDocument/2006/relationships/hyperlink" Target="http://sa03/ReportServer?%2FInterne%20Lister%2FEjendomsliste1&amp;SelskabNr=2&amp;EjendomNr=821&amp;rs%3AParameterLanguage=" TargetMode="External"/><Relationship Id="rId6" Type="http://schemas.openxmlformats.org/officeDocument/2006/relationships/hyperlink" Target="http://sa03/ReportServer?%2FInterne%20Lister%2FEjendomsliste1&amp;SelskabNr=2&amp;EjendomNr=826&amp;rs%3AParameterLanguage=" TargetMode="External"/><Relationship Id="rId11" Type="http://schemas.openxmlformats.org/officeDocument/2006/relationships/hyperlink" Target="http://sa03/ReportServer?%2FInterne%20Lister%2FEjendomsliste1&amp;SelskabNr=108&amp;EjendomNr=110&amp;rs%3AParameterLanguage=" TargetMode="External"/><Relationship Id="rId24" Type="http://schemas.openxmlformats.org/officeDocument/2006/relationships/hyperlink" Target="http://sa03/ReportServer?%2FInterne%20Lister%2FEjendomsliste1&amp;SelskabNr=69&amp;EjendomNr=721&amp;rs%3AParameterLanguage=" TargetMode="External"/><Relationship Id="rId5" Type="http://schemas.openxmlformats.org/officeDocument/2006/relationships/hyperlink" Target="http://sa03/ReportServer?%2FInterne%20Lister%2FEjendomsliste1&amp;SelskabNr=2&amp;EjendomNr=825&amp;rs%3AParameterLanguage=" TargetMode="External"/><Relationship Id="rId15" Type="http://schemas.openxmlformats.org/officeDocument/2006/relationships/hyperlink" Target="http://sa03/ReportServer?%2FInterne%20Lister%2FEjendomsliste1&amp;SelskabNr=800&amp;EjendomNr=5&amp;rs%3AParameterLanguage=" TargetMode="External"/><Relationship Id="rId23" Type="http://schemas.openxmlformats.org/officeDocument/2006/relationships/hyperlink" Target="http://sa03/ReportServer?%2FInterne%20Lister%2FEjendomsliste1&amp;SelskabNr=69&amp;EjendomNr=711&amp;rs%3AParameterLanguage=" TargetMode="External"/><Relationship Id="rId10" Type="http://schemas.openxmlformats.org/officeDocument/2006/relationships/hyperlink" Target="http://sa03/ReportServer?%2FInterne%20Lister%2FEjendomsliste1&amp;SelskabNr=87&amp;EjendomNr=515&amp;rs%3AParameterLanguage=" TargetMode="External"/><Relationship Id="rId19" Type="http://schemas.openxmlformats.org/officeDocument/2006/relationships/hyperlink" Target="http://sa03/ReportServer?%2FInterne%20Lister%2FEjendomsliste1&amp;SelskabNr=800&amp;EjendomNr=32&amp;rs%3AParameterLanguage=" TargetMode="External"/><Relationship Id="rId4" Type="http://schemas.openxmlformats.org/officeDocument/2006/relationships/hyperlink" Target="http://sa03/ReportServer?%2FInterne%20Lister%2FEjendomsliste1&amp;SelskabNr=2&amp;EjendomNr=824&amp;rs%3AParameterLanguage=" TargetMode="External"/><Relationship Id="rId9" Type="http://schemas.openxmlformats.org/officeDocument/2006/relationships/hyperlink" Target="http://sa03/ReportServer?%2FInterne%20Lister%2FEjendomsliste1&amp;SelskabNr=8&amp;EjendomNr=347&amp;rs%3AParameterLanguage=" TargetMode="External"/><Relationship Id="rId14" Type="http://schemas.openxmlformats.org/officeDocument/2006/relationships/hyperlink" Target="http://sa03/ReportServer?%2FInterne%20Lister%2FEjendomsliste1&amp;SelskabNr=152&amp;EjendomNr=101&amp;rs%3AParameterLanguage=" TargetMode="External"/><Relationship Id="rId22" Type="http://schemas.openxmlformats.org/officeDocument/2006/relationships/hyperlink" Target="http://sa03/ReportServer?%2FInterne%20Lister%2FEjendomsliste1&amp;SelskabNr=109&amp;EjendomNr=304&amp;rs%3AParameterLanguage=" TargetMode="External"/><Relationship Id="rId27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esdh/locator.aspx?name=DMS.Document.Details.Simplified.2&amp;recno=1426480&amp;module=Document&amp;VerID=1494736&amp;subtype=2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sa03/ReportServer?%2FInterne%20Lister%2FEjendomsliste1&amp;SelskabNr=89&amp;EjendomNr=507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45FF-2B05-40EA-B490-1BBEC0C95FD4}">
  <sheetPr>
    <tabColor rgb="FF00B050"/>
    <pageSetUpPr fitToPage="1"/>
  </sheetPr>
  <dimension ref="A1:O199"/>
  <sheetViews>
    <sheetView zoomScale="80" zoomScaleNormal="80" workbookViewId="0">
      <pane xSplit="2" ySplit="5" topLeftCell="C303" activePane="bottomRight" state="frozen"/>
      <selection sqref="A1:B1"/>
      <selection pane="topRight" sqref="A1:B1"/>
      <selection pane="bottomLeft" sqref="A1:B1"/>
      <selection pane="bottomRight" activeCell="L327" sqref="L327"/>
    </sheetView>
  </sheetViews>
  <sheetFormatPr defaultRowHeight="15" x14ac:dyDescent="0.25"/>
  <cols>
    <col min="1" max="1" width="9.140625" style="78"/>
    <col min="2" max="2" width="7.7109375" style="78" bestFit="1" customWidth="1"/>
    <col min="3" max="3" width="12" style="78" bestFit="1" customWidth="1"/>
    <col min="4" max="4" width="39.42578125" bestFit="1" customWidth="1"/>
    <col min="5" max="5" width="88.85546875" bestFit="1" customWidth="1"/>
    <col min="6" max="6" width="7.140625" style="78" bestFit="1" customWidth="1"/>
    <col min="7" max="7" width="17.85546875" style="78" bestFit="1" customWidth="1"/>
    <col min="8" max="8" width="41.140625" bestFit="1" customWidth="1"/>
    <col min="9" max="9" width="8.42578125" bestFit="1" customWidth="1"/>
    <col min="10" max="10" width="9" bestFit="1" customWidth="1"/>
    <col min="11" max="11" width="7.7109375" bestFit="1" customWidth="1"/>
    <col min="12" max="12" width="6.28515625" customWidth="1"/>
    <col min="13" max="13" width="12.42578125" bestFit="1" customWidth="1"/>
    <col min="14" max="14" width="8.42578125" bestFit="1" customWidth="1"/>
    <col min="15" max="15" width="11.42578125" bestFit="1" customWidth="1"/>
  </cols>
  <sheetData>
    <row r="1" spans="1:15" ht="18.75" x14ac:dyDescent="0.3">
      <c r="A1" s="116" t="s">
        <v>1221</v>
      </c>
      <c r="B1" s="7"/>
    </row>
    <row r="2" spans="1:15" x14ac:dyDescent="0.25">
      <c r="A2" s="115"/>
      <c r="B2" s="24"/>
      <c r="C2" s="12"/>
    </row>
    <row r="3" spans="1:15" x14ac:dyDescent="0.25">
      <c r="A3" s="25"/>
      <c r="B3" s="56"/>
      <c r="C3" s="56"/>
      <c r="D3" s="57"/>
    </row>
    <row r="4" spans="1:15" x14ac:dyDescent="0.25">
      <c r="B4"/>
      <c r="C4"/>
      <c r="D4" s="78"/>
      <c r="E4" s="78"/>
      <c r="F4"/>
      <c r="J4" s="182" t="s">
        <v>1220</v>
      </c>
      <c r="K4" s="182"/>
    </row>
    <row r="5" spans="1:15" x14ac:dyDescent="0.25">
      <c r="A5" s="4" t="s">
        <v>1222</v>
      </c>
      <c r="B5" s="4" t="s">
        <v>46</v>
      </c>
      <c r="C5" s="3" t="s">
        <v>2</v>
      </c>
      <c r="D5" s="17" t="s">
        <v>32</v>
      </c>
      <c r="E5" s="18" t="s">
        <v>28</v>
      </c>
      <c r="F5" s="4" t="s">
        <v>29</v>
      </c>
      <c r="G5" s="4" t="s">
        <v>30</v>
      </c>
      <c r="H5" s="18" t="s">
        <v>358</v>
      </c>
      <c r="I5" s="17" t="s">
        <v>837</v>
      </c>
      <c r="J5" s="117" t="s">
        <v>1218</v>
      </c>
      <c r="K5" s="118" t="s">
        <v>1219</v>
      </c>
      <c r="L5" s="118" t="s">
        <v>1679</v>
      </c>
      <c r="M5" s="118" t="s">
        <v>1224</v>
      </c>
      <c r="N5" s="118" t="s">
        <v>1225</v>
      </c>
      <c r="O5" s="118" t="s">
        <v>1223</v>
      </c>
    </row>
    <row r="6" spans="1:15" x14ac:dyDescent="0.25">
      <c r="A6" s="78" t="s">
        <v>1144</v>
      </c>
      <c r="B6" s="89">
        <v>11</v>
      </c>
      <c r="C6" s="88">
        <v>187</v>
      </c>
      <c r="E6" t="s">
        <v>668</v>
      </c>
      <c r="F6" s="78" t="s">
        <v>509</v>
      </c>
      <c r="G6" s="10" t="s">
        <v>510</v>
      </c>
      <c r="H6" t="s">
        <v>1232</v>
      </c>
      <c r="I6" s="22" t="s">
        <v>838</v>
      </c>
      <c r="J6" s="148">
        <f>'1-Peter'!M10</f>
        <v>3.1538461538461537</v>
      </c>
      <c r="K6" s="148">
        <f>'1-Peter'!N10</f>
        <v>1.9230769230769231</v>
      </c>
      <c r="L6" s="148">
        <f>'1-Peter'!O10</f>
        <v>0.40384615384615385</v>
      </c>
      <c r="M6" s="166">
        <f>'1-Peter'!$R$10</f>
        <v>42095</v>
      </c>
    </row>
    <row r="7" spans="1:15" x14ac:dyDescent="0.25">
      <c r="A7" s="78" t="s">
        <v>1144</v>
      </c>
      <c r="B7" s="89">
        <v>11</v>
      </c>
      <c r="C7" s="89">
        <v>195</v>
      </c>
      <c r="D7" s="68" t="s">
        <v>669</v>
      </c>
      <c r="E7" t="s">
        <v>670</v>
      </c>
      <c r="F7" s="78" t="s">
        <v>266</v>
      </c>
      <c r="G7" t="s">
        <v>267</v>
      </c>
      <c r="H7" t="s">
        <v>1232</v>
      </c>
      <c r="I7" t="s">
        <v>856</v>
      </c>
      <c r="J7" s="148">
        <f>'1-Peter'!M11</f>
        <v>11.711538461538462</v>
      </c>
      <c r="K7" s="148">
        <f>'1-Peter'!N11</f>
        <v>5.115384615384615</v>
      </c>
      <c r="L7" s="148">
        <f>'1-Peter'!O11</f>
        <v>0</v>
      </c>
      <c r="M7" s="166">
        <f>'1-Peter'!$R$11</f>
        <v>42036</v>
      </c>
    </row>
    <row r="8" spans="1:15" x14ac:dyDescent="0.25">
      <c r="A8" s="78" t="s">
        <v>1144</v>
      </c>
      <c r="B8" s="89">
        <v>11</v>
      </c>
      <c r="C8" s="88">
        <v>220</v>
      </c>
      <c r="E8" s="68" t="s">
        <v>108</v>
      </c>
      <c r="F8" s="78" t="s">
        <v>79</v>
      </c>
      <c r="G8" t="s">
        <v>80</v>
      </c>
      <c r="H8" t="s">
        <v>1232</v>
      </c>
      <c r="I8" s="22" t="s">
        <v>838</v>
      </c>
      <c r="J8" s="148">
        <f>'1-Peter'!M12</f>
        <v>4.115384615384615</v>
      </c>
      <c r="K8" s="148">
        <f>'1-Peter'!N12</f>
        <v>2.3076923076923075</v>
      </c>
      <c r="L8" s="148">
        <f>'1-Peter'!O12</f>
        <v>0</v>
      </c>
    </row>
    <row r="9" spans="1:15" ht="16.5" customHeight="1" x14ac:dyDescent="0.25">
      <c r="A9" s="78" t="s">
        <v>1144</v>
      </c>
      <c r="B9" s="89">
        <v>11</v>
      </c>
      <c r="C9" s="88">
        <v>232</v>
      </c>
      <c r="E9" t="s">
        <v>720</v>
      </c>
      <c r="F9" s="78" t="s">
        <v>266</v>
      </c>
      <c r="G9" t="s">
        <v>267</v>
      </c>
      <c r="H9" t="s">
        <v>1232</v>
      </c>
      <c r="I9" s="10" t="s">
        <v>856</v>
      </c>
      <c r="J9" s="148">
        <f>'1-Peter'!M13</f>
        <v>25.21153846153846</v>
      </c>
      <c r="K9" s="148">
        <f>'1-Peter'!N13</f>
        <v>9.615384615384615</v>
      </c>
      <c r="L9" s="148">
        <f>'1-Peter'!O13</f>
        <v>4.8076923076923075</v>
      </c>
      <c r="M9" s="166">
        <f>'1-Peter'!$R$13</f>
        <v>43070</v>
      </c>
    </row>
    <row r="10" spans="1:15" x14ac:dyDescent="0.25">
      <c r="A10" s="78" t="s">
        <v>1144</v>
      </c>
      <c r="B10" s="89">
        <v>11</v>
      </c>
      <c r="C10" s="89">
        <v>493</v>
      </c>
      <c r="E10" t="s">
        <v>671</v>
      </c>
      <c r="F10" s="78" t="s">
        <v>266</v>
      </c>
      <c r="G10" t="s">
        <v>267</v>
      </c>
      <c r="H10" t="s">
        <v>1232</v>
      </c>
      <c r="I10" t="s">
        <v>856</v>
      </c>
      <c r="J10" s="148">
        <f>'1-Peter'!M14</f>
        <v>7.0769230769230766</v>
      </c>
      <c r="K10" s="148">
        <f>'1-Peter'!N14</f>
        <v>0.96153846153846156</v>
      </c>
      <c r="L10" s="148">
        <f>'1-Peter'!O14</f>
        <v>0</v>
      </c>
      <c r="O10" s="164" t="str">
        <f>'1-Peter'!$U$14</f>
        <v>Genforhandling - kan ikke finde opstartsdato</v>
      </c>
    </row>
    <row r="11" spans="1:15" x14ac:dyDescent="0.25">
      <c r="A11" s="78" t="s">
        <v>1144</v>
      </c>
      <c r="B11" s="89">
        <v>11</v>
      </c>
      <c r="C11" s="88">
        <v>187</v>
      </c>
      <c r="E11" t="s">
        <v>668</v>
      </c>
      <c r="F11" s="78" t="s">
        <v>509</v>
      </c>
      <c r="G11" s="10" t="s">
        <v>510</v>
      </c>
      <c r="H11" t="s">
        <v>1231</v>
      </c>
      <c r="I11" s="22" t="s">
        <v>838</v>
      </c>
    </row>
    <row r="12" spans="1:15" x14ac:dyDescent="0.25">
      <c r="A12" s="78" t="s">
        <v>1144</v>
      </c>
      <c r="B12" s="89">
        <v>11</v>
      </c>
      <c r="C12" s="89">
        <v>195</v>
      </c>
      <c r="D12" s="68" t="s">
        <v>669</v>
      </c>
      <c r="E12" t="s">
        <v>670</v>
      </c>
      <c r="F12" s="78" t="s">
        <v>266</v>
      </c>
      <c r="G12" t="s">
        <v>267</v>
      </c>
      <c r="H12" t="s">
        <v>1231</v>
      </c>
      <c r="I12" t="s">
        <v>856</v>
      </c>
    </row>
    <row r="13" spans="1:15" x14ac:dyDescent="0.25">
      <c r="A13" s="78" t="s">
        <v>1144</v>
      </c>
      <c r="B13" s="89">
        <v>11</v>
      </c>
      <c r="C13" s="88">
        <v>220</v>
      </c>
      <c r="E13" s="68" t="s">
        <v>108</v>
      </c>
      <c r="F13" s="78" t="s">
        <v>79</v>
      </c>
      <c r="G13" t="s">
        <v>80</v>
      </c>
      <c r="H13" t="s">
        <v>1231</v>
      </c>
      <c r="I13" s="22" t="s">
        <v>838</v>
      </c>
    </row>
    <row r="14" spans="1:15" x14ac:dyDescent="0.25">
      <c r="A14" s="78" t="s">
        <v>1144</v>
      </c>
      <c r="B14" s="89">
        <v>11</v>
      </c>
      <c r="C14" s="88">
        <v>232</v>
      </c>
      <c r="E14" t="s">
        <v>720</v>
      </c>
      <c r="F14" s="78" t="s">
        <v>266</v>
      </c>
      <c r="G14" t="s">
        <v>267</v>
      </c>
      <c r="H14" t="s">
        <v>1231</v>
      </c>
      <c r="I14" s="10" t="s">
        <v>856</v>
      </c>
    </row>
    <row r="15" spans="1:15" x14ac:dyDescent="0.25">
      <c r="A15" s="78" t="s">
        <v>1144</v>
      </c>
      <c r="B15" s="89">
        <v>11</v>
      </c>
      <c r="C15" s="89">
        <v>493</v>
      </c>
      <c r="E15" t="s">
        <v>671</v>
      </c>
      <c r="F15" s="78" t="s">
        <v>266</v>
      </c>
      <c r="G15" t="s">
        <v>267</v>
      </c>
      <c r="H15" t="s">
        <v>1231</v>
      </c>
      <c r="I15" t="s">
        <v>856</v>
      </c>
    </row>
    <row r="16" spans="1:15" x14ac:dyDescent="0.25">
      <c r="A16" s="78" t="s">
        <v>1144</v>
      </c>
      <c r="B16" s="89">
        <v>11</v>
      </c>
      <c r="C16" s="88">
        <v>187</v>
      </c>
      <c r="E16" t="s">
        <v>668</v>
      </c>
      <c r="F16" s="78" t="s">
        <v>509</v>
      </c>
      <c r="G16" s="10" t="s">
        <v>510</v>
      </c>
      <c r="H16" t="s">
        <v>1229</v>
      </c>
      <c r="I16" s="22" t="s">
        <v>838</v>
      </c>
    </row>
    <row r="17" spans="1:13" x14ac:dyDescent="0.25">
      <c r="A17" s="78" t="s">
        <v>1144</v>
      </c>
      <c r="B17" s="89">
        <v>11</v>
      </c>
      <c r="C17" s="89">
        <v>195</v>
      </c>
      <c r="D17" s="68" t="s">
        <v>669</v>
      </c>
      <c r="E17" t="s">
        <v>670</v>
      </c>
      <c r="F17" s="78" t="s">
        <v>266</v>
      </c>
      <c r="G17" t="s">
        <v>267</v>
      </c>
      <c r="H17" t="s">
        <v>1229</v>
      </c>
      <c r="I17" t="s">
        <v>856</v>
      </c>
    </row>
    <row r="18" spans="1:13" x14ac:dyDescent="0.25">
      <c r="A18" s="78" t="s">
        <v>1144</v>
      </c>
      <c r="B18" s="89">
        <v>11</v>
      </c>
      <c r="C18" s="88">
        <v>220</v>
      </c>
      <c r="E18" s="68" t="s">
        <v>108</v>
      </c>
      <c r="F18" s="78" t="s">
        <v>79</v>
      </c>
      <c r="G18" t="s">
        <v>80</v>
      </c>
      <c r="H18" t="s">
        <v>1229</v>
      </c>
      <c r="I18" s="22" t="s">
        <v>838</v>
      </c>
    </row>
    <row r="19" spans="1:13" x14ac:dyDescent="0.25">
      <c r="A19" s="78" t="s">
        <v>1144</v>
      </c>
      <c r="B19" s="89">
        <v>11</v>
      </c>
      <c r="C19" s="88">
        <v>232</v>
      </c>
      <c r="E19" t="s">
        <v>720</v>
      </c>
      <c r="F19" s="78" t="s">
        <v>266</v>
      </c>
      <c r="G19" t="s">
        <v>267</v>
      </c>
      <c r="H19" t="s">
        <v>1229</v>
      </c>
      <c r="I19" s="10" t="s">
        <v>856</v>
      </c>
    </row>
    <row r="20" spans="1:13" x14ac:dyDescent="0.25">
      <c r="A20" s="78" t="s">
        <v>1144</v>
      </c>
      <c r="B20" s="89">
        <v>11</v>
      </c>
      <c r="C20" s="89">
        <v>493</v>
      </c>
      <c r="E20" t="s">
        <v>671</v>
      </c>
      <c r="F20" s="78" t="s">
        <v>266</v>
      </c>
      <c r="G20" t="s">
        <v>267</v>
      </c>
      <c r="H20" t="s">
        <v>1229</v>
      </c>
      <c r="I20" t="s">
        <v>856</v>
      </c>
    </row>
    <row r="21" spans="1:13" x14ac:dyDescent="0.25">
      <c r="A21" s="78" t="s">
        <v>1144</v>
      </c>
      <c r="B21" s="89">
        <v>8</v>
      </c>
      <c r="C21" s="89">
        <v>217</v>
      </c>
      <c r="D21" s="68" t="s">
        <v>929</v>
      </c>
      <c r="E21" s="68" t="s">
        <v>930</v>
      </c>
      <c r="F21" s="78">
        <v>2800</v>
      </c>
      <c r="G21" t="s">
        <v>196</v>
      </c>
      <c r="H21" t="s">
        <v>1229</v>
      </c>
      <c r="I21" t="s">
        <v>856</v>
      </c>
      <c r="J21" s="148">
        <f>'1-Peter'!M15</f>
        <v>0.51615384615384619</v>
      </c>
      <c r="K21" s="148">
        <f>'1-Peter'!N15</f>
        <v>0</v>
      </c>
      <c r="L21" s="148">
        <f>'1-Peter'!O15</f>
        <v>0</v>
      </c>
      <c r="M21" s="166">
        <f>'1-Peter'!$R$15</f>
        <v>43922</v>
      </c>
    </row>
    <row r="22" spans="1:13" x14ac:dyDescent="0.25">
      <c r="A22" s="78" t="s">
        <v>1144</v>
      </c>
      <c r="B22" s="89">
        <v>11</v>
      </c>
      <c r="C22" s="89">
        <v>306</v>
      </c>
      <c r="E22" s="68" t="s">
        <v>51</v>
      </c>
      <c r="F22" s="78" t="s">
        <v>17</v>
      </c>
      <c r="G22" t="s">
        <v>18</v>
      </c>
      <c r="H22" t="s">
        <v>1229</v>
      </c>
      <c r="I22" s="10" t="s">
        <v>856</v>
      </c>
      <c r="J22" s="148">
        <f>'1-Peter'!M16</f>
        <v>1.0192307692307692</v>
      </c>
      <c r="K22" s="148">
        <f>'1-Peter'!N16</f>
        <v>0</v>
      </c>
      <c r="L22" s="148">
        <f>'1-Peter'!O16</f>
        <v>0</v>
      </c>
    </row>
    <row r="23" spans="1:13" x14ac:dyDescent="0.25">
      <c r="A23" s="78" t="s">
        <v>1144</v>
      </c>
      <c r="B23" s="89">
        <v>11</v>
      </c>
      <c r="C23" s="89">
        <v>499</v>
      </c>
      <c r="D23" s="68" t="s">
        <v>232</v>
      </c>
      <c r="E23" s="68" t="s">
        <v>233</v>
      </c>
      <c r="F23" s="78" t="s">
        <v>195</v>
      </c>
      <c r="G23" t="s">
        <v>196</v>
      </c>
      <c r="H23" t="s">
        <v>1229</v>
      </c>
      <c r="I23" t="s">
        <v>856</v>
      </c>
      <c r="J23" s="148">
        <f>'1-Peter'!M17</f>
        <v>15.634615384615385</v>
      </c>
      <c r="K23" s="148">
        <f>'1-Peter'!N17</f>
        <v>0</v>
      </c>
      <c r="L23" s="148">
        <f>'1-Peter'!O17</f>
        <v>0</v>
      </c>
    </row>
    <row r="24" spans="1:13" x14ac:dyDescent="0.25">
      <c r="A24" s="78" t="s">
        <v>1144</v>
      </c>
      <c r="B24" s="89">
        <v>11</v>
      </c>
      <c r="C24" s="89">
        <v>513</v>
      </c>
      <c r="D24" s="68"/>
      <c r="E24" s="68" t="s">
        <v>236</v>
      </c>
      <c r="F24" s="78" t="s">
        <v>71</v>
      </c>
      <c r="G24" t="s">
        <v>72</v>
      </c>
      <c r="H24" t="s">
        <v>1229</v>
      </c>
      <c r="I24" s="10" t="s">
        <v>856</v>
      </c>
      <c r="J24" s="148">
        <f>'1-Peter'!M18</f>
        <v>4.75</v>
      </c>
      <c r="K24" s="148">
        <f>'1-Peter'!N18</f>
        <v>0.25</v>
      </c>
      <c r="L24" s="148">
        <f>'1-Peter'!O18</f>
        <v>0</v>
      </c>
    </row>
    <row r="25" spans="1:13" x14ac:dyDescent="0.25">
      <c r="A25" s="78" t="s">
        <v>1144</v>
      </c>
      <c r="B25" s="89">
        <v>8</v>
      </c>
      <c r="C25" s="89">
        <v>217</v>
      </c>
      <c r="D25" s="68" t="s">
        <v>929</v>
      </c>
      <c r="E25" s="68" t="s">
        <v>930</v>
      </c>
      <c r="F25" s="78">
        <v>2800</v>
      </c>
      <c r="G25" t="s">
        <v>196</v>
      </c>
      <c r="H25" t="s">
        <v>1232</v>
      </c>
      <c r="I25" t="s">
        <v>856</v>
      </c>
    </row>
    <row r="26" spans="1:13" x14ac:dyDescent="0.25">
      <c r="A26" s="78" t="s">
        <v>1144</v>
      </c>
      <c r="B26" s="89">
        <v>11</v>
      </c>
      <c r="C26" s="89">
        <v>306</v>
      </c>
      <c r="E26" s="68" t="s">
        <v>51</v>
      </c>
      <c r="F26" s="78" t="s">
        <v>17</v>
      </c>
      <c r="G26" t="s">
        <v>18</v>
      </c>
      <c r="H26" t="s">
        <v>1232</v>
      </c>
      <c r="I26" s="10" t="s">
        <v>856</v>
      </c>
    </row>
    <row r="27" spans="1:13" x14ac:dyDescent="0.25">
      <c r="A27" s="78" t="s">
        <v>1144</v>
      </c>
      <c r="B27" s="89">
        <v>11</v>
      </c>
      <c r="C27" s="89">
        <v>499</v>
      </c>
      <c r="D27" s="68" t="s">
        <v>232</v>
      </c>
      <c r="E27" s="68" t="s">
        <v>233</v>
      </c>
      <c r="F27" s="78" t="s">
        <v>195</v>
      </c>
      <c r="G27" t="s">
        <v>196</v>
      </c>
      <c r="H27" t="s">
        <v>1232</v>
      </c>
      <c r="I27" t="s">
        <v>856</v>
      </c>
    </row>
    <row r="28" spans="1:13" x14ac:dyDescent="0.25">
      <c r="A28" s="78" t="s">
        <v>1144</v>
      </c>
      <c r="B28" s="89">
        <v>11</v>
      </c>
      <c r="C28" s="89">
        <v>513</v>
      </c>
      <c r="D28" s="68"/>
      <c r="E28" s="68" t="s">
        <v>236</v>
      </c>
      <c r="F28" s="78" t="s">
        <v>71</v>
      </c>
      <c r="G28" t="s">
        <v>72</v>
      </c>
      <c r="H28" t="s">
        <v>1232</v>
      </c>
      <c r="I28" s="10" t="s">
        <v>856</v>
      </c>
    </row>
    <row r="29" spans="1:13" x14ac:dyDescent="0.25">
      <c r="A29" s="78" t="s">
        <v>1144</v>
      </c>
      <c r="B29" s="89">
        <v>8</v>
      </c>
      <c r="C29" s="89">
        <v>217</v>
      </c>
      <c r="D29" s="68" t="s">
        <v>929</v>
      </c>
      <c r="E29" s="68" t="s">
        <v>930</v>
      </c>
      <c r="F29" s="78">
        <v>2800</v>
      </c>
      <c r="G29" t="s">
        <v>196</v>
      </c>
      <c r="H29" t="s">
        <v>1231</v>
      </c>
      <c r="I29" t="s">
        <v>856</v>
      </c>
    </row>
    <row r="30" spans="1:13" x14ac:dyDescent="0.25">
      <c r="A30" s="78" t="s">
        <v>1144</v>
      </c>
      <c r="B30" s="89">
        <v>11</v>
      </c>
      <c r="C30" s="89">
        <v>306</v>
      </c>
      <c r="E30" s="68" t="s">
        <v>51</v>
      </c>
      <c r="F30" s="78" t="s">
        <v>17</v>
      </c>
      <c r="G30" t="s">
        <v>18</v>
      </c>
      <c r="H30" t="s">
        <v>1231</v>
      </c>
      <c r="I30" s="10" t="s">
        <v>856</v>
      </c>
    </row>
    <row r="31" spans="1:13" x14ac:dyDescent="0.25">
      <c r="A31" s="78" t="s">
        <v>1144</v>
      </c>
      <c r="B31" s="89">
        <v>11</v>
      </c>
      <c r="C31" s="89">
        <v>499</v>
      </c>
      <c r="D31" s="68" t="s">
        <v>232</v>
      </c>
      <c r="E31" s="68" t="s">
        <v>233</v>
      </c>
      <c r="F31" s="78" t="s">
        <v>195</v>
      </c>
      <c r="G31" t="s">
        <v>196</v>
      </c>
      <c r="H31" t="s">
        <v>1231</v>
      </c>
      <c r="I31" t="s">
        <v>856</v>
      </c>
    </row>
    <row r="32" spans="1:13" x14ac:dyDescent="0.25">
      <c r="A32" s="78" t="s">
        <v>1144</v>
      </c>
      <c r="B32" s="89">
        <v>11</v>
      </c>
      <c r="C32" s="89">
        <v>513</v>
      </c>
      <c r="D32" s="68"/>
      <c r="E32" s="68" t="s">
        <v>236</v>
      </c>
      <c r="F32" s="78" t="s">
        <v>71</v>
      </c>
      <c r="G32" t="s">
        <v>72</v>
      </c>
      <c r="H32" t="s">
        <v>1231</v>
      </c>
      <c r="I32" s="10" t="s">
        <v>856</v>
      </c>
    </row>
    <row r="33" spans="1:13" ht="15" customHeight="1" x14ac:dyDescent="0.25">
      <c r="A33" s="78" t="s">
        <v>1144</v>
      </c>
      <c r="B33" s="97">
        <v>11</v>
      </c>
      <c r="C33" s="97">
        <v>135</v>
      </c>
      <c r="D33" s="68" t="s">
        <v>853</v>
      </c>
      <c r="E33" t="s">
        <v>854</v>
      </c>
      <c r="F33" s="78" t="s">
        <v>242</v>
      </c>
      <c r="G33" t="s">
        <v>243</v>
      </c>
      <c r="H33" t="s">
        <v>922</v>
      </c>
      <c r="I33" s="22" t="s">
        <v>856</v>
      </c>
      <c r="J33" s="148">
        <f>'1-Peter'!M19</f>
        <v>2.5769230769230771</v>
      </c>
      <c r="K33" s="148">
        <f>'1-Peter'!N19</f>
        <v>0</v>
      </c>
      <c r="L33" s="148">
        <f>'1-Peter'!O19</f>
        <v>0</v>
      </c>
      <c r="M33" s="166">
        <f>'1-Peter'!$R$19</f>
        <v>43191</v>
      </c>
    </row>
    <row r="34" spans="1:13" ht="15" customHeight="1" x14ac:dyDescent="0.25">
      <c r="A34" s="78" t="s">
        <v>1144</v>
      </c>
      <c r="B34" s="97">
        <v>11</v>
      </c>
      <c r="C34" s="97">
        <v>247</v>
      </c>
      <c r="D34" t="s">
        <v>768</v>
      </c>
      <c r="E34" t="s">
        <v>769</v>
      </c>
      <c r="F34" s="78" t="s">
        <v>242</v>
      </c>
      <c r="G34" s="10" t="s">
        <v>243</v>
      </c>
      <c r="H34" t="s">
        <v>1230</v>
      </c>
      <c r="I34" s="22" t="s">
        <v>838</v>
      </c>
      <c r="J34" s="148">
        <f>'1-Peter'!M20</f>
        <v>3.4423076923076925</v>
      </c>
      <c r="K34" s="148">
        <f>'1-Peter'!N20</f>
        <v>2.8846153846153846</v>
      </c>
      <c r="L34" s="148">
        <f>'1-Peter'!O20</f>
        <v>0.19230769230769232</v>
      </c>
      <c r="M34" s="166">
        <f>'1-Peter'!$R$20</f>
        <v>42095</v>
      </c>
    </row>
    <row r="35" spans="1:13" x14ac:dyDescent="0.25">
      <c r="A35" s="78" t="s">
        <v>1144</v>
      </c>
      <c r="B35" s="97">
        <v>11</v>
      </c>
      <c r="C35" s="102">
        <v>382</v>
      </c>
      <c r="E35" t="s">
        <v>770</v>
      </c>
      <c r="F35" s="78" t="s">
        <v>244</v>
      </c>
      <c r="G35" s="10" t="s">
        <v>245</v>
      </c>
      <c r="H35" t="s">
        <v>1230</v>
      </c>
      <c r="I35" s="22" t="s">
        <v>838</v>
      </c>
      <c r="J35" s="148">
        <f>'1-Peter'!M21</f>
        <v>2.9615384615384617</v>
      </c>
      <c r="K35" s="148">
        <f>'1-Peter'!N21</f>
        <v>0.57692307692307687</v>
      </c>
      <c r="L35" s="148">
        <f>'1-Peter'!O21</f>
        <v>0</v>
      </c>
      <c r="M35" s="166">
        <f>'1-Peter'!$R$21</f>
        <v>42125</v>
      </c>
    </row>
    <row r="36" spans="1:13" x14ac:dyDescent="0.25">
      <c r="A36" s="78" t="s">
        <v>1144</v>
      </c>
      <c r="B36" s="97">
        <v>11</v>
      </c>
      <c r="C36" s="97">
        <v>458</v>
      </c>
      <c r="D36" t="s">
        <v>771</v>
      </c>
      <c r="E36" t="s">
        <v>772</v>
      </c>
      <c r="F36" s="78" t="s">
        <v>733</v>
      </c>
      <c r="G36" s="10" t="s">
        <v>734</v>
      </c>
      <c r="H36" t="s">
        <v>1230</v>
      </c>
      <c r="I36" s="22" t="s">
        <v>856</v>
      </c>
      <c r="J36" s="148">
        <f>'1-Peter'!M22</f>
        <v>14.038461538461538</v>
      </c>
      <c r="K36" s="148">
        <f>'1-Peter'!N22</f>
        <v>0</v>
      </c>
      <c r="L36" s="148">
        <f>'1-Peter'!O22</f>
        <v>0</v>
      </c>
      <c r="M36" s="166">
        <f>'1-Peter'!$R$22</f>
        <v>42036</v>
      </c>
    </row>
    <row r="37" spans="1:13" x14ac:dyDescent="0.25">
      <c r="A37" s="78" t="s">
        <v>1144</v>
      </c>
      <c r="B37" s="97">
        <v>11</v>
      </c>
      <c r="C37" s="102">
        <v>508</v>
      </c>
      <c r="D37" s="68"/>
      <c r="E37" s="67" t="s">
        <v>911</v>
      </c>
      <c r="F37" s="78" t="s">
        <v>913</v>
      </c>
      <c r="G37" t="s">
        <v>80</v>
      </c>
      <c r="H37" t="s">
        <v>1230</v>
      </c>
      <c r="I37" s="22" t="s">
        <v>856</v>
      </c>
      <c r="J37" s="148">
        <f>'1-Peter'!M23</f>
        <v>3.9230769230769229</v>
      </c>
      <c r="K37" s="148">
        <f>'1-Peter'!N23</f>
        <v>0</v>
      </c>
      <c r="L37" s="148">
        <f>'1-Peter'!O23</f>
        <v>0</v>
      </c>
    </row>
    <row r="38" spans="1:13" x14ac:dyDescent="0.25">
      <c r="A38" s="78" t="s">
        <v>1144</v>
      </c>
      <c r="B38" s="97">
        <v>11</v>
      </c>
      <c r="C38" s="102">
        <v>517</v>
      </c>
      <c r="D38" s="68"/>
      <c r="E38" s="67" t="s">
        <v>912</v>
      </c>
      <c r="F38" s="78" t="s">
        <v>914</v>
      </c>
      <c r="G38" t="s">
        <v>80</v>
      </c>
      <c r="H38" t="s">
        <v>1230</v>
      </c>
      <c r="I38" s="22" t="s">
        <v>856</v>
      </c>
      <c r="J38" s="148">
        <f>'1-Peter'!M24</f>
        <v>8.6538461538461533</v>
      </c>
      <c r="K38" s="148">
        <f>'1-Peter'!N24</f>
        <v>0</v>
      </c>
      <c r="L38" s="148">
        <f>'1-Peter'!O24</f>
        <v>0</v>
      </c>
    </row>
    <row r="39" spans="1:13" x14ac:dyDescent="0.25">
      <c r="A39" s="78" t="s">
        <v>1144</v>
      </c>
      <c r="B39" s="97">
        <v>11</v>
      </c>
      <c r="C39" s="102">
        <v>706</v>
      </c>
      <c r="D39" s="68"/>
      <c r="E39" s="68" t="s">
        <v>105</v>
      </c>
      <c r="F39" s="78" t="s">
        <v>79</v>
      </c>
      <c r="G39" t="s">
        <v>80</v>
      </c>
      <c r="H39" t="s">
        <v>1230</v>
      </c>
      <c r="I39" s="22" t="s">
        <v>856</v>
      </c>
      <c r="J39" s="148">
        <f>'1-Peter'!M25</f>
        <v>9.615384615384615</v>
      </c>
      <c r="K39" s="148">
        <f>'1-Peter'!N25</f>
        <v>0</v>
      </c>
      <c r="L39" s="148">
        <f>'1-Peter'!O25</f>
        <v>0</v>
      </c>
    </row>
    <row r="40" spans="1:13" x14ac:dyDescent="0.25">
      <c r="A40" s="78" t="s">
        <v>1144</v>
      </c>
      <c r="B40" s="97">
        <v>11</v>
      </c>
      <c r="C40" s="97">
        <v>247</v>
      </c>
      <c r="D40" t="s">
        <v>768</v>
      </c>
      <c r="E40" t="s">
        <v>769</v>
      </c>
      <c r="F40" s="78" t="s">
        <v>242</v>
      </c>
      <c r="G40" s="10" t="s">
        <v>243</v>
      </c>
      <c r="H40" s="10" t="s">
        <v>1174</v>
      </c>
      <c r="I40" s="22" t="s">
        <v>838</v>
      </c>
    </row>
    <row r="41" spans="1:13" x14ac:dyDescent="0.25">
      <c r="A41" s="78" t="s">
        <v>1144</v>
      </c>
      <c r="B41" s="97">
        <v>11</v>
      </c>
      <c r="C41" s="102">
        <v>382</v>
      </c>
      <c r="E41" t="s">
        <v>770</v>
      </c>
      <c r="F41" s="78" t="s">
        <v>244</v>
      </c>
      <c r="G41" s="10" t="s">
        <v>245</v>
      </c>
      <c r="H41" s="10" t="s">
        <v>1174</v>
      </c>
      <c r="I41" s="22" t="s">
        <v>838</v>
      </c>
    </row>
    <row r="42" spans="1:13" x14ac:dyDescent="0.25">
      <c r="A42" s="78" t="s">
        <v>1144</v>
      </c>
      <c r="B42" s="97">
        <v>11</v>
      </c>
      <c r="C42" s="97">
        <v>458</v>
      </c>
      <c r="D42" t="s">
        <v>771</v>
      </c>
      <c r="E42" t="s">
        <v>772</v>
      </c>
      <c r="F42" s="78" t="s">
        <v>733</v>
      </c>
      <c r="G42" s="10" t="s">
        <v>734</v>
      </c>
      <c r="H42" s="10" t="s">
        <v>1174</v>
      </c>
      <c r="I42" s="22" t="s">
        <v>856</v>
      </c>
    </row>
    <row r="43" spans="1:13" x14ac:dyDescent="0.25">
      <c r="A43" s="78" t="s">
        <v>1144</v>
      </c>
      <c r="B43" s="97">
        <v>11</v>
      </c>
      <c r="C43" s="102">
        <v>508</v>
      </c>
      <c r="D43" s="68"/>
      <c r="E43" s="67" t="s">
        <v>911</v>
      </c>
      <c r="F43" s="78" t="s">
        <v>913</v>
      </c>
      <c r="G43" t="s">
        <v>80</v>
      </c>
      <c r="H43" s="10" t="s">
        <v>1174</v>
      </c>
      <c r="I43" s="22" t="s">
        <v>856</v>
      </c>
    </row>
    <row r="44" spans="1:13" x14ac:dyDescent="0.25">
      <c r="A44" s="78" t="s">
        <v>1144</v>
      </c>
      <c r="B44" s="97">
        <v>11</v>
      </c>
      <c r="C44" s="102">
        <v>517</v>
      </c>
      <c r="D44" s="68"/>
      <c r="E44" s="67" t="s">
        <v>912</v>
      </c>
      <c r="F44" s="78" t="s">
        <v>914</v>
      </c>
      <c r="G44" t="s">
        <v>80</v>
      </c>
      <c r="H44" s="10" t="s">
        <v>1174</v>
      </c>
      <c r="I44" s="22" t="s">
        <v>856</v>
      </c>
    </row>
    <row r="45" spans="1:13" x14ac:dyDescent="0.25">
      <c r="A45" s="78" t="s">
        <v>1144</v>
      </c>
      <c r="B45" s="97">
        <v>11</v>
      </c>
      <c r="C45" s="102">
        <v>706</v>
      </c>
      <c r="D45" s="68"/>
      <c r="E45" s="68" t="s">
        <v>105</v>
      </c>
      <c r="F45" s="78" t="s">
        <v>79</v>
      </c>
      <c r="G45" t="s">
        <v>80</v>
      </c>
      <c r="H45" s="10" t="s">
        <v>1174</v>
      </c>
      <c r="I45" s="22" t="s">
        <v>856</v>
      </c>
    </row>
    <row r="46" spans="1:13" x14ac:dyDescent="0.25">
      <c r="A46" s="78" t="s">
        <v>1144</v>
      </c>
      <c r="B46" s="95">
        <v>11</v>
      </c>
      <c r="C46" s="95">
        <v>119</v>
      </c>
      <c r="D46" t="s">
        <v>256</v>
      </c>
      <c r="E46" t="s">
        <v>255</v>
      </c>
      <c r="F46" s="78" t="s">
        <v>249</v>
      </c>
      <c r="G46" s="10" t="s">
        <v>250</v>
      </c>
      <c r="H46" t="s">
        <v>363</v>
      </c>
      <c r="I46" s="10" t="s">
        <v>856</v>
      </c>
      <c r="J46" s="148">
        <f>'1-Peter'!M26</f>
        <v>16.826923076923077</v>
      </c>
      <c r="K46" s="148">
        <f>'1-Peter'!N26</f>
        <v>2.8846153846153846</v>
      </c>
      <c r="L46" s="148">
        <f>'1-Peter'!O26</f>
        <v>0</v>
      </c>
    </row>
    <row r="47" spans="1:13" x14ac:dyDescent="0.25">
      <c r="A47" s="78" t="s">
        <v>1144</v>
      </c>
      <c r="B47" s="95">
        <v>11</v>
      </c>
      <c r="C47" s="95">
        <v>143</v>
      </c>
      <c r="D47" s="68" t="s">
        <v>209</v>
      </c>
      <c r="E47" t="s">
        <v>208</v>
      </c>
      <c r="F47" s="78" t="s">
        <v>69</v>
      </c>
      <c r="G47" s="10" t="s">
        <v>70</v>
      </c>
      <c r="H47" t="s">
        <v>363</v>
      </c>
      <c r="I47" t="s">
        <v>856</v>
      </c>
      <c r="J47" s="148">
        <f>'1-Peter'!M27</f>
        <v>7.134615384615385</v>
      </c>
      <c r="K47" s="148">
        <f>'1-Peter'!N27</f>
        <v>4.3269230769230766</v>
      </c>
      <c r="L47" s="148">
        <f>'1-Peter'!O27</f>
        <v>0</v>
      </c>
    </row>
    <row r="48" spans="1:13" ht="15" customHeight="1" x14ac:dyDescent="0.25">
      <c r="A48" s="78" t="s">
        <v>1144</v>
      </c>
      <c r="B48" s="95">
        <v>11</v>
      </c>
      <c r="C48" s="95">
        <v>144</v>
      </c>
      <c r="D48" s="68" t="s">
        <v>258</v>
      </c>
      <c r="E48" t="s">
        <v>257</v>
      </c>
      <c r="F48" s="78" t="s">
        <v>251</v>
      </c>
      <c r="G48" s="10" t="s">
        <v>252</v>
      </c>
      <c r="H48" t="s">
        <v>363</v>
      </c>
      <c r="I48" s="10" t="s">
        <v>856</v>
      </c>
    </row>
    <row r="49" spans="1:9" ht="15" customHeight="1" x14ac:dyDescent="0.25">
      <c r="A49" s="78" t="s">
        <v>1144</v>
      </c>
      <c r="B49" s="95">
        <v>11</v>
      </c>
      <c r="C49" s="95">
        <v>224</v>
      </c>
      <c r="E49" t="s">
        <v>215</v>
      </c>
      <c r="F49" s="78" t="s">
        <v>184</v>
      </c>
      <c r="G49" s="10" t="s">
        <v>185</v>
      </c>
      <c r="H49" t="s">
        <v>363</v>
      </c>
      <c r="I49" s="10" t="s">
        <v>856</v>
      </c>
    </row>
    <row r="50" spans="1:9" ht="15" customHeight="1" x14ac:dyDescent="0.25">
      <c r="A50" s="78" t="s">
        <v>1144</v>
      </c>
      <c r="B50" s="95">
        <v>11</v>
      </c>
      <c r="C50" s="95">
        <v>233</v>
      </c>
      <c r="D50" s="68" t="s">
        <v>218</v>
      </c>
      <c r="E50" t="s">
        <v>217</v>
      </c>
      <c r="F50" s="78" t="s">
        <v>69</v>
      </c>
      <c r="G50" s="10" t="s">
        <v>70</v>
      </c>
      <c r="H50" t="s">
        <v>363</v>
      </c>
      <c r="I50" s="10" t="s">
        <v>856</v>
      </c>
    </row>
    <row r="51" spans="1:9" x14ac:dyDescent="0.25">
      <c r="A51" s="78" t="s">
        <v>1144</v>
      </c>
      <c r="B51" s="95">
        <v>11</v>
      </c>
      <c r="C51" s="95">
        <v>345</v>
      </c>
      <c r="E51" t="s">
        <v>222</v>
      </c>
      <c r="F51" s="78" t="s">
        <v>191</v>
      </c>
      <c r="G51" s="10" t="s">
        <v>192</v>
      </c>
      <c r="H51" t="s">
        <v>363</v>
      </c>
      <c r="I51" s="10" t="s">
        <v>856</v>
      </c>
    </row>
    <row r="52" spans="1:9" ht="15" customHeight="1" x14ac:dyDescent="0.25">
      <c r="A52" s="78" t="s">
        <v>1144</v>
      </c>
      <c r="B52" s="95">
        <v>11</v>
      </c>
      <c r="C52" s="95">
        <v>368</v>
      </c>
      <c r="E52" t="s">
        <v>223</v>
      </c>
      <c r="F52" s="78" t="s">
        <v>191</v>
      </c>
      <c r="G52" s="10" t="s">
        <v>192</v>
      </c>
      <c r="H52" t="s">
        <v>363</v>
      </c>
      <c r="I52" s="10" t="s">
        <v>856</v>
      </c>
    </row>
    <row r="53" spans="1:9" x14ac:dyDescent="0.25">
      <c r="A53" s="78" t="s">
        <v>1144</v>
      </c>
      <c r="B53" s="95">
        <v>11</v>
      </c>
      <c r="C53" s="95">
        <v>380</v>
      </c>
      <c r="E53" t="s">
        <v>224</v>
      </c>
      <c r="F53" s="78" t="s">
        <v>69</v>
      </c>
      <c r="G53" s="10" t="s">
        <v>70</v>
      </c>
      <c r="H53" t="s">
        <v>363</v>
      </c>
      <c r="I53" t="s">
        <v>856</v>
      </c>
    </row>
    <row r="54" spans="1:9" ht="15" customHeight="1" x14ac:dyDescent="0.25">
      <c r="A54" s="78" t="s">
        <v>1144</v>
      </c>
      <c r="B54" s="95">
        <v>11</v>
      </c>
      <c r="C54" s="95">
        <v>408</v>
      </c>
      <c r="D54" s="68" t="s">
        <v>226</v>
      </c>
      <c r="E54" t="s">
        <v>225</v>
      </c>
      <c r="F54" s="78" t="s">
        <v>193</v>
      </c>
      <c r="G54" s="10" t="s">
        <v>194</v>
      </c>
      <c r="H54" t="s">
        <v>363</v>
      </c>
      <c r="I54" s="10" t="s">
        <v>856</v>
      </c>
    </row>
    <row r="55" spans="1:9" ht="15" customHeight="1" x14ac:dyDescent="0.25">
      <c r="A55" s="78" t="s">
        <v>1144</v>
      </c>
      <c r="B55" s="95">
        <v>11</v>
      </c>
      <c r="C55" s="95">
        <v>416</v>
      </c>
      <c r="E55" t="s">
        <v>227</v>
      </c>
      <c r="F55" s="78" t="s">
        <v>69</v>
      </c>
      <c r="G55" s="10" t="s">
        <v>70</v>
      </c>
      <c r="H55" t="s">
        <v>363</v>
      </c>
      <c r="I55" t="s">
        <v>856</v>
      </c>
    </row>
    <row r="56" spans="1:9" x14ac:dyDescent="0.25">
      <c r="A56" s="78" t="s">
        <v>1144</v>
      </c>
      <c r="B56" s="95">
        <v>11</v>
      </c>
      <c r="C56" s="95">
        <v>423</v>
      </c>
      <c r="E56" t="s">
        <v>259</v>
      </c>
      <c r="F56" s="78" t="s">
        <v>253</v>
      </c>
      <c r="G56" s="10" t="s">
        <v>254</v>
      </c>
      <c r="H56" t="s">
        <v>363</v>
      </c>
      <c r="I56" s="10" t="s">
        <v>856</v>
      </c>
    </row>
    <row r="57" spans="1:9" ht="15" customHeight="1" x14ac:dyDescent="0.25">
      <c r="A57" s="78" t="s">
        <v>1144</v>
      </c>
      <c r="B57" s="95">
        <v>11</v>
      </c>
      <c r="C57" s="95">
        <v>429</v>
      </c>
      <c r="D57" s="68" t="s">
        <v>229</v>
      </c>
      <c r="E57" t="s">
        <v>228</v>
      </c>
      <c r="F57" s="78" t="s">
        <v>69</v>
      </c>
      <c r="G57" s="10" t="s">
        <v>70</v>
      </c>
      <c r="H57" t="s">
        <v>363</v>
      </c>
      <c r="I57" t="s">
        <v>856</v>
      </c>
    </row>
    <row r="58" spans="1:9" ht="15" customHeight="1" x14ac:dyDescent="0.25">
      <c r="A58" s="78" t="s">
        <v>1144</v>
      </c>
      <c r="B58" s="95">
        <v>11</v>
      </c>
      <c r="C58" s="95">
        <v>504</v>
      </c>
      <c r="E58" t="s">
        <v>235</v>
      </c>
      <c r="F58" s="78" t="s">
        <v>198</v>
      </c>
      <c r="G58" s="10" t="s">
        <v>199</v>
      </c>
      <c r="H58" t="s">
        <v>363</v>
      </c>
      <c r="I58" s="10" t="s">
        <v>856</v>
      </c>
    </row>
    <row r="59" spans="1:9" ht="15" customHeight="1" x14ac:dyDescent="0.25">
      <c r="A59" s="78" t="s">
        <v>1144</v>
      </c>
      <c r="B59" s="95">
        <v>11</v>
      </c>
      <c r="C59" s="95">
        <v>119</v>
      </c>
      <c r="D59" t="s">
        <v>256</v>
      </c>
      <c r="E59" t="s">
        <v>255</v>
      </c>
      <c r="F59" s="78" t="s">
        <v>249</v>
      </c>
      <c r="G59" s="10" t="s">
        <v>250</v>
      </c>
      <c r="H59" t="s">
        <v>1362</v>
      </c>
      <c r="I59" s="10" t="s">
        <v>856</v>
      </c>
    </row>
    <row r="60" spans="1:9" ht="15" customHeight="1" x14ac:dyDescent="0.25">
      <c r="A60" s="78" t="s">
        <v>1144</v>
      </c>
      <c r="B60" s="95">
        <v>11</v>
      </c>
      <c r="C60" s="95">
        <v>143</v>
      </c>
      <c r="D60" s="68" t="s">
        <v>209</v>
      </c>
      <c r="E60" t="s">
        <v>208</v>
      </c>
      <c r="F60" s="78" t="s">
        <v>69</v>
      </c>
      <c r="G60" s="10" t="s">
        <v>70</v>
      </c>
      <c r="H60" t="s">
        <v>1362</v>
      </c>
      <c r="I60" t="s">
        <v>856</v>
      </c>
    </row>
    <row r="61" spans="1:9" ht="15" customHeight="1" x14ac:dyDescent="0.25">
      <c r="A61" s="78" t="s">
        <v>1144</v>
      </c>
      <c r="B61" s="95">
        <v>11</v>
      </c>
      <c r="C61" s="95">
        <v>144</v>
      </c>
      <c r="D61" s="68" t="s">
        <v>258</v>
      </c>
      <c r="E61" t="s">
        <v>257</v>
      </c>
      <c r="F61" s="78" t="s">
        <v>251</v>
      </c>
      <c r="G61" s="10" t="s">
        <v>252</v>
      </c>
      <c r="H61" t="s">
        <v>1362</v>
      </c>
      <c r="I61" s="10" t="s">
        <v>856</v>
      </c>
    </row>
    <row r="62" spans="1:9" ht="15" customHeight="1" x14ac:dyDescent="0.25">
      <c r="A62" s="78" t="s">
        <v>1144</v>
      </c>
      <c r="B62" s="95">
        <v>11</v>
      </c>
      <c r="C62" s="95">
        <v>224</v>
      </c>
      <c r="E62" t="s">
        <v>215</v>
      </c>
      <c r="F62" s="78" t="s">
        <v>184</v>
      </c>
      <c r="G62" s="10" t="s">
        <v>185</v>
      </c>
      <c r="H62" t="s">
        <v>1362</v>
      </c>
      <c r="I62" s="10" t="s">
        <v>856</v>
      </c>
    </row>
    <row r="63" spans="1:9" ht="15" customHeight="1" x14ac:dyDescent="0.25">
      <c r="A63" s="78" t="s">
        <v>1144</v>
      </c>
      <c r="B63" s="95">
        <v>11</v>
      </c>
      <c r="C63" s="95">
        <v>233</v>
      </c>
      <c r="D63" s="68" t="s">
        <v>218</v>
      </c>
      <c r="E63" t="s">
        <v>217</v>
      </c>
      <c r="F63" s="78" t="s">
        <v>69</v>
      </c>
      <c r="G63" s="10" t="s">
        <v>70</v>
      </c>
      <c r="H63" t="s">
        <v>1362</v>
      </c>
      <c r="I63" s="10" t="s">
        <v>856</v>
      </c>
    </row>
    <row r="64" spans="1:9" ht="15" customHeight="1" x14ac:dyDescent="0.25">
      <c r="A64" s="78" t="s">
        <v>1144</v>
      </c>
      <c r="B64" s="95">
        <v>11</v>
      </c>
      <c r="C64" s="95">
        <v>345</v>
      </c>
      <c r="E64" t="s">
        <v>222</v>
      </c>
      <c r="F64" s="78" t="s">
        <v>191</v>
      </c>
      <c r="G64" s="10" t="s">
        <v>192</v>
      </c>
      <c r="H64" t="s">
        <v>1362</v>
      </c>
      <c r="I64" s="10" t="s">
        <v>856</v>
      </c>
    </row>
    <row r="65" spans="1:9" ht="15" customHeight="1" x14ac:dyDescent="0.25">
      <c r="A65" s="78" t="s">
        <v>1144</v>
      </c>
      <c r="B65" s="95">
        <v>11</v>
      </c>
      <c r="C65" s="95">
        <v>368</v>
      </c>
      <c r="E65" t="s">
        <v>223</v>
      </c>
      <c r="F65" s="78" t="s">
        <v>191</v>
      </c>
      <c r="G65" s="10" t="s">
        <v>192</v>
      </c>
      <c r="H65" t="s">
        <v>1362</v>
      </c>
      <c r="I65" s="10" t="s">
        <v>856</v>
      </c>
    </row>
    <row r="66" spans="1:9" ht="15" customHeight="1" x14ac:dyDescent="0.25">
      <c r="A66" s="78" t="s">
        <v>1144</v>
      </c>
      <c r="B66" s="95">
        <v>11</v>
      </c>
      <c r="C66" s="95">
        <v>380</v>
      </c>
      <c r="E66" t="s">
        <v>224</v>
      </c>
      <c r="F66" s="78" t="s">
        <v>69</v>
      </c>
      <c r="G66" s="10" t="s">
        <v>70</v>
      </c>
      <c r="H66" t="s">
        <v>1362</v>
      </c>
      <c r="I66" t="s">
        <v>856</v>
      </c>
    </row>
    <row r="67" spans="1:9" ht="15" customHeight="1" x14ac:dyDescent="0.25">
      <c r="A67" s="78" t="s">
        <v>1144</v>
      </c>
      <c r="B67" s="95">
        <v>11</v>
      </c>
      <c r="C67" s="95">
        <v>408</v>
      </c>
      <c r="D67" s="68" t="s">
        <v>226</v>
      </c>
      <c r="E67" t="s">
        <v>225</v>
      </c>
      <c r="F67" s="78" t="s">
        <v>193</v>
      </c>
      <c r="G67" s="10" t="s">
        <v>194</v>
      </c>
      <c r="H67" t="s">
        <v>1362</v>
      </c>
      <c r="I67" s="10" t="s">
        <v>856</v>
      </c>
    </row>
    <row r="68" spans="1:9" ht="15" customHeight="1" x14ac:dyDescent="0.25">
      <c r="A68" s="78" t="s">
        <v>1144</v>
      </c>
      <c r="B68" s="95">
        <v>11</v>
      </c>
      <c r="C68" s="95">
        <v>416</v>
      </c>
      <c r="E68" t="s">
        <v>227</v>
      </c>
      <c r="F68" s="78" t="s">
        <v>69</v>
      </c>
      <c r="G68" s="10" t="s">
        <v>70</v>
      </c>
      <c r="H68" t="s">
        <v>1362</v>
      </c>
      <c r="I68" t="s">
        <v>856</v>
      </c>
    </row>
    <row r="69" spans="1:9" ht="15" customHeight="1" x14ac:dyDescent="0.25">
      <c r="A69" s="78" t="s">
        <v>1144</v>
      </c>
      <c r="B69" s="95">
        <v>11</v>
      </c>
      <c r="C69" s="95">
        <v>423</v>
      </c>
      <c r="E69" t="s">
        <v>259</v>
      </c>
      <c r="F69" s="78" t="s">
        <v>253</v>
      </c>
      <c r="G69" s="10" t="s">
        <v>254</v>
      </c>
      <c r="H69" t="s">
        <v>1362</v>
      </c>
      <c r="I69" s="10" t="s">
        <v>856</v>
      </c>
    </row>
    <row r="70" spans="1:9" ht="15" customHeight="1" x14ac:dyDescent="0.25">
      <c r="A70" s="78" t="s">
        <v>1144</v>
      </c>
      <c r="B70" s="95">
        <v>11</v>
      </c>
      <c r="C70" s="95">
        <v>429</v>
      </c>
      <c r="D70" s="68" t="s">
        <v>229</v>
      </c>
      <c r="E70" t="s">
        <v>228</v>
      </c>
      <c r="F70" s="78" t="s">
        <v>69</v>
      </c>
      <c r="G70" s="10" t="s">
        <v>70</v>
      </c>
      <c r="H70" t="s">
        <v>1362</v>
      </c>
      <c r="I70" t="s">
        <v>856</v>
      </c>
    </row>
    <row r="71" spans="1:9" ht="15" customHeight="1" x14ac:dyDescent="0.25">
      <c r="A71" s="78" t="s">
        <v>1144</v>
      </c>
      <c r="B71" s="95">
        <v>11</v>
      </c>
      <c r="C71" s="95">
        <v>504</v>
      </c>
      <c r="E71" t="s">
        <v>235</v>
      </c>
      <c r="F71" s="78" t="s">
        <v>198</v>
      </c>
      <c r="G71" s="10" t="s">
        <v>199</v>
      </c>
      <c r="H71" t="s">
        <v>1362</v>
      </c>
      <c r="I71" s="10" t="s">
        <v>856</v>
      </c>
    </row>
    <row r="72" spans="1:9" ht="15" customHeight="1" x14ac:dyDescent="0.25">
      <c r="A72" s="78" t="s">
        <v>1144</v>
      </c>
      <c r="B72" s="95">
        <v>11</v>
      </c>
      <c r="C72" s="95">
        <v>119</v>
      </c>
      <c r="D72" t="s">
        <v>256</v>
      </c>
      <c r="E72" t="s">
        <v>255</v>
      </c>
      <c r="F72" s="78" t="s">
        <v>249</v>
      </c>
      <c r="G72" s="10" t="s">
        <v>250</v>
      </c>
      <c r="H72" t="s">
        <v>1363</v>
      </c>
      <c r="I72" s="10" t="s">
        <v>856</v>
      </c>
    </row>
    <row r="73" spans="1:9" ht="15" customHeight="1" x14ac:dyDescent="0.25">
      <c r="A73" s="78" t="s">
        <v>1144</v>
      </c>
      <c r="B73" s="95">
        <v>11</v>
      </c>
      <c r="C73" s="95">
        <v>143</v>
      </c>
      <c r="D73" s="68" t="s">
        <v>209</v>
      </c>
      <c r="E73" t="s">
        <v>208</v>
      </c>
      <c r="F73" s="78" t="s">
        <v>69</v>
      </c>
      <c r="G73" s="10" t="s">
        <v>70</v>
      </c>
      <c r="H73" t="s">
        <v>1363</v>
      </c>
      <c r="I73" t="s">
        <v>856</v>
      </c>
    </row>
    <row r="74" spans="1:9" ht="15" customHeight="1" x14ac:dyDescent="0.25">
      <c r="A74" s="78" t="s">
        <v>1144</v>
      </c>
      <c r="B74" s="95">
        <v>11</v>
      </c>
      <c r="C74" s="95">
        <v>144</v>
      </c>
      <c r="D74" s="68" t="s">
        <v>258</v>
      </c>
      <c r="E74" t="s">
        <v>257</v>
      </c>
      <c r="F74" s="78" t="s">
        <v>251</v>
      </c>
      <c r="G74" s="10" t="s">
        <v>252</v>
      </c>
      <c r="H74" t="s">
        <v>1363</v>
      </c>
      <c r="I74" s="10" t="s">
        <v>856</v>
      </c>
    </row>
    <row r="75" spans="1:9" ht="15" customHeight="1" x14ac:dyDescent="0.25">
      <c r="A75" s="78" t="s">
        <v>1144</v>
      </c>
      <c r="B75" s="95">
        <v>11</v>
      </c>
      <c r="C75" s="95">
        <v>224</v>
      </c>
      <c r="E75" t="s">
        <v>215</v>
      </c>
      <c r="F75" s="78" t="s">
        <v>184</v>
      </c>
      <c r="G75" s="10" t="s">
        <v>185</v>
      </c>
      <c r="H75" t="s">
        <v>1363</v>
      </c>
      <c r="I75" s="10" t="s">
        <v>856</v>
      </c>
    </row>
    <row r="76" spans="1:9" ht="15" customHeight="1" x14ac:dyDescent="0.25">
      <c r="A76" s="78" t="s">
        <v>1144</v>
      </c>
      <c r="B76" s="95">
        <v>11</v>
      </c>
      <c r="C76" s="95">
        <v>233</v>
      </c>
      <c r="D76" s="68" t="s">
        <v>218</v>
      </c>
      <c r="E76" t="s">
        <v>217</v>
      </c>
      <c r="F76" s="78" t="s">
        <v>69</v>
      </c>
      <c r="G76" s="10" t="s">
        <v>70</v>
      </c>
      <c r="H76" t="s">
        <v>1363</v>
      </c>
      <c r="I76" s="10" t="s">
        <v>856</v>
      </c>
    </row>
    <row r="77" spans="1:9" ht="15" customHeight="1" x14ac:dyDescent="0.25">
      <c r="A77" s="78" t="s">
        <v>1144</v>
      </c>
      <c r="B77" s="95">
        <v>11</v>
      </c>
      <c r="C77" s="95">
        <v>345</v>
      </c>
      <c r="E77" t="s">
        <v>222</v>
      </c>
      <c r="F77" s="78" t="s">
        <v>191</v>
      </c>
      <c r="G77" s="10" t="s">
        <v>192</v>
      </c>
      <c r="H77" t="s">
        <v>1363</v>
      </c>
      <c r="I77" s="10" t="s">
        <v>856</v>
      </c>
    </row>
    <row r="78" spans="1:9" ht="15" customHeight="1" x14ac:dyDescent="0.25">
      <c r="A78" s="78" t="s">
        <v>1144</v>
      </c>
      <c r="B78" s="95">
        <v>11</v>
      </c>
      <c r="C78" s="95">
        <v>368</v>
      </c>
      <c r="E78" t="s">
        <v>223</v>
      </c>
      <c r="F78" s="78" t="s">
        <v>191</v>
      </c>
      <c r="G78" s="10" t="s">
        <v>192</v>
      </c>
      <c r="H78" t="s">
        <v>1363</v>
      </c>
      <c r="I78" s="10" t="s">
        <v>856</v>
      </c>
    </row>
    <row r="79" spans="1:9" ht="15" customHeight="1" x14ac:dyDescent="0.25">
      <c r="A79" s="78" t="s">
        <v>1144</v>
      </c>
      <c r="B79" s="95">
        <v>11</v>
      </c>
      <c r="C79" s="95">
        <v>380</v>
      </c>
      <c r="E79" t="s">
        <v>224</v>
      </c>
      <c r="F79" s="78" t="s">
        <v>69</v>
      </c>
      <c r="G79" s="10" t="s">
        <v>70</v>
      </c>
      <c r="H79" t="s">
        <v>1363</v>
      </c>
      <c r="I79" t="s">
        <v>856</v>
      </c>
    </row>
    <row r="80" spans="1:9" ht="15" customHeight="1" x14ac:dyDescent="0.25">
      <c r="A80" s="78" t="s">
        <v>1144</v>
      </c>
      <c r="B80" s="95">
        <v>11</v>
      </c>
      <c r="C80" s="95">
        <v>408</v>
      </c>
      <c r="D80" s="68" t="s">
        <v>226</v>
      </c>
      <c r="E80" t="s">
        <v>225</v>
      </c>
      <c r="F80" s="78" t="s">
        <v>193</v>
      </c>
      <c r="G80" s="10" t="s">
        <v>194</v>
      </c>
      <c r="H80" t="s">
        <v>1363</v>
      </c>
      <c r="I80" s="10" t="s">
        <v>856</v>
      </c>
    </row>
    <row r="81" spans="1:9" ht="15" customHeight="1" x14ac:dyDescent="0.25">
      <c r="A81" s="78" t="s">
        <v>1144</v>
      </c>
      <c r="B81" s="95">
        <v>11</v>
      </c>
      <c r="C81" s="95">
        <v>416</v>
      </c>
      <c r="E81" t="s">
        <v>227</v>
      </c>
      <c r="F81" s="78" t="s">
        <v>69</v>
      </c>
      <c r="G81" s="10" t="s">
        <v>70</v>
      </c>
      <c r="H81" t="s">
        <v>1363</v>
      </c>
      <c r="I81" t="s">
        <v>856</v>
      </c>
    </row>
    <row r="82" spans="1:9" ht="15" customHeight="1" x14ac:dyDescent="0.25">
      <c r="A82" s="78" t="s">
        <v>1144</v>
      </c>
      <c r="B82" s="95">
        <v>11</v>
      </c>
      <c r="C82" s="95">
        <v>423</v>
      </c>
      <c r="E82" t="s">
        <v>259</v>
      </c>
      <c r="F82" s="78" t="s">
        <v>253</v>
      </c>
      <c r="G82" s="10" t="s">
        <v>254</v>
      </c>
      <c r="H82" t="s">
        <v>1363</v>
      </c>
      <c r="I82" s="10" t="s">
        <v>856</v>
      </c>
    </row>
    <row r="83" spans="1:9" ht="15" customHeight="1" x14ac:dyDescent="0.25">
      <c r="A83" s="78" t="s">
        <v>1144</v>
      </c>
      <c r="B83" s="95">
        <v>11</v>
      </c>
      <c r="C83" s="95">
        <v>429</v>
      </c>
      <c r="D83" s="68" t="s">
        <v>229</v>
      </c>
      <c r="E83" t="s">
        <v>228</v>
      </c>
      <c r="F83" s="78" t="s">
        <v>69</v>
      </c>
      <c r="G83" s="10" t="s">
        <v>70</v>
      </c>
      <c r="H83" t="s">
        <v>1363</v>
      </c>
      <c r="I83" t="s">
        <v>856</v>
      </c>
    </row>
    <row r="84" spans="1:9" ht="15" customHeight="1" x14ac:dyDescent="0.25">
      <c r="A84" s="78" t="s">
        <v>1144</v>
      </c>
      <c r="B84" s="95">
        <v>11</v>
      </c>
      <c r="C84" s="95">
        <v>504</v>
      </c>
      <c r="E84" t="s">
        <v>235</v>
      </c>
      <c r="F84" s="78" t="s">
        <v>198</v>
      </c>
      <c r="G84" s="10" t="s">
        <v>199</v>
      </c>
      <c r="H84" t="s">
        <v>1363</v>
      </c>
      <c r="I84" s="10" t="s">
        <v>856</v>
      </c>
    </row>
    <row r="85" spans="1:9" ht="15" customHeight="1" x14ac:dyDescent="0.25">
      <c r="A85" s="78" t="s">
        <v>1144</v>
      </c>
      <c r="B85" s="95">
        <v>11</v>
      </c>
      <c r="C85" s="95">
        <v>119</v>
      </c>
      <c r="D85" t="s">
        <v>256</v>
      </c>
      <c r="E85" t="s">
        <v>255</v>
      </c>
      <c r="F85" s="78" t="s">
        <v>249</v>
      </c>
      <c r="G85" s="10" t="s">
        <v>250</v>
      </c>
      <c r="H85" t="s">
        <v>1228</v>
      </c>
      <c r="I85" s="10" t="s">
        <v>856</v>
      </c>
    </row>
    <row r="86" spans="1:9" ht="15" customHeight="1" x14ac:dyDescent="0.25">
      <c r="A86" s="78" t="s">
        <v>1144</v>
      </c>
      <c r="B86" s="95">
        <v>11</v>
      </c>
      <c r="C86" s="95">
        <v>143</v>
      </c>
      <c r="D86" s="68" t="s">
        <v>209</v>
      </c>
      <c r="E86" t="s">
        <v>208</v>
      </c>
      <c r="F86" s="78" t="s">
        <v>69</v>
      </c>
      <c r="G86" s="10" t="s">
        <v>70</v>
      </c>
      <c r="H86" t="s">
        <v>1228</v>
      </c>
      <c r="I86" t="s">
        <v>856</v>
      </c>
    </row>
    <row r="87" spans="1:9" ht="15" customHeight="1" x14ac:dyDescent="0.25">
      <c r="A87" s="78" t="s">
        <v>1144</v>
      </c>
      <c r="B87" s="95">
        <v>11</v>
      </c>
      <c r="C87" s="95">
        <v>144</v>
      </c>
      <c r="D87" s="68" t="s">
        <v>258</v>
      </c>
      <c r="E87" t="s">
        <v>257</v>
      </c>
      <c r="F87" s="78" t="s">
        <v>251</v>
      </c>
      <c r="G87" s="10" t="s">
        <v>252</v>
      </c>
      <c r="H87" t="s">
        <v>1228</v>
      </c>
      <c r="I87" s="10" t="s">
        <v>856</v>
      </c>
    </row>
    <row r="88" spans="1:9" ht="15" customHeight="1" x14ac:dyDescent="0.25">
      <c r="A88" s="78" t="s">
        <v>1144</v>
      </c>
      <c r="B88" s="95">
        <v>11</v>
      </c>
      <c r="C88" s="95">
        <v>224</v>
      </c>
      <c r="E88" t="s">
        <v>215</v>
      </c>
      <c r="F88" s="78" t="s">
        <v>184</v>
      </c>
      <c r="G88" s="10" t="s">
        <v>185</v>
      </c>
      <c r="H88" t="s">
        <v>1228</v>
      </c>
      <c r="I88" s="10" t="s">
        <v>856</v>
      </c>
    </row>
    <row r="89" spans="1:9" ht="15" customHeight="1" x14ac:dyDescent="0.25">
      <c r="A89" s="78" t="s">
        <v>1144</v>
      </c>
      <c r="B89" s="95">
        <v>11</v>
      </c>
      <c r="C89" s="95">
        <v>233</v>
      </c>
      <c r="D89" s="68" t="s">
        <v>218</v>
      </c>
      <c r="E89" t="s">
        <v>217</v>
      </c>
      <c r="F89" s="78" t="s">
        <v>69</v>
      </c>
      <c r="G89" s="10" t="s">
        <v>70</v>
      </c>
      <c r="H89" t="s">
        <v>1228</v>
      </c>
      <c r="I89" s="10" t="s">
        <v>856</v>
      </c>
    </row>
    <row r="90" spans="1:9" ht="15" customHeight="1" x14ac:dyDescent="0.25">
      <c r="A90" s="78" t="s">
        <v>1144</v>
      </c>
      <c r="B90" s="95">
        <v>11</v>
      </c>
      <c r="C90" s="95">
        <v>345</v>
      </c>
      <c r="E90" t="s">
        <v>222</v>
      </c>
      <c r="F90" s="78" t="s">
        <v>191</v>
      </c>
      <c r="G90" s="10" t="s">
        <v>192</v>
      </c>
      <c r="H90" t="s">
        <v>1228</v>
      </c>
      <c r="I90" s="10" t="s">
        <v>856</v>
      </c>
    </row>
    <row r="91" spans="1:9" ht="15" customHeight="1" x14ac:dyDescent="0.25">
      <c r="A91" s="78" t="s">
        <v>1144</v>
      </c>
      <c r="B91" s="95">
        <v>11</v>
      </c>
      <c r="C91" s="95">
        <v>368</v>
      </c>
      <c r="E91" t="s">
        <v>223</v>
      </c>
      <c r="F91" s="78" t="s">
        <v>191</v>
      </c>
      <c r="G91" s="10" t="s">
        <v>192</v>
      </c>
      <c r="H91" t="s">
        <v>1228</v>
      </c>
      <c r="I91" s="10" t="s">
        <v>856</v>
      </c>
    </row>
    <row r="92" spans="1:9" ht="15" customHeight="1" x14ac:dyDescent="0.25">
      <c r="A92" s="78" t="s">
        <v>1144</v>
      </c>
      <c r="B92" s="95">
        <v>11</v>
      </c>
      <c r="C92" s="95">
        <v>380</v>
      </c>
      <c r="E92" t="s">
        <v>224</v>
      </c>
      <c r="F92" s="78" t="s">
        <v>69</v>
      </c>
      <c r="G92" s="10" t="s">
        <v>70</v>
      </c>
      <c r="H92" t="s">
        <v>1228</v>
      </c>
      <c r="I92" t="s">
        <v>856</v>
      </c>
    </row>
    <row r="93" spans="1:9" ht="15" customHeight="1" x14ac:dyDescent="0.25">
      <c r="A93" s="78" t="s">
        <v>1144</v>
      </c>
      <c r="B93" s="95">
        <v>11</v>
      </c>
      <c r="C93" s="95">
        <v>408</v>
      </c>
      <c r="D93" s="68" t="s">
        <v>226</v>
      </c>
      <c r="E93" t="s">
        <v>225</v>
      </c>
      <c r="F93" s="78" t="s">
        <v>193</v>
      </c>
      <c r="G93" s="10" t="s">
        <v>194</v>
      </c>
      <c r="H93" t="s">
        <v>1228</v>
      </c>
      <c r="I93" s="10" t="s">
        <v>856</v>
      </c>
    </row>
    <row r="94" spans="1:9" ht="15" customHeight="1" x14ac:dyDescent="0.25">
      <c r="A94" s="78" t="s">
        <v>1144</v>
      </c>
      <c r="B94" s="95">
        <v>11</v>
      </c>
      <c r="C94" s="95">
        <v>416</v>
      </c>
      <c r="E94" t="s">
        <v>227</v>
      </c>
      <c r="F94" s="78" t="s">
        <v>69</v>
      </c>
      <c r="G94" s="10" t="s">
        <v>70</v>
      </c>
      <c r="H94" t="s">
        <v>1228</v>
      </c>
      <c r="I94" t="s">
        <v>856</v>
      </c>
    </row>
    <row r="95" spans="1:9" ht="15" customHeight="1" x14ac:dyDescent="0.25">
      <c r="A95" s="78" t="s">
        <v>1144</v>
      </c>
      <c r="B95" s="95">
        <v>11</v>
      </c>
      <c r="C95" s="95">
        <v>423</v>
      </c>
      <c r="E95" t="s">
        <v>259</v>
      </c>
      <c r="F95" s="78" t="s">
        <v>253</v>
      </c>
      <c r="G95" s="10" t="s">
        <v>254</v>
      </c>
      <c r="H95" t="s">
        <v>1228</v>
      </c>
      <c r="I95" s="10" t="s">
        <v>856</v>
      </c>
    </row>
    <row r="96" spans="1:9" ht="15" customHeight="1" x14ac:dyDescent="0.25">
      <c r="A96" s="78" t="s">
        <v>1144</v>
      </c>
      <c r="B96" s="95">
        <v>11</v>
      </c>
      <c r="C96" s="95">
        <v>429</v>
      </c>
      <c r="D96" s="68" t="s">
        <v>229</v>
      </c>
      <c r="E96" t="s">
        <v>228</v>
      </c>
      <c r="F96" s="78" t="s">
        <v>69</v>
      </c>
      <c r="G96" s="10" t="s">
        <v>70</v>
      </c>
      <c r="H96" t="s">
        <v>1228</v>
      </c>
      <c r="I96" t="s">
        <v>856</v>
      </c>
    </row>
    <row r="97" spans="1:15" ht="15" customHeight="1" x14ac:dyDescent="0.25">
      <c r="A97" s="78" t="s">
        <v>1144</v>
      </c>
      <c r="B97" s="95">
        <v>11</v>
      </c>
      <c r="C97" s="95">
        <v>504</v>
      </c>
      <c r="E97" t="s">
        <v>235</v>
      </c>
      <c r="F97" s="78" t="s">
        <v>198</v>
      </c>
      <c r="G97" s="10" t="s">
        <v>199</v>
      </c>
      <c r="H97" t="s">
        <v>916</v>
      </c>
      <c r="I97" s="10" t="s">
        <v>856</v>
      </c>
    </row>
    <row r="98" spans="1:15" ht="15" customHeight="1" x14ac:dyDescent="0.25"/>
    <row r="99" spans="1:15" ht="15" customHeight="1" x14ac:dyDescent="0.25"/>
    <row r="106" spans="1:15" x14ac:dyDescent="0.25">
      <c r="A106" s="78" t="s">
        <v>1144</v>
      </c>
      <c r="B106" s="120">
        <v>8</v>
      </c>
      <c r="C106" s="120">
        <v>538</v>
      </c>
      <c r="D106" t="s">
        <v>246</v>
      </c>
      <c r="E106" s="68" t="s">
        <v>931</v>
      </c>
      <c r="F106" s="78" t="s">
        <v>83</v>
      </c>
      <c r="G106" t="s">
        <v>84</v>
      </c>
      <c r="H106" t="s">
        <v>935</v>
      </c>
      <c r="I106" t="s">
        <v>856</v>
      </c>
      <c r="O106" t="str">
        <f>'1-Peter'!$U$39</f>
        <v>Tilsyneladende ingen FS-aftale</v>
      </c>
    </row>
    <row r="107" spans="1:15" x14ac:dyDescent="0.25">
      <c r="A107" s="78" t="s">
        <v>1144</v>
      </c>
      <c r="B107" s="120">
        <v>11</v>
      </c>
      <c r="C107" s="120">
        <v>262</v>
      </c>
      <c r="D107" s="68" t="s">
        <v>220</v>
      </c>
      <c r="E107" t="s">
        <v>219</v>
      </c>
      <c r="F107" s="78" t="s">
        <v>186</v>
      </c>
      <c r="G107" s="10" t="s">
        <v>187</v>
      </c>
      <c r="H107" t="s">
        <v>925</v>
      </c>
      <c r="I107" s="10" t="s">
        <v>856</v>
      </c>
    </row>
    <row r="108" spans="1:15" x14ac:dyDescent="0.25">
      <c r="A108" s="78" t="s">
        <v>1144</v>
      </c>
      <c r="B108" s="120">
        <v>11</v>
      </c>
      <c r="C108" s="120">
        <v>358</v>
      </c>
      <c r="D108" s="68" t="s">
        <v>1171</v>
      </c>
      <c r="E108" t="s">
        <v>1172</v>
      </c>
      <c r="F108" s="78">
        <v>2665</v>
      </c>
      <c r="G108" s="10" t="s">
        <v>734</v>
      </c>
      <c r="H108" t="s">
        <v>1364</v>
      </c>
      <c r="I108" t="s">
        <v>856</v>
      </c>
    </row>
    <row r="109" spans="1:15" ht="15" customHeight="1" x14ac:dyDescent="0.25">
      <c r="A109" s="78" t="s">
        <v>1144</v>
      </c>
      <c r="B109" s="120">
        <v>11</v>
      </c>
      <c r="C109" s="120">
        <v>402</v>
      </c>
      <c r="E109" s="68" t="s">
        <v>247</v>
      </c>
      <c r="F109" s="78" t="s">
        <v>244</v>
      </c>
      <c r="G109" s="10" t="s">
        <v>245</v>
      </c>
      <c r="H109" s="51" t="s">
        <v>894</v>
      </c>
      <c r="I109" s="22" t="s">
        <v>860</v>
      </c>
    </row>
    <row r="110" spans="1:15" ht="15" customHeight="1" x14ac:dyDescent="0.25">
      <c r="A110" s="78" t="s">
        <v>1144</v>
      </c>
      <c r="B110" s="120">
        <v>11</v>
      </c>
      <c r="C110" s="120">
        <v>403</v>
      </c>
      <c r="E110" s="68" t="s">
        <v>248</v>
      </c>
      <c r="F110" s="78" t="s">
        <v>244</v>
      </c>
      <c r="G110" s="10" t="s">
        <v>245</v>
      </c>
      <c r="H110" t="s">
        <v>892</v>
      </c>
      <c r="I110" s="22" t="s">
        <v>838</v>
      </c>
    </row>
    <row r="111" spans="1:15" x14ac:dyDescent="0.25">
      <c r="A111" s="78" t="s">
        <v>1144</v>
      </c>
      <c r="B111" s="120">
        <v>11</v>
      </c>
      <c r="C111" s="120">
        <v>774</v>
      </c>
      <c r="D111" t="s">
        <v>106</v>
      </c>
      <c r="E111" s="68" t="s">
        <v>107</v>
      </c>
      <c r="F111" s="78" t="s">
        <v>83</v>
      </c>
      <c r="G111" t="s">
        <v>84</v>
      </c>
      <c r="H111" t="s">
        <v>1229</v>
      </c>
      <c r="I111" t="s">
        <v>856</v>
      </c>
    </row>
    <row r="112" spans="1:15" x14ac:dyDescent="0.25">
      <c r="A112" s="78" t="s">
        <v>1144</v>
      </c>
      <c r="B112" s="120">
        <v>8</v>
      </c>
      <c r="C112" s="120">
        <v>538</v>
      </c>
      <c r="D112" t="s">
        <v>246</v>
      </c>
      <c r="E112" s="68" t="s">
        <v>931</v>
      </c>
      <c r="F112" s="78" t="s">
        <v>83</v>
      </c>
      <c r="G112" t="s">
        <v>84</v>
      </c>
      <c r="H112" t="s">
        <v>935</v>
      </c>
      <c r="I112" t="s">
        <v>856</v>
      </c>
    </row>
    <row r="113" spans="1:15" x14ac:dyDescent="0.25">
      <c r="A113" s="78" t="s">
        <v>1144</v>
      </c>
      <c r="B113" s="120">
        <v>11</v>
      </c>
      <c r="C113" s="120">
        <v>402</v>
      </c>
      <c r="E113" s="68" t="s">
        <v>247</v>
      </c>
      <c r="F113" s="78" t="s">
        <v>244</v>
      </c>
      <c r="G113" s="10" t="s">
        <v>245</v>
      </c>
      <c r="H113" s="51" t="s">
        <v>894</v>
      </c>
      <c r="I113" s="22" t="s">
        <v>860</v>
      </c>
    </row>
    <row r="114" spans="1:15" x14ac:dyDescent="0.25">
      <c r="A114" s="78" t="s">
        <v>1144</v>
      </c>
      <c r="B114" s="120">
        <v>11</v>
      </c>
      <c r="C114" s="120">
        <v>774</v>
      </c>
      <c r="D114" t="s">
        <v>106</v>
      </c>
      <c r="E114" s="68" t="s">
        <v>107</v>
      </c>
      <c r="F114" s="78" t="s">
        <v>83</v>
      </c>
      <c r="G114" t="s">
        <v>84</v>
      </c>
      <c r="H114" t="s">
        <v>1229</v>
      </c>
      <c r="I114" t="s">
        <v>856</v>
      </c>
    </row>
    <row r="115" spans="1:15" x14ac:dyDescent="0.25">
      <c r="A115" s="78" t="s">
        <v>1144</v>
      </c>
      <c r="B115" s="119">
        <v>800</v>
      </c>
      <c r="C115" s="119">
        <v>3</v>
      </c>
      <c r="D115" t="s">
        <v>1173</v>
      </c>
      <c r="E115" s="68" t="s">
        <v>613</v>
      </c>
      <c r="F115" s="78">
        <v>2605</v>
      </c>
      <c r="G115" t="s">
        <v>372</v>
      </c>
      <c r="H115" t="s">
        <v>1174</v>
      </c>
      <c r="I115" s="22" t="s">
        <v>838</v>
      </c>
      <c r="J115" s="148">
        <f>'1-Peter'!M45</f>
        <v>6</v>
      </c>
      <c r="K115" s="148">
        <f>'1-Peter'!N45</f>
        <v>0</v>
      </c>
      <c r="L115" s="148">
        <f>'1-Peter'!O45</f>
        <v>0</v>
      </c>
      <c r="M115" s="166">
        <f>'1-Peter'!$R$45</f>
        <v>40848</v>
      </c>
      <c r="O115" s="166"/>
    </row>
    <row r="116" spans="1:15" x14ac:dyDescent="0.25">
      <c r="A116" s="78" t="s">
        <v>1143</v>
      </c>
      <c r="B116" s="87">
        <v>11</v>
      </c>
      <c r="C116" s="87">
        <v>447</v>
      </c>
      <c r="E116" t="s">
        <v>230</v>
      </c>
      <c r="F116" s="78" t="s">
        <v>19</v>
      </c>
      <c r="G116" t="s">
        <v>20</v>
      </c>
      <c r="H116" t="s">
        <v>1147</v>
      </c>
      <c r="I116" t="s">
        <v>856</v>
      </c>
      <c r="J116" s="148">
        <f>'1-Lars-Peter'!M10</f>
        <v>9.4423076923076916</v>
      </c>
      <c r="K116" s="148">
        <f>'1-Lars-Peter'!N10</f>
        <v>1.9230769230769231</v>
      </c>
      <c r="L116" s="148">
        <f>'1-Lars-Peter'!O10</f>
        <v>0</v>
      </c>
      <c r="M116" s="148"/>
    </row>
    <row r="117" spans="1:15" x14ac:dyDescent="0.25">
      <c r="A117" s="78" t="s">
        <v>1143</v>
      </c>
      <c r="B117" s="87">
        <v>11</v>
      </c>
      <c r="C117" s="87">
        <v>467</v>
      </c>
      <c r="E117" t="s">
        <v>231</v>
      </c>
      <c r="F117" s="78" t="s">
        <v>19</v>
      </c>
      <c r="G117" t="s">
        <v>20</v>
      </c>
      <c r="H117" t="s">
        <v>1147</v>
      </c>
      <c r="I117" t="s">
        <v>856</v>
      </c>
      <c r="J117" s="148">
        <f>'1-Lars-Peter'!M11</f>
        <v>20.75</v>
      </c>
      <c r="K117" s="148">
        <f>'1-Lars-Peter'!N11</f>
        <v>5.384615384615385</v>
      </c>
      <c r="L117" s="148">
        <f>'1-Lars-Peter'!O11</f>
        <v>0</v>
      </c>
      <c r="M117" s="148"/>
    </row>
    <row r="118" spans="1:15" x14ac:dyDescent="0.25">
      <c r="A118" s="78" t="s">
        <v>1143</v>
      </c>
      <c r="B118" s="87">
        <v>11</v>
      </c>
      <c r="C118" s="87">
        <v>491</v>
      </c>
      <c r="D118" s="68" t="s">
        <v>614</v>
      </c>
      <c r="E118" t="s">
        <v>615</v>
      </c>
      <c r="F118" s="78" t="s">
        <v>19</v>
      </c>
      <c r="G118" t="s">
        <v>20</v>
      </c>
      <c r="H118" t="s">
        <v>1147</v>
      </c>
      <c r="I118" t="s">
        <v>856</v>
      </c>
      <c r="J118" s="148">
        <f>'1-Lars-Peter'!M12</f>
        <v>10</v>
      </c>
      <c r="K118" s="148">
        <f>'1-Lars-Peter'!N12</f>
        <v>1.7307692307692308</v>
      </c>
      <c r="L118" s="148">
        <f>'1-Lars-Peter'!O12</f>
        <v>0.625</v>
      </c>
      <c r="M118" s="166">
        <f>'1-Lars-Peter'!R12</f>
        <v>42036</v>
      </c>
      <c r="O118" s="166"/>
    </row>
    <row r="119" spans="1:15" x14ac:dyDescent="0.25">
      <c r="A119" s="78" t="s">
        <v>1143</v>
      </c>
      <c r="B119" s="87">
        <v>11</v>
      </c>
      <c r="C119" s="87">
        <v>970</v>
      </c>
      <c r="E119" t="s">
        <v>688</v>
      </c>
      <c r="F119" s="78" t="s">
        <v>188</v>
      </c>
      <c r="G119" t="s">
        <v>189</v>
      </c>
      <c r="H119" t="s">
        <v>1147</v>
      </c>
      <c r="I119" t="s">
        <v>856</v>
      </c>
      <c r="J119" s="148">
        <f>'1-Lars-Peter'!M13</f>
        <v>23.423076923076923</v>
      </c>
      <c r="K119" s="148">
        <f>'1-Lars-Peter'!N13</f>
        <v>3.5576923076923075</v>
      </c>
      <c r="L119" s="148">
        <f>'1-Lars-Peter'!O13</f>
        <v>0</v>
      </c>
      <c r="M119" s="166">
        <f>'1-Lars-Peter'!R13</f>
        <v>43115</v>
      </c>
      <c r="O119" s="166"/>
    </row>
    <row r="120" spans="1:15" x14ac:dyDescent="0.25">
      <c r="A120" s="78" t="s">
        <v>1143</v>
      </c>
      <c r="B120" s="96">
        <v>11</v>
      </c>
      <c r="C120" s="96">
        <v>330</v>
      </c>
      <c r="D120" t="s">
        <v>52</v>
      </c>
      <c r="E120" s="68" t="s">
        <v>53</v>
      </c>
      <c r="F120" s="78" t="s">
        <v>19</v>
      </c>
      <c r="G120" t="s">
        <v>20</v>
      </c>
      <c r="H120" t="s">
        <v>893</v>
      </c>
      <c r="I120" t="s">
        <v>856</v>
      </c>
    </row>
    <row r="121" spans="1:15" x14ac:dyDescent="0.25">
      <c r="A121" s="78" t="s">
        <v>1143</v>
      </c>
      <c r="B121" s="96">
        <v>11</v>
      </c>
      <c r="C121" s="96">
        <v>331</v>
      </c>
      <c r="D121" t="s">
        <v>38</v>
      </c>
      <c r="E121" s="68" t="s">
        <v>54</v>
      </c>
      <c r="F121" s="78" t="s">
        <v>19</v>
      </c>
      <c r="G121" t="s">
        <v>20</v>
      </c>
      <c r="H121" t="s">
        <v>893</v>
      </c>
      <c r="I121" t="s">
        <v>856</v>
      </c>
    </row>
    <row r="122" spans="1:15" x14ac:dyDescent="0.25">
      <c r="A122" s="78" t="s">
        <v>1143</v>
      </c>
      <c r="B122" s="96">
        <v>11</v>
      </c>
      <c r="C122" s="96">
        <v>332</v>
      </c>
      <c r="D122" s="1" t="s">
        <v>907</v>
      </c>
      <c r="E122" t="s">
        <v>908</v>
      </c>
      <c r="F122" s="78">
        <v>2500</v>
      </c>
      <c r="G122" s="10" t="s">
        <v>20</v>
      </c>
      <c r="H122" t="s">
        <v>893</v>
      </c>
      <c r="I122" s="10" t="s">
        <v>856</v>
      </c>
    </row>
    <row r="123" spans="1:15" x14ac:dyDescent="0.25">
      <c r="A123" s="78" t="s">
        <v>1143</v>
      </c>
      <c r="B123" s="96">
        <v>11</v>
      </c>
      <c r="C123" s="96">
        <v>333</v>
      </c>
      <c r="D123" s="1" t="s">
        <v>905</v>
      </c>
      <c r="E123" t="s">
        <v>906</v>
      </c>
      <c r="F123" s="78">
        <v>2500</v>
      </c>
      <c r="G123" t="s">
        <v>20</v>
      </c>
      <c r="H123" t="s">
        <v>893</v>
      </c>
      <c r="I123" s="10" t="s">
        <v>856</v>
      </c>
    </row>
    <row r="124" spans="1:15" x14ac:dyDescent="0.25">
      <c r="A124" s="78" t="s">
        <v>1143</v>
      </c>
      <c r="B124" s="96">
        <v>11</v>
      </c>
      <c r="C124" s="96">
        <v>335</v>
      </c>
      <c r="D124" s="1" t="s">
        <v>965</v>
      </c>
      <c r="F124" s="78">
        <v>2501</v>
      </c>
      <c r="G124" t="s">
        <v>20</v>
      </c>
      <c r="H124" t="s">
        <v>893</v>
      </c>
      <c r="I124" s="10" t="s">
        <v>856</v>
      </c>
    </row>
    <row r="125" spans="1:15" x14ac:dyDescent="0.25">
      <c r="A125" s="78" t="s">
        <v>1143</v>
      </c>
      <c r="B125" s="96">
        <v>11</v>
      </c>
      <c r="C125" s="96">
        <v>338</v>
      </c>
      <c r="D125" s="1" t="s">
        <v>1178</v>
      </c>
      <c r="E125" t="s">
        <v>1177</v>
      </c>
      <c r="F125" s="78">
        <v>2502</v>
      </c>
      <c r="G125" t="s">
        <v>20</v>
      </c>
      <c r="I125" t="s">
        <v>864</v>
      </c>
    </row>
    <row r="126" spans="1:15" x14ac:dyDescent="0.25">
      <c r="A126" s="78" t="s">
        <v>1143</v>
      </c>
      <c r="B126" s="92">
        <v>11</v>
      </c>
      <c r="C126" s="92">
        <v>153</v>
      </c>
      <c r="D126" t="s">
        <v>43</v>
      </c>
      <c r="E126" s="68" t="s">
        <v>42</v>
      </c>
      <c r="F126" s="78" t="s">
        <v>9</v>
      </c>
      <c r="G126" t="s">
        <v>10</v>
      </c>
      <c r="H126" s="51" t="s">
        <v>894</v>
      </c>
      <c r="I126" t="s">
        <v>860</v>
      </c>
    </row>
    <row r="127" spans="1:15" x14ac:dyDescent="0.25">
      <c r="A127" s="78" t="s">
        <v>1143</v>
      </c>
      <c r="B127" s="92">
        <v>11</v>
      </c>
      <c r="C127" s="92">
        <v>343</v>
      </c>
      <c r="E127" s="68" t="s">
        <v>55</v>
      </c>
      <c r="F127" s="78" t="s">
        <v>9</v>
      </c>
      <c r="G127" t="s">
        <v>10</v>
      </c>
      <c r="H127" t="s">
        <v>1226</v>
      </c>
      <c r="I127" t="s">
        <v>856</v>
      </c>
      <c r="J127" s="148">
        <f>'1-Lars-Peter'!M21</f>
        <v>0.84615384615384615</v>
      </c>
      <c r="K127" s="148">
        <f>'1-Lars-Peter'!N21</f>
        <v>0.19230769230769232</v>
      </c>
      <c r="L127" s="148">
        <f>'1-Lars-Peter'!O21</f>
        <v>0</v>
      </c>
    </row>
    <row r="128" spans="1:15" x14ac:dyDescent="0.25">
      <c r="A128" s="78" t="s">
        <v>1143</v>
      </c>
      <c r="B128" s="92">
        <v>11</v>
      </c>
      <c r="C128" s="92">
        <v>444</v>
      </c>
      <c r="E128" t="s">
        <v>61</v>
      </c>
      <c r="F128" s="78" t="s">
        <v>9</v>
      </c>
      <c r="G128" t="s">
        <v>10</v>
      </c>
      <c r="H128" t="s">
        <v>1226</v>
      </c>
      <c r="I128" t="s">
        <v>856</v>
      </c>
      <c r="J128" s="148">
        <f>'1-Lars-Peter'!M22</f>
        <v>9.1730769230769234</v>
      </c>
      <c r="K128" s="148">
        <f>'1-Lars-Peter'!N22</f>
        <v>0</v>
      </c>
      <c r="L128" s="148">
        <f>'1-Lars-Peter'!O22</f>
        <v>0</v>
      </c>
    </row>
    <row r="129" spans="1:15" x14ac:dyDescent="0.25">
      <c r="A129" s="78" t="s">
        <v>1143</v>
      </c>
      <c r="B129" s="92">
        <v>11</v>
      </c>
      <c r="C129" s="92">
        <v>494</v>
      </c>
      <c r="D129" t="s">
        <v>63</v>
      </c>
      <c r="E129" s="68" t="s">
        <v>64</v>
      </c>
      <c r="F129" s="78" t="s">
        <v>9</v>
      </c>
      <c r="G129" t="s">
        <v>10</v>
      </c>
      <c r="H129" t="s">
        <v>1226</v>
      </c>
      <c r="I129" t="s">
        <v>856</v>
      </c>
      <c r="J129" s="148">
        <f>'1-Lars-Peter'!M23</f>
        <v>94.961538461538467</v>
      </c>
      <c r="K129" s="148">
        <f>'1-Lars-Peter'!N23</f>
        <v>22.653846153846153</v>
      </c>
      <c r="L129" s="148">
        <f>'1-Lars-Peter'!O23</f>
        <v>11.538461538461538</v>
      </c>
    </row>
    <row r="130" spans="1:15" x14ac:dyDescent="0.25">
      <c r="A130" s="78" t="s">
        <v>1143</v>
      </c>
      <c r="B130" s="92">
        <v>11</v>
      </c>
      <c r="C130" s="92">
        <v>502</v>
      </c>
      <c r="E130" s="68" t="s">
        <v>234</v>
      </c>
      <c r="F130" s="78" t="s">
        <v>197</v>
      </c>
      <c r="G130" t="s">
        <v>76</v>
      </c>
      <c r="H130" t="s">
        <v>1226</v>
      </c>
      <c r="I130" t="s">
        <v>856</v>
      </c>
      <c r="J130" s="148">
        <f>'1-Lars-Peter'!M24</f>
        <v>3.9230769230769229</v>
      </c>
      <c r="K130" s="148">
        <f>'1-Lars-Peter'!N24</f>
        <v>0</v>
      </c>
      <c r="L130" s="148">
        <f>'1-Lars-Peter'!O24</f>
        <v>0</v>
      </c>
    </row>
    <row r="131" spans="1:15" x14ac:dyDescent="0.25">
      <c r="A131" s="78" t="s">
        <v>1143</v>
      </c>
      <c r="B131" s="92">
        <v>11</v>
      </c>
      <c r="C131" s="92">
        <v>519</v>
      </c>
      <c r="E131" t="s">
        <v>261</v>
      </c>
      <c r="F131" s="78" t="s">
        <v>9</v>
      </c>
      <c r="G131" t="s">
        <v>10</v>
      </c>
      <c r="H131" t="s">
        <v>1226</v>
      </c>
      <c r="I131" t="s">
        <v>856</v>
      </c>
      <c r="J131" s="148">
        <f>'1-Lars-Peter'!M25</f>
        <v>5.8269230769230766</v>
      </c>
      <c r="K131" s="148">
        <f>'1-Lars-Peter'!N25</f>
        <v>0</v>
      </c>
      <c r="L131" s="148">
        <f>'1-Lars-Peter'!O25</f>
        <v>0</v>
      </c>
    </row>
    <row r="132" spans="1:15" x14ac:dyDescent="0.25">
      <c r="A132" s="78" t="s">
        <v>1143</v>
      </c>
      <c r="B132" s="92">
        <v>11</v>
      </c>
      <c r="C132" s="92">
        <v>784</v>
      </c>
      <c r="E132" t="s">
        <v>238</v>
      </c>
      <c r="F132" s="78" t="s">
        <v>197</v>
      </c>
      <c r="G132" t="s">
        <v>76</v>
      </c>
      <c r="H132" t="s">
        <v>1226</v>
      </c>
      <c r="I132" t="s">
        <v>856</v>
      </c>
      <c r="J132" s="148">
        <f>'1-Lars-Peter'!M26</f>
        <v>4.4807692307692308</v>
      </c>
      <c r="K132" s="148">
        <f>'1-Lars-Peter'!N26</f>
        <v>0.28846153846153844</v>
      </c>
      <c r="L132" s="148">
        <f>'1-Lars-Peter'!O26</f>
        <v>0</v>
      </c>
    </row>
    <row r="133" spans="1:15" x14ac:dyDescent="0.25">
      <c r="A133" s="78" t="s">
        <v>1143</v>
      </c>
      <c r="B133" s="101">
        <v>11</v>
      </c>
      <c r="C133" s="101">
        <v>152</v>
      </c>
      <c r="E133" t="s">
        <v>210</v>
      </c>
      <c r="F133" s="78" t="s">
        <v>180</v>
      </c>
      <c r="G133" t="s">
        <v>24</v>
      </c>
      <c r="H133" t="s">
        <v>936</v>
      </c>
      <c r="I133" t="s">
        <v>856</v>
      </c>
      <c r="J133" s="148">
        <f>'1-Lars-Peter'!M27</f>
        <v>6.134615384615385</v>
      </c>
      <c r="K133" s="148">
        <f>'1-Lars-Peter'!N27</f>
        <v>1.3846153846153846</v>
      </c>
      <c r="L133" s="148">
        <f>'1-Lars-Peter'!O27</f>
        <v>0</v>
      </c>
    </row>
    <row r="134" spans="1:15" x14ac:dyDescent="0.25">
      <c r="A134" s="78" t="s">
        <v>1143</v>
      </c>
      <c r="B134" s="101">
        <v>11</v>
      </c>
      <c r="C134" s="101">
        <v>328</v>
      </c>
      <c r="E134" t="s">
        <v>221</v>
      </c>
      <c r="F134" s="78" t="s">
        <v>190</v>
      </c>
      <c r="G134" t="s">
        <v>24</v>
      </c>
      <c r="H134" t="s">
        <v>936</v>
      </c>
      <c r="I134" t="s">
        <v>856</v>
      </c>
      <c r="J134" s="148">
        <f>'1-Lars-Peter'!M28</f>
        <v>1.4230769230769231</v>
      </c>
      <c r="K134" s="148">
        <f>'1-Lars-Peter'!N28</f>
        <v>0.26923076923076922</v>
      </c>
      <c r="L134" s="148">
        <f>'1-Lars-Peter'!O28</f>
        <v>0</v>
      </c>
    </row>
    <row r="135" spans="1:15" x14ac:dyDescent="0.25">
      <c r="A135" s="78" t="s">
        <v>1143</v>
      </c>
      <c r="B135" s="101">
        <v>11</v>
      </c>
      <c r="C135" s="101">
        <v>401</v>
      </c>
      <c r="D135" t="s">
        <v>35</v>
      </c>
      <c r="E135" s="68" t="s">
        <v>57</v>
      </c>
      <c r="F135" s="78" t="s">
        <v>23</v>
      </c>
      <c r="G135" t="s">
        <v>24</v>
      </c>
      <c r="H135" t="s">
        <v>936</v>
      </c>
      <c r="I135" t="s">
        <v>856</v>
      </c>
      <c r="J135" s="148">
        <f>'1-Lars-Peter'!M29</f>
        <v>22.21153846153846</v>
      </c>
      <c r="K135" s="148">
        <f>'1-Lars-Peter'!N29</f>
        <v>0</v>
      </c>
      <c r="L135" s="148">
        <f>'1-Lars-Peter'!O29</f>
        <v>0</v>
      </c>
    </row>
    <row r="136" spans="1:15" x14ac:dyDescent="0.25">
      <c r="A136" s="78" t="s">
        <v>1143</v>
      </c>
      <c r="B136" s="101">
        <v>11</v>
      </c>
      <c r="C136" s="101">
        <v>506</v>
      </c>
      <c r="E136" s="68" t="s">
        <v>66</v>
      </c>
      <c r="F136" s="78" t="s">
        <v>27</v>
      </c>
      <c r="G136" t="s">
        <v>24</v>
      </c>
      <c r="H136" t="s">
        <v>936</v>
      </c>
      <c r="I136" t="s">
        <v>856</v>
      </c>
      <c r="J136" s="148">
        <f>'1-Lars-Peter'!M30</f>
        <v>3.7884615384615383</v>
      </c>
      <c r="K136" s="148">
        <f>'1-Lars-Peter'!N30</f>
        <v>0</v>
      </c>
      <c r="L136" s="148">
        <f>'1-Lars-Peter'!O30</f>
        <v>0</v>
      </c>
    </row>
    <row r="137" spans="1:15" x14ac:dyDescent="0.25">
      <c r="A137" s="78" t="s">
        <v>1143</v>
      </c>
      <c r="B137" s="78">
        <v>9</v>
      </c>
      <c r="C137" s="78">
        <v>469</v>
      </c>
      <c r="D137" s="104" t="s">
        <v>1176</v>
      </c>
      <c r="F137" s="78">
        <v>2300</v>
      </c>
      <c r="G137" t="s">
        <v>87</v>
      </c>
      <c r="I137" t="s">
        <v>838</v>
      </c>
      <c r="J137" s="148">
        <f>'1-Lars-Peter'!M31</f>
        <v>3.5192307692307692</v>
      </c>
      <c r="K137" s="148">
        <f>'1-Lars-Peter'!N31</f>
        <v>0</v>
      </c>
      <c r="L137" s="148">
        <f>'1-Lars-Peter'!O31</f>
        <v>0.30769230769230771</v>
      </c>
      <c r="M137" s="166">
        <f>'1-Lars-Peter'!$R$31</f>
        <v>42036</v>
      </c>
    </row>
    <row r="138" spans="1:15" x14ac:dyDescent="0.25">
      <c r="A138" s="78" t="s">
        <v>1143</v>
      </c>
      <c r="B138" s="78">
        <v>11</v>
      </c>
      <c r="C138" s="78">
        <v>215</v>
      </c>
      <c r="D138" s="68" t="s">
        <v>213</v>
      </c>
      <c r="E138" t="s">
        <v>214</v>
      </c>
      <c r="F138" s="78" t="s">
        <v>183</v>
      </c>
      <c r="G138" s="10" t="s">
        <v>24</v>
      </c>
      <c r="H138" t="s">
        <v>366</v>
      </c>
      <c r="I138" t="s">
        <v>838</v>
      </c>
    </row>
    <row r="139" spans="1:15" x14ac:dyDescent="0.25">
      <c r="A139" s="78" t="s">
        <v>1143</v>
      </c>
      <c r="B139" s="78">
        <v>11</v>
      </c>
      <c r="C139" s="78">
        <v>496</v>
      </c>
      <c r="D139" t="s">
        <v>65</v>
      </c>
      <c r="E139" t="s">
        <v>63</v>
      </c>
      <c r="F139" s="78" t="s">
        <v>9</v>
      </c>
      <c r="G139" t="s">
        <v>10</v>
      </c>
      <c r="H139" s="51" t="s">
        <v>894</v>
      </c>
      <c r="I139" t="s">
        <v>864</v>
      </c>
    </row>
    <row r="140" spans="1:15" x14ac:dyDescent="0.25">
      <c r="A140" s="78" t="s">
        <v>1360</v>
      </c>
      <c r="B140" s="100">
        <v>11</v>
      </c>
      <c r="C140" s="100">
        <v>103</v>
      </c>
      <c r="E140" t="s">
        <v>718</v>
      </c>
      <c r="F140" s="78" t="s">
        <v>88</v>
      </c>
      <c r="G140" t="s">
        <v>89</v>
      </c>
      <c r="H140" t="s">
        <v>923</v>
      </c>
      <c r="I140" t="s">
        <v>856</v>
      </c>
      <c r="J140" s="148">
        <f>'1-René'!M10</f>
        <v>3.0384615384615383</v>
      </c>
      <c r="K140" s="148">
        <f>'1-René'!N10</f>
        <v>0.28846153846153844</v>
      </c>
      <c r="L140" s="148">
        <f>'1-René'!O10</f>
        <v>0</v>
      </c>
      <c r="M140" s="166">
        <f>'1-René'!R10</f>
        <v>41518</v>
      </c>
    </row>
    <row r="141" spans="1:15" x14ac:dyDescent="0.25">
      <c r="A141" s="78" t="s">
        <v>1360</v>
      </c>
      <c r="B141" s="100">
        <v>11</v>
      </c>
      <c r="C141" s="100">
        <v>104</v>
      </c>
      <c r="E141" t="s">
        <v>719</v>
      </c>
      <c r="F141" s="78" t="s">
        <v>88</v>
      </c>
      <c r="G141" t="s">
        <v>89</v>
      </c>
      <c r="H141" t="s">
        <v>923</v>
      </c>
      <c r="I141" t="s">
        <v>856</v>
      </c>
      <c r="J141" s="148">
        <f>'1-René'!M11</f>
        <v>9.5384615384615383</v>
      </c>
      <c r="K141" s="148">
        <f>'1-René'!N11</f>
        <v>2.6153846153846154</v>
      </c>
      <c r="L141" s="148">
        <f>'1-René'!O11</f>
        <v>0</v>
      </c>
      <c r="M141" s="166">
        <f>'1-René'!R11</f>
        <v>41518</v>
      </c>
    </row>
    <row r="142" spans="1:15" x14ac:dyDescent="0.25">
      <c r="A142" s="78" t="s">
        <v>1360</v>
      </c>
      <c r="B142" s="100">
        <v>11</v>
      </c>
      <c r="C142" s="100">
        <v>114</v>
      </c>
      <c r="E142" t="s">
        <v>664</v>
      </c>
      <c r="F142" s="78" t="s">
        <v>381</v>
      </c>
      <c r="G142" t="s">
        <v>382</v>
      </c>
      <c r="H142" t="s">
        <v>923</v>
      </c>
      <c r="I142" t="s">
        <v>856</v>
      </c>
      <c r="J142" s="148">
        <f>'1-René'!M12</f>
        <v>6.0865384615384635</v>
      </c>
      <c r="K142" s="148">
        <f>'1-René'!N12</f>
        <v>2.25</v>
      </c>
      <c r="L142" s="148">
        <f>'1-René'!O12</f>
        <v>3.8461538461538464E-2</v>
      </c>
      <c r="M142" s="166">
        <f>'1-René'!R12</f>
        <v>43009</v>
      </c>
    </row>
    <row r="143" spans="1:15" x14ac:dyDescent="0.25">
      <c r="A143" s="78" t="s">
        <v>1360</v>
      </c>
      <c r="B143" s="100">
        <v>11</v>
      </c>
      <c r="C143" s="100">
        <v>350</v>
      </c>
      <c r="D143" s="68" t="s">
        <v>665</v>
      </c>
      <c r="E143" t="s">
        <v>666</v>
      </c>
      <c r="F143" s="78" t="s">
        <v>381</v>
      </c>
      <c r="G143" t="s">
        <v>382</v>
      </c>
      <c r="H143" t="s">
        <v>883</v>
      </c>
      <c r="I143" t="s">
        <v>856</v>
      </c>
      <c r="J143" s="148">
        <f>'1-René'!M13</f>
        <v>37</v>
      </c>
      <c r="K143" s="148">
        <f>'1-René'!N13</f>
        <v>0</v>
      </c>
      <c r="L143" s="148">
        <f>'1-René'!O13</f>
        <v>0</v>
      </c>
      <c r="M143" s="166">
        <f>'1-René'!R13</f>
        <v>43344</v>
      </c>
      <c r="O143" t="str">
        <f>'1-René'!$U$13</f>
        <v>Antal VV timer ændres. 37 t/uge 1. år, 32 t/uge 2. år, 27,5 t/uge 3. år</v>
      </c>
    </row>
    <row r="144" spans="1:15" x14ac:dyDescent="0.25">
      <c r="A144" s="78" t="s">
        <v>1360</v>
      </c>
      <c r="B144" s="100">
        <v>11</v>
      </c>
      <c r="C144" s="100">
        <v>448</v>
      </c>
      <c r="E144" t="s">
        <v>667</v>
      </c>
      <c r="F144" s="78" t="s">
        <v>381</v>
      </c>
      <c r="G144" t="s">
        <v>382</v>
      </c>
      <c r="H144" t="s">
        <v>923</v>
      </c>
      <c r="I144" t="s">
        <v>856</v>
      </c>
      <c r="J144" s="148">
        <f>'1-René'!M16</f>
        <v>8.2999999999999989</v>
      </c>
      <c r="K144" s="148">
        <f>'1-René'!N16</f>
        <v>4.4000000000000004</v>
      </c>
      <c r="L144" s="148">
        <f>'1-René'!O16</f>
        <v>0.19230769230769232</v>
      </c>
      <c r="M144" s="166">
        <f>'1-René'!R16</f>
        <v>43009</v>
      </c>
    </row>
    <row r="145" spans="1:13" x14ac:dyDescent="0.25">
      <c r="A145" s="78" t="s">
        <v>1360</v>
      </c>
      <c r="B145" s="100">
        <v>11</v>
      </c>
      <c r="C145" s="100">
        <v>449</v>
      </c>
      <c r="E145" t="s">
        <v>723</v>
      </c>
      <c r="F145" s="78" t="s">
        <v>88</v>
      </c>
      <c r="G145" t="s">
        <v>89</v>
      </c>
      <c r="H145" t="s">
        <v>923</v>
      </c>
      <c r="I145" t="s">
        <v>856</v>
      </c>
      <c r="J145" s="148">
        <f>'1-René'!M17</f>
        <v>6.0384615384615383</v>
      </c>
      <c r="K145" s="148">
        <f>'1-René'!N17</f>
        <v>1.1730769230769231</v>
      </c>
      <c r="L145" s="148">
        <f>'1-René'!O17</f>
        <v>0</v>
      </c>
      <c r="M145" s="166">
        <f>'1-René'!R17</f>
        <v>41518</v>
      </c>
    </row>
    <row r="146" spans="1:13" x14ac:dyDescent="0.25">
      <c r="A146" s="78" t="s">
        <v>1360</v>
      </c>
      <c r="B146" s="100">
        <v>11</v>
      </c>
      <c r="C146" s="100">
        <v>450</v>
      </c>
      <c r="D146" s="68" t="s">
        <v>213</v>
      </c>
      <c r="E146" t="s">
        <v>724</v>
      </c>
      <c r="F146" s="78" t="s">
        <v>88</v>
      </c>
      <c r="G146" t="s">
        <v>89</v>
      </c>
      <c r="H146" t="s">
        <v>923</v>
      </c>
      <c r="I146" t="s">
        <v>856</v>
      </c>
      <c r="J146" s="148">
        <f>'1-René'!M18</f>
        <v>5.4807692307692308</v>
      </c>
      <c r="K146" s="148">
        <f>'1-René'!N18</f>
        <v>1.4615384615384615</v>
      </c>
      <c r="L146" s="148">
        <f>'1-René'!O18</f>
        <v>0</v>
      </c>
      <c r="M146" s="166">
        <f>'1-René'!R18</f>
        <v>41518</v>
      </c>
    </row>
    <row r="147" spans="1:13" x14ac:dyDescent="0.25">
      <c r="A147" s="78" t="s">
        <v>1360</v>
      </c>
      <c r="B147" s="100">
        <v>183</v>
      </c>
      <c r="C147" s="100">
        <v>100</v>
      </c>
      <c r="D147" s="68" t="s">
        <v>1188</v>
      </c>
      <c r="E147" t="s">
        <v>1189</v>
      </c>
      <c r="F147" s="78">
        <v>2150</v>
      </c>
      <c r="G147" t="s">
        <v>703</v>
      </c>
      <c r="H147" t="s">
        <v>927</v>
      </c>
      <c r="I147" t="s">
        <v>838</v>
      </c>
    </row>
    <row r="148" spans="1:13" x14ac:dyDescent="0.25">
      <c r="A148" s="78" t="s">
        <v>1360</v>
      </c>
      <c r="B148" s="87">
        <v>11</v>
      </c>
      <c r="C148" s="87">
        <v>101</v>
      </c>
      <c r="D148" t="s">
        <v>33</v>
      </c>
      <c r="E148" s="68" t="s">
        <v>34</v>
      </c>
      <c r="F148" s="78" t="s">
        <v>3</v>
      </c>
      <c r="G148" t="s">
        <v>4</v>
      </c>
      <c r="H148" t="s">
        <v>1148</v>
      </c>
      <c r="I148" t="s">
        <v>856</v>
      </c>
      <c r="J148" s="148">
        <f>'1-René'!M20</f>
        <v>24.365384615384617</v>
      </c>
      <c r="K148" s="148">
        <f>'1-René'!N20</f>
        <v>0.86538461538461542</v>
      </c>
      <c r="L148" s="148">
        <f>'1-René'!O20</f>
        <v>0</v>
      </c>
    </row>
    <row r="149" spans="1:13" x14ac:dyDescent="0.25">
      <c r="A149" s="78" t="s">
        <v>1360</v>
      </c>
      <c r="B149" s="87">
        <v>11</v>
      </c>
      <c r="C149" s="87">
        <v>115</v>
      </c>
      <c r="E149" s="68" t="s">
        <v>36</v>
      </c>
      <c r="F149" s="78" t="s">
        <v>3</v>
      </c>
      <c r="G149" t="s">
        <v>4</v>
      </c>
      <c r="H149" t="s">
        <v>1148</v>
      </c>
      <c r="I149" t="s">
        <v>856</v>
      </c>
      <c r="J149" s="148">
        <f>'1-René'!M21</f>
        <v>10.288461538461538</v>
      </c>
      <c r="K149" s="148">
        <f>'1-René'!N21</f>
        <v>1.9230769230769231</v>
      </c>
      <c r="L149" s="148">
        <f>'1-René'!O21</f>
        <v>0</v>
      </c>
    </row>
    <row r="150" spans="1:13" x14ac:dyDescent="0.25">
      <c r="A150" s="78" t="s">
        <v>1360</v>
      </c>
      <c r="B150" s="87">
        <v>11</v>
      </c>
      <c r="C150" s="87">
        <v>141</v>
      </c>
      <c r="D150" t="s">
        <v>40</v>
      </c>
      <c r="E150" t="s">
        <v>41</v>
      </c>
      <c r="F150" s="78" t="s">
        <v>3</v>
      </c>
      <c r="G150" t="s">
        <v>4</v>
      </c>
      <c r="H150" t="s">
        <v>1148</v>
      </c>
      <c r="I150" t="s">
        <v>856</v>
      </c>
      <c r="J150" s="148">
        <f>'1-René'!M22</f>
        <v>22.46153846153846</v>
      </c>
      <c r="K150" s="148">
        <f>'1-René'!N22</f>
        <v>3.6923076923076925</v>
      </c>
      <c r="L150" s="148">
        <f>'1-René'!O22</f>
        <v>0</v>
      </c>
    </row>
    <row r="151" spans="1:13" x14ac:dyDescent="0.25">
      <c r="A151" s="78" t="s">
        <v>1360</v>
      </c>
      <c r="B151" s="87">
        <v>11</v>
      </c>
      <c r="C151" s="87">
        <v>165</v>
      </c>
      <c r="E151" t="s">
        <v>212</v>
      </c>
      <c r="F151" s="78" t="s">
        <v>181</v>
      </c>
      <c r="G151" t="s">
        <v>182</v>
      </c>
      <c r="H151" t="s">
        <v>1148</v>
      </c>
      <c r="I151" t="s">
        <v>856</v>
      </c>
      <c r="J151" s="148">
        <f>'1-René'!M23</f>
        <v>4.4615384615384617</v>
      </c>
      <c r="K151" s="148">
        <f>'1-René'!N23</f>
        <v>0</v>
      </c>
      <c r="L151" s="148">
        <f>'1-René'!O23</f>
        <v>0</v>
      </c>
    </row>
    <row r="152" spans="1:13" x14ac:dyDescent="0.25">
      <c r="A152" s="78" t="s">
        <v>1360</v>
      </c>
      <c r="B152" s="87">
        <v>11</v>
      </c>
      <c r="C152" s="87">
        <v>367</v>
      </c>
      <c r="E152" s="68" t="s">
        <v>56</v>
      </c>
      <c r="F152" s="78" t="s">
        <v>7</v>
      </c>
      <c r="G152" t="s">
        <v>8</v>
      </c>
      <c r="H152" t="s">
        <v>1148</v>
      </c>
      <c r="I152" t="s">
        <v>856</v>
      </c>
      <c r="J152" s="148">
        <f>'1-René'!M24</f>
        <v>9.5576923076923084</v>
      </c>
      <c r="K152" s="148">
        <f>'1-René'!N24</f>
        <v>3.8461538461538463</v>
      </c>
      <c r="L152" s="148">
        <f>'1-René'!O24</f>
        <v>0</v>
      </c>
    </row>
    <row r="153" spans="1:13" x14ac:dyDescent="0.25">
      <c r="A153" s="78" t="s">
        <v>1360</v>
      </c>
      <c r="B153" s="87">
        <v>11</v>
      </c>
      <c r="C153" s="87">
        <v>430</v>
      </c>
      <c r="E153" s="68" t="s">
        <v>60</v>
      </c>
      <c r="F153" s="78" t="s">
        <v>3</v>
      </c>
      <c r="G153" t="s">
        <v>4</v>
      </c>
      <c r="H153" t="s">
        <v>1148</v>
      </c>
      <c r="I153" t="s">
        <v>856</v>
      </c>
      <c r="J153" s="148">
        <f>'1-René'!M25</f>
        <v>2.6923076923076925</v>
      </c>
      <c r="K153" s="148">
        <f>'1-René'!N25</f>
        <v>0</v>
      </c>
      <c r="L153" s="148">
        <f>'1-René'!O25</f>
        <v>0</v>
      </c>
    </row>
    <row r="154" spans="1:13" x14ac:dyDescent="0.25">
      <c r="A154" s="78" t="s">
        <v>1360</v>
      </c>
      <c r="B154" s="87">
        <v>11</v>
      </c>
      <c r="C154" s="87">
        <v>786</v>
      </c>
      <c r="D154" t="s">
        <v>939</v>
      </c>
      <c r="E154" t="s">
        <v>940</v>
      </c>
      <c r="F154" s="78" t="s">
        <v>941</v>
      </c>
      <c r="G154" t="s">
        <v>8</v>
      </c>
      <c r="H154" t="s">
        <v>1148</v>
      </c>
      <c r="I154" t="s">
        <v>856</v>
      </c>
      <c r="J154" s="148">
        <f>'1-René'!M26</f>
        <v>15.192307692307692</v>
      </c>
      <c r="K154" s="148">
        <f>'1-René'!N26</f>
        <v>2.25</v>
      </c>
      <c r="L154" s="148">
        <f>'1-René'!O26</f>
        <v>0</v>
      </c>
    </row>
    <row r="155" spans="1:13" x14ac:dyDescent="0.25">
      <c r="A155" s="78" t="s">
        <v>1360</v>
      </c>
      <c r="B155" s="101">
        <v>8</v>
      </c>
      <c r="C155" s="101">
        <v>249</v>
      </c>
      <c r="D155" t="s">
        <v>937</v>
      </c>
      <c r="E155" t="s">
        <v>938</v>
      </c>
      <c r="F155" s="78">
        <v>2150</v>
      </c>
      <c r="G155" t="s">
        <v>703</v>
      </c>
      <c r="H155" t="s">
        <v>927</v>
      </c>
      <c r="I155" s="10" t="s">
        <v>856</v>
      </c>
      <c r="J155" s="148">
        <f>'1-René'!M27</f>
        <v>10.01923076923077</v>
      </c>
      <c r="K155" s="148">
        <f>'1-René'!N27</f>
        <v>0</v>
      </c>
      <c r="L155" s="148">
        <f>'1-René'!O27</f>
        <v>0</v>
      </c>
      <c r="M155" s="166">
        <f>'1-René'!R27</f>
        <v>43497</v>
      </c>
    </row>
    <row r="156" spans="1:13" x14ac:dyDescent="0.25">
      <c r="A156" s="78" t="s">
        <v>1360</v>
      </c>
      <c r="B156" s="101">
        <v>8</v>
      </c>
      <c r="C156" s="103">
        <v>613</v>
      </c>
      <c r="D156" s="68" t="s">
        <v>712</v>
      </c>
      <c r="E156" t="s">
        <v>713</v>
      </c>
      <c r="F156" s="78" t="s">
        <v>702</v>
      </c>
      <c r="G156" s="10" t="s">
        <v>703</v>
      </c>
      <c r="H156" t="s">
        <v>927</v>
      </c>
      <c r="I156" s="10" t="s">
        <v>856</v>
      </c>
      <c r="J156" s="148">
        <f>'1-René'!M28</f>
        <v>2.8000000000000003</v>
      </c>
      <c r="K156" s="148">
        <f>'1-René'!N28</f>
        <v>0</v>
      </c>
      <c r="L156" s="148">
        <f>'1-René'!O28</f>
        <v>0</v>
      </c>
      <c r="M156" s="166">
        <f>'1-René'!R28</f>
        <v>43466</v>
      </c>
    </row>
    <row r="157" spans="1:13" x14ac:dyDescent="0.25">
      <c r="A157" s="78" t="s">
        <v>1360</v>
      </c>
      <c r="B157" s="101">
        <v>11</v>
      </c>
      <c r="C157" s="101">
        <v>133</v>
      </c>
      <c r="D157" t="s">
        <v>37</v>
      </c>
      <c r="E157" s="68" t="s">
        <v>39</v>
      </c>
      <c r="F157" s="78" t="s">
        <v>7</v>
      </c>
      <c r="G157" t="s">
        <v>8</v>
      </c>
      <c r="H157" t="s">
        <v>927</v>
      </c>
      <c r="I157" t="s">
        <v>856</v>
      </c>
      <c r="J157" s="148">
        <f>'1-René'!M29</f>
        <v>67.17307692307692</v>
      </c>
      <c r="K157" s="148">
        <f>'1-René'!N29</f>
        <v>1.5769230769230769</v>
      </c>
      <c r="L157" s="148">
        <f>'1-René'!O29</f>
        <v>0</v>
      </c>
      <c r="M157" s="166"/>
    </row>
    <row r="158" spans="1:13" x14ac:dyDescent="0.25">
      <c r="A158" s="78" t="s">
        <v>1360</v>
      </c>
      <c r="B158" s="101">
        <v>11</v>
      </c>
      <c r="C158" s="101">
        <v>308</v>
      </c>
      <c r="D158" s="68" t="s">
        <v>721</v>
      </c>
      <c r="E158" t="s">
        <v>722</v>
      </c>
      <c r="F158" s="78" t="s">
        <v>702</v>
      </c>
      <c r="G158" t="s">
        <v>703</v>
      </c>
      <c r="H158" t="s">
        <v>927</v>
      </c>
      <c r="I158" t="s">
        <v>856</v>
      </c>
      <c r="J158" s="148">
        <f>'1-René'!M30</f>
        <v>24.7</v>
      </c>
      <c r="K158" s="148">
        <f>'1-René'!N30</f>
        <v>1</v>
      </c>
      <c r="L158" s="148">
        <f>'1-René'!O30</f>
        <v>0</v>
      </c>
      <c r="M158" s="166">
        <f>'1-René'!R30</f>
        <v>42917</v>
      </c>
    </row>
    <row r="159" spans="1:13" x14ac:dyDescent="0.25">
      <c r="A159" s="78" t="s">
        <v>1360</v>
      </c>
      <c r="B159" s="101">
        <v>11</v>
      </c>
      <c r="C159" s="101">
        <v>507</v>
      </c>
      <c r="E159" t="s">
        <v>260</v>
      </c>
      <c r="F159" s="78" t="s">
        <v>7</v>
      </c>
      <c r="G159" t="s">
        <v>8</v>
      </c>
      <c r="H159" t="s">
        <v>927</v>
      </c>
      <c r="I159" t="s">
        <v>856</v>
      </c>
      <c r="J159" s="148">
        <f>'1-René'!M31</f>
        <v>2.0961538461538463</v>
      </c>
      <c r="K159" s="148">
        <f>'1-René'!N31</f>
        <v>0</v>
      </c>
      <c r="L159" s="148">
        <f>'1-René'!O31</f>
        <v>0</v>
      </c>
    </row>
    <row r="160" spans="1:13" x14ac:dyDescent="0.25">
      <c r="A160" s="78" t="s">
        <v>1360</v>
      </c>
      <c r="B160" s="101">
        <v>11</v>
      </c>
      <c r="C160" s="101">
        <v>773</v>
      </c>
      <c r="E160" t="s">
        <v>814</v>
      </c>
      <c r="F160" s="78" t="s">
        <v>7</v>
      </c>
      <c r="G160" t="s">
        <v>8</v>
      </c>
      <c r="H160" t="s">
        <v>927</v>
      </c>
      <c r="I160" t="s">
        <v>856</v>
      </c>
      <c r="J160" s="148">
        <f>'1-René'!M32</f>
        <v>3.9230769230769229</v>
      </c>
      <c r="K160" s="148">
        <f>'1-René'!N32</f>
        <v>0</v>
      </c>
      <c r="L160" s="148">
        <f>'1-René'!O32</f>
        <v>0</v>
      </c>
    </row>
    <row r="161" spans="1:13" x14ac:dyDescent="0.25">
      <c r="A161" s="78" t="s">
        <v>1360</v>
      </c>
      <c r="B161" s="78">
        <v>87</v>
      </c>
      <c r="C161" s="78">
        <v>507</v>
      </c>
      <c r="D161" s="68" t="s">
        <v>729</v>
      </c>
      <c r="E161" t="s">
        <v>730</v>
      </c>
      <c r="F161" s="78" t="s">
        <v>191</v>
      </c>
      <c r="G161" t="s">
        <v>192</v>
      </c>
      <c r="H161" t="s">
        <v>1196</v>
      </c>
      <c r="I161" t="s">
        <v>838</v>
      </c>
      <c r="J161" s="148">
        <f>'1-René'!M33</f>
        <v>3.3</v>
      </c>
      <c r="K161" s="148">
        <f>'1-René'!N33</f>
        <v>2.2999999999999998</v>
      </c>
      <c r="L161" s="148">
        <f>'1-René'!O33</f>
        <v>0</v>
      </c>
      <c r="M161" s="166">
        <f>'1-René'!R33</f>
        <v>43983</v>
      </c>
    </row>
    <row r="162" spans="1:13" x14ac:dyDescent="0.25">
      <c r="A162" s="78" t="s">
        <v>1360</v>
      </c>
      <c r="B162" s="97">
        <v>8</v>
      </c>
      <c r="C162" s="102">
        <v>661</v>
      </c>
      <c r="D162" s="68" t="s">
        <v>203</v>
      </c>
      <c r="E162" s="68" t="s">
        <v>202</v>
      </c>
      <c r="F162" s="78" t="s">
        <v>21</v>
      </c>
      <c r="G162" t="s">
        <v>22</v>
      </c>
      <c r="H162" s="10" t="s">
        <v>1227</v>
      </c>
      <c r="I162" s="10" t="s">
        <v>856</v>
      </c>
      <c r="J162" s="148">
        <f>'1-René'!M34</f>
        <v>7.8</v>
      </c>
      <c r="K162" s="148">
        <f>'1-René'!N34</f>
        <v>2.2000000000000002</v>
      </c>
      <c r="L162" s="148">
        <f>'1-René'!O34</f>
        <v>0.73076923076923073</v>
      </c>
      <c r="M162" s="166">
        <f>'1-René'!R34</f>
        <v>43709</v>
      </c>
    </row>
    <row r="163" spans="1:13" x14ac:dyDescent="0.25">
      <c r="A163" s="78" t="s">
        <v>1360</v>
      </c>
      <c r="B163" s="97">
        <v>11</v>
      </c>
      <c r="C163" s="97">
        <v>155</v>
      </c>
      <c r="E163" s="68" t="s">
        <v>1152</v>
      </c>
      <c r="F163" s="78" t="s">
        <v>21</v>
      </c>
      <c r="G163" t="s">
        <v>22</v>
      </c>
      <c r="H163" s="10" t="s">
        <v>1227</v>
      </c>
      <c r="I163" s="10" t="s">
        <v>838</v>
      </c>
    </row>
    <row r="164" spans="1:13" x14ac:dyDescent="0.25">
      <c r="A164" s="78" t="s">
        <v>1360</v>
      </c>
      <c r="B164" s="97">
        <v>11</v>
      </c>
      <c r="C164" s="102">
        <v>159</v>
      </c>
      <c r="E164" s="68" t="s">
        <v>1153</v>
      </c>
      <c r="F164" s="78" t="s">
        <v>21</v>
      </c>
      <c r="G164" t="s">
        <v>22</v>
      </c>
      <c r="H164" s="10" t="s">
        <v>1156</v>
      </c>
      <c r="I164" s="10" t="s">
        <v>856</v>
      </c>
    </row>
    <row r="165" spans="1:13" x14ac:dyDescent="0.25">
      <c r="A165" s="78" t="s">
        <v>1360</v>
      </c>
      <c r="B165" s="97">
        <v>11</v>
      </c>
      <c r="C165" s="102">
        <v>395</v>
      </c>
      <c r="D165" t="s">
        <v>1154</v>
      </c>
      <c r="E165" s="68" t="s">
        <v>1155</v>
      </c>
      <c r="F165" s="78" t="s">
        <v>21</v>
      </c>
      <c r="G165" t="s">
        <v>22</v>
      </c>
      <c r="H165" s="10" t="s">
        <v>1156</v>
      </c>
      <c r="I165" s="10" t="s">
        <v>856</v>
      </c>
    </row>
    <row r="166" spans="1:13" x14ac:dyDescent="0.25">
      <c r="A166" s="78" t="s">
        <v>1142</v>
      </c>
      <c r="B166" s="99">
        <v>8</v>
      </c>
      <c r="C166" s="99">
        <v>960</v>
      </c>
      <c r="D166" s="61" t="s">
        <v>677</v>
      </c>
      <c r="E166" s="61" t="s">
        <v>678</v>
      </c>
      <c r="F166" s="69" t="s">
        <v>673</v>
      </c>
      <c r="G166" s="61" t="s">
        <v>24</v>
      </c>
      <c r="H166" s="61" t="s">
        <v>919</v>
      </c>
      <c r="I166" s="70" t="s">
        <v>856</v>
      </c>
      <c r="J166" s="148">
        <f>'1-Patrick'!M10</f>
        <v>15.2</v>
      </c>
      <c r="K166" s="148">
        <f>'1-Patrick'!N10</f>
        <v>14.3</v>
      </c>
      <c r="L166" s="148">
        <f>'1-Patrick'!O10</f>
        <v>0.61538461538461542</v>
      </c>
      <c r="M166" s="166">
        <f>'1-Patrick'!R10</f>
        <v>43466</v>
      </c>
    </row>
    <row r="167" spans="1:13" x14ac:dyDescent="0.25">
      <c r="A167" s="78" t="s">
        <v>1142</v>
      </c>
      <c r="B167" s="99">
        <v>8</v>
      </c>
      <c r="C167" s="99">
        <v>965</v>
      </c>
      <c r="D167" s="68" t="s">
        <v>679</v>
      </c>
      <c r="E167" s="68" t="s">
        <v>680</v>
      </c>
      <c r="F167" s="69" t="s">
        <v>673</v>
      </c>
      <c r="G167" s="61" t="s">
        <v>24</v>
      </c>
      <c r="H167" s="61" t="s">
        <v>919</v>
      </c>
      <c r="I167" s="70" t="s">
        <v>856</v>
      </c>
      <c r="J167" s="148">
        <f>'1-Patrick'!M11</f>
        <v>11.096153846153847</v>
      </c>
      <c r="K167" s="148">
        <f>'1-Patrick'!N11</f>
        <v>3.4519230769230771</v>
      </c>
      <c r="L167" s="148">
        <f>'1-Patrick'!O11</f>
        <v>0</v>
      </c>
      <c r="M167" s="166">
        <f>'1-Patrick'!R11</f>
        <v>42156</v>
      </c>
    </row>
    <row r="168" spans="1:13" x14ac:dyDescent="0.25">
      <c r="A168" s="78" t="s">
        <v>1142</v>
      </c>
      <c r="B168" s="99">
        <v>8</v>
      </c>
      <c r="C168" s="99">
        <v>967</v>
      </c>
      <c r="D168" s="68" t="s">
        <v>681</v>
      </c>
      <c r="E168" s="68" t="s">
        <v>680</v>
      </c>
      <c r="F168" s="69" t="s">
        <v>673</v>
      </c>
      <c r="G168" s="61" t="s">
        <v>24</v>
      </c>
      <c r="H168" s="61" t="s">
        <v>919</v>
      </c>
      <c r="I168" s="70" t="s">
        <v>856</v>
      </c>
      <c r="J168" s="148">
        <f>'1-Patrick'!M12</f>
        <v>2.875</v>
      </c>
      <c r="K168" s="148">
        <f>'1-Patrick'!N12</f>
        <v>0</v>
      </c>
      <c r="L168" s="148">
        <f>'1-Patrick'!O12</f>
        <v>0.23076923076923078</v>
      </c>
      <c r="M168" s="166">
        <f>'1-Patrick'!R12</f>
        <v>42217</v>
      </c>
    </row>
    <row r="169" spans="1:13" x14ac:dyDescent="0.25">
      <c r="A169" s="78" t="s">
        <v>1142</v>
      </c>
      <c r="B169" s="99">
        <v>11</v>
      </c>
      <c r="C169" s="99">
        <v>309</v>
      </c>
      <c r="D169" s="68" t="s">
        <v>683</v>
      </c>
      <c r="E169" s="68" t="s">
        <v>684</v>
      </c>
      <c r="F169" s="69" t="s">
        <v>673</v>
      </c>
      <c r="G169" s="68" t="s">
        <v>24</v>
      </c>
      <c r="H169" s="61" t="s">
        <v>919</v>
      </c>
      <c r="I169" s="70" t="s">
        <v>856</v>
      </c>
      <c r="J169" s="148">
        <f>'1-Patrick'!M13</f>
        <v>14.76923076923077</v>
      </c>
      <c r="K169" s="148">
        <f>'1-Patrick'!N13</f>
        <v>1.3365384615384615</v>
      </c>
      <c r="L169" s="148">
        <f>'1-Patrick'!O13</f>
        <v>0.5</v>
      </c>
      <c r="M169" s="166">
        <f>'1-Patrick'!R13</f>
        <v>42050</v>
      </c>
    </row>
    <row r="170" spans="1:13" x14ac:dyDescent="0.25">
      <c r="A170" s="78" t="s">
        <v>1142</v>
      </c>
      <c r="B170" s="99">
        <v>11</v>
      </c>
      <c r="C170" s="99">
        <v>465</v>
      </c>
      <c r="D170" s="68" t="s">
        <v>686</v>
      </c>
      <c r="E170" s="68" t="s">
        <v>687</v>
      </c>
      <c r="F170" s="69" t="s">
        <v>673</v>
      </c>
      <c r="G170" s="68" t="s">
        <v>24</v>
      </c>
      <c r="H170" s="61" t="s">
        <v>919</v>
      </c>
      <c r="I170" s="70" t="s">
        <v>856</v>
      </c>
      <c r="J170" s="148">
        <f>'1-Patrick'!M14</f>
        <v>6</v>
      </c>
      <c r="K170" s="148">
        <f>'1-Patrick'!N14</f>
        <v>0</v>
      </c>
      <c r="L170" s="148">
        <f>'1-Patrick'!O14</f>
        <v>0</v>
      </c>
      <c r="M170" s="166">
        <f>'1-Patrick'!R14</f>
        <v>42217</v>
      </c>
    </row>
    <row r="171" spans="1:13" x14ac:dyDescent="0.25">
      <c r="A171" s="78" t="s">
        <v>1142</v>
      </c>
      <c r="B171" s="99">
        <v>11</v>
      </c>
      <c r="C171" s="99">
        <v>105</v>
      </c>
      <c r="D171" s="68" t="s">
        <v>652</v>
      </c>
      <c r="E171" s="68" t="s">
        <v>932</v>
      </c>
      <c r="F171" s="69">
        <v>2300</v>
      </c>
      <c r="G171" s="68" t="s">
        <v>87</v>
      </c>
      <c r="H171" s="68" t="s">
        <v>1175</v>
      </c>
      <c r="I171" s="68" t="s">
        <v>856</v>
      </c>
      <c r="J171" s="148">
        <f>'1-Patrick'!M15</f>
        <v>8.3000000000000007</v>
      </c>
      <c r="K171" s="148">
        <f>'1-Patrick'!N15</f>
        <v>2.6</v>
      </c>
      <c r="L171" s="148">
        <f>'1-Patrick'!O15</f>
        <v>0</v>
      </c>
      <c r="M171" s="166">
        <f>'1-Patrick'!R15</f>
        <v>43084</v>
      </c>
    </row>
    <row r="172" spans="1:13" x14ac:dyDescent="0.25">
      <c r="A172" s="78" t="s">
        <v>1142</v>
      </c>
      <c r="B172" s="99">
        <v>11</v>
      </c>
      <c r="C172" s="99">
        <v>446</v>
      </c>
      <c r="D172" s="68" t="s">
        <v>933</v>
      </c>
      <c r="E172" s="68" t="s">
        <v>934</v>
      </c>
      <c r="F172" s="69">
        <v>2300</v>
      </c>
      <c r="G172" s="68" t="s">
        <v>87</v>
      </c>
      <c r="H172" s="68" t="s">
        <v>1175</v>
      </c>
      <c r="I172" s="68" t="s">
        <v>856</v>
      </c>
      <c r="J172" s="148">
        <f>'1-Patrick'!M16</f>
        <v>3.7</v>
      </c>
      <c r="K172" s="148">
        <f>'1-Patrick'!N16</f>
        <v>0.3</v>
      </c>
      <c r="L172" s="148">
        <f>'1-Patrick'!O16</f>
        <v>0</v>
      </c>
      <c r="M172" s="166">
        <f>'1-Patrick'!R16</f>
        <v>43084</v>
      </c>
    </row>
    <row r="173" spans="1:13" x14ac:dyDescent="0.25">
      <c r="A173" s="78" t="s">
        <v>1142</v>
      </c>
      <c r="B173" s="99">
        <v>11</v>
      </c>
      <c r="C173" s="99">
        <v>728</v>
      </c>
      <c r="D173" s="68"/>
      <c r="E173" s="68" t="s">
        <v>237</v>
      </c>
      <c r="F173" s="69" t="s">
        <v>86</v>
      </c>
      <c r="G173" s="68" t="s">
        <v>87</v>
      </c>
      <c r="H173" s="68" t="s">
        <v>1175</v>
      </c>
      <c r="I173" s="68" t="s">
        <v>856</v>
      </c>
      <c r="J173" s="148">
        <f>'1-Patrick'!M17</f>
        <v>4.2307692307692308</v>
      </c>
      <c r="K173" s="148">
        <f>'1-Patrick'!N17</f>
        <v>0</v>
      </c>
      <c r="L173" s="148">
        <f>'1-Patrick'!O17</f>
        <v>0</v>
      </c>
      <c r="M173" s="166"/>
    </row>
    <row r="174" spans="1:13" x14ac:dyDescent="0.25">
      <c r="A174" s="78" t="s">
        <v>1142</v>
      </c>
      <c r="B174" s="99">
        <v>800</v>
      </c>
      <c r="C174" s="99">
        <v>100</v>
      </c>
      <c r="D174" s="165" t="s">
        <v>1693</v>
      </c>
      <c r="E174" s="61" t="s">
        <v>1695</v>
      </c>
      <c r="F174" s="69">
        <v>1436</v>
      </c>
      <c r="G174" s="165" t="s">
        <v>24</v>
      </c>
      <c r="H174" s="165" t="s">
        <v>1310</v>
      </c>
      <c r="I174" s="164" t="s">
        <v>856</v>
      </c>
      <c r="J174" s="148">
        <f>'1-Patrick'!M18</f>
        <v>4.3999999999999995</v>
      </c>
      <c r="K174" s="148">
        <f>'1-Patrick'!N18</f>
        <v>3.9</v>
      </c>
      <c r="L174" s="148">
        <f>'1-Patrick'!O18</f>
        <v>0</v>
      </c>
      <c r="M174" s="166">
        <f>'1-Patrick'!$R$18</f>
        <v>43862</v>
      </c>
    </row>
    <row r="175" spans="1:13" x14ac:dyDescent="0.25">
      <c r="A175" s="78" t="s">
        <v>1142</v>
      </c>
      <c r="B175" s="89">
        <v>11</v>
      </c>
      <c r="C175" s="89">
        <v>492</v>
      </c>
      <c r="D175" t="s">
        <v>948</v>
      </c>
      <c r="E175" t="s">
        <v>949</v>
      </c>
      <c r="F175" s="78">
        <v>3650</v>
      </c>
      <c r="G175" s="10" t="s">
        <v>708</v>
      </c>
      <c r="H175" t="s">
        <v>1034</v>
      </c>
      <c r="I175" t="s">
        <v>856</v>
      </c>
      <c r="J175" s="148">
        <f>'1-Patrick'!M19</f>
        <v>3</v>
      </c>
      <c r="K175" s="148">
        <f>'1-Patrick'!N19</f>
        <v>1.3461538461538463</v>
      </c>
      <c r="L175" s="148">
        <f>'1-Patrick'!O19</f>
        <v>0</v>
      </c>
      <c r="M175" s="166">
        <f>'1-Patrick'!R19</f>
        <v>42036</v>
      </c>
    </row>
    <row r="176" spans="1:13" x14ac:dyDescent="0.25">
      <c r="A176" s="78" t="s">
        <v>1142</v>
      </c>
      <c r="B176" s="89">
        <v>11</v>
      </c>
      <c r="C176" s="89">
        <v>134</v>
      </c>
      <c r="D176" t="s">
        <v>604</v>
      </c>
      <c r="E176" t="s">
        <v>682</v>
      </c>
      <c r="F176" s="78" t="s">
        <v>578</v>
      </c>
      <c r="G176" s="10" t="s">
        <v>579</v>
      </c>
      <c r="H176" t="s">
        <v>915</v>
      </c>
      <c r="I176" t="s">
        <v>856</v>
      </c>
      <c r="J176" s="148">
        <f>'1-Patrick'!M20</f>
        <v>0.65384615384615385</v>
      </c>
      <c r="K176" s="148">
        <f>'1-Patrick'!N20</f>
        <v>1.3461538461538463</v>
      </c>
      <c r="L176" s="148">
        <f>'1-Patrick'!O20</f>
        <v>0</v>
      </c>
      <c r="M176" s="166">
        <f>'1-Patrick'!R20</f>
        <v>42979</v>
      </c>
    </row>
    <row r="177" spans="1:13" x14ac:dyDescent="0.25">
      <c r="A177" s="78" t="s">
        <v>1142</v>
      </c>
      <c r="B177" s="89">
        <v>11</v>
      </c>
      <c r="C177" s="89">
        <v>231</v>
      </c>
      <c r="D177" t="s">
        <v>581</v>
      </c>
      <c r="E177" t="s">
        <v>943</v>
      </c>
      <c r="F177" s="78">
        <v>3520</v>
      </c>
      <c r="G177" t="s">
        <v>97</v>
      </c>
      <c r="H177" t="s">
        <v>1034</v>
      </c>
      <c r="I177" t="s">
        <v>838</v>
      </c>
      <c r="J177" s="148">
        <f>'1-Patrick'!M21</f>
        <v>5.9807692307692308</v>
      </c>
      <c r="K177" s="148">
        <f>'1-Patrick'!N21</f>
        <v>3.8461538461538463</v>
      </c>
      <c r="L177" s="148">
        <f>'1-Patrick'!O21</f>
        <v>0</v>
      </c>
      <c r="M177" s="166"/>
    </row>
    <row r="178" spans="1:13" x14ac:dyDescent="0.25">
      <c r="A178" s="78" t="s">
        <v>1142</v>
      </c>
      <c r="B178" s="89">
        <v>11</v>
      </c>
      <c r="C178" s="89">
        <v>271</v>
      </c>
      <c r="E178" s="10" t="s">
        <v>944</v>
      </c>
      <c r="F178" s="78" t="s">
        <v>945</v>
      </c>
      <c r="G178" s="10" t="s">
        <v>265</v>
      </c>
      <c r="H178" t="s">
        <v>1169</v>
      </c>
      <c r="I178" t="s">
        <v>856</v>
      </c>
      <c r="J178" s="148">
        <f>'1-Patrick'!M22</f>
        <v>2.8269230769230771</v>
      </c>
      <c r="K178" s="148">
        <f>'1-Patrick'!N22</f>
        <v>1.9230769230769231</v>
      </c>
      <c r="L178" s="148">
        <f>'1-Patrick'!O22</f>
        <v>7.6923076923076927E-2</v>
      </c>
      <c r="M178" s="166">
        <f>'1-Patrick'!R22</f>
        <v>42979</v>
      </c>
    </row>
    <row r="179" spans="1:13" x14ac:dyDescent="0.25">
      <c r="A179" s="78" t="s">
        <v>1142</v>
      </c>
      <c r="B179" s="89">
        <v>11</v>
      </c>
      <c r="C179" s="89">
        <v>286</v>
      </c>
      <c r="E179" s="10" t="s">
        <v>599</v>
      </c>
      <c r="F179" s="78" t="s">
        <v>264</v>
      </c>
      <c r="G179" s="10" t="s">
        <v>265</v>
      </c>
      <c r="H179" t="s">
        <v>1169</v>
      </c>
      <c r="I179" t="s">
        <v>856</v>
      </c>
      <c r="J179" s="148">
        <f>'1-Patrick'!M23</f>
        <v>16.192307692307693</v>
      </c>
      <c r="K179" s="148">
        <f>'1-Patrick'!N23</f>
        <v>9.615384615384615</v>
      </c>
      <c r="L179" s="148">
        <f>'1-Patrick'!O23</f>
        <v>0.11538461538461539</v>
      </c>
      <c r="M179" s="166">
        <f>'1-Patrick'!R23</f>
        <v>42979</v>
      </c>
    </row>
    <row r="180" spans="1:13" x14ac:dyDescent="0.25">
      <c r="A180" s="78" t="s">
        <v>1142</v>
      </c>
      <c r="B180" s="89">
        <v>11</v>
      </c>
      <c r="C180" s="88">
        <v>313</v>
      </c>
      <c r="D180" t="s">
        <v>946</v>
      </c>
      <c r="E180" s="10" t="s">
        <v>947</v>
      </c>
      <c r="F180" s="78" t="s">
        <v>945</v>
      </c>
      <c r="G180" s="10" t="s">
        <v>265</v>
      </c>
      <c r="H180" t="s">
        <v>1169</v>
      </c>
      <c r="I180" s="10" t="s">
        <v>856</v>
      </c>
      <c r="J180" s="148">
        <f>'1-Patrick'!M24</f>
        <v>17.384615384615383</v>
      </c>
      <c r="K180" s="148">
        <f>'1-Patrick'!N24</f>
        <v>3.8461538461538463</v>
      </c>
      <c r="L180" s="148">
        <f>'1-Patrick'!O24</f>
        <v>0</v>
      </c>
      <c r="M180" s="166">
        <f>'1-Patrick'!R24</f>
        <v>43617</v>
      </c>
    </row>
    <row r="181" spans="1:13" x14ac:dyDescent="0.25">
      <c r="A181" s="78" t="s">
        <v>1142</v>
      </c>
      <c r="B181" s="89">
        <v>11</v>
      </c>
      <c r="C181" s="89">
        <v>319</v>
      </c>
      <c r="D181" t="s">
        <v>600</v>
      </c>
      <c r="E181" s="10" t="s">
        <v>601</v>
      </c>
      <c r="F181" s="78" t="s">
        <v>264</v>
      </c>
      <c r="G181" s="10" t="s">
        <v>265</v>
      </c>
      <c r="H181" t="s">
        <v>1170</v>
      </c>
      <c r="I181" t="s">
        <v>856</v>
      </c>
      <c r="J181" s="148">
        <f>'1-Patrick'!M25</f>
        <v>13.942307692307692</v>
      </c>
      <c r="K181" s="148">
        <f>'1-Patrick'!N25</f>
        <v>3.8461538461538463</v>
      </c>
      <c r="L181" s="148">
        <f>'1-Patrick'!O25</f>
        <v>0</v>
      </c>
      <c r="M181" s="166">
        <f>'1-Patrick'!R25</f>
        <v>43087</v>
      </c>
    </row>
    <row r="182" spans="1:13" x14ac:dyDescent="0.25">
      <c r="A182" s="78" t="s">
        <v>1142</v>
      </c>
      <c r="B182" s="89">
        <v>11</v>
      </c>
      <c r="C182" s="89">
        <v>364</v>
      </c>
      <c r="E182" s="10" t="s">
        <v>602</v>
      </c>
      <c r="F182" s="78" t="s">
        <v>264</v>
      </c>
      <c r="G182" s="10" t="s">
        <v>265</v>
      </c>
      <c r="H182" t="s">
        <v>1169</v>
      </c>
      <c r="I182" t="s">
        <v>856</v>
      </c>
      <c r="J182" s="148">
        <f>'1-Patrick'!M26</f>
        <v>1.0384615384615385</v>
      </c>
      <c r="K182" s="148">
        <f>'1-Patrick'!N26</f>
        <v>0</v>
      </c>
      <c r="L182" s="148">
        <f>'1-Patrick'!O26</f>
        <v>0</v>
      </c>
      <c r="M182" s="166">
        <f>'1-Patrick'!R26</f>
        <v>42979</v>
      </c>
    </row>
    <row r="183" spans="1:13" x14ac:dyDescent="0.25">
      <c r="A183" s="78" t="s">
        <v>1142</v>
      </c>
      <c r="B183" s="89">
        <v>11</v>
      </c>
      <c r="C183" s="89">
        <v>392</v>
      </c>
      <c r="E183" s="10" t="s">
        <v>582</v>
      </c>
      <c r="F183" s="78" t="s">
        <v>96</v>
      </c>
      <c r="G183" s="10" t="s">
        <v>97</v>
      </c>
      <c r="H183" t="s">
        <v>1034</v>
      </c>
      <c r="I183" t="s">
        <v>838</v>
      </c>
      <c r="J183" s="148">
        <f>'1-Patrick'!M27</f>
        <v>1.6153846153846154</v>
      </c>
      <c r="K183" s="148">
        <f>'1-Patrick'!N27</f>
        <v>0</v>
      </c>
      <c r="L183" s="148">
        <f>'1-Patrick'!O27</f>
        <v>0</v>
      </c>
      <c r="M183" s="166"/>
    </row>
    <row r="184" spans="1:13" x14ac:dyDescent="0.25">
      <c r="A184" s="78" t="s">
        <v>1142</v>
      </c>
      <c r="B184" s="89">
        <v>11</v>
      </c>
      <c r="C184" s="89">
        <v>396</v>
      </c>
      <c r="E184" t="s">
        <v>420</v>
      </c>
      <c r="F184" s="78" t="s">
        <v>100</v>
      </c>
      <c r="G184" s="10" t="s">
        <v>101</v>
      </c>
      <c r="H184" t="s">
        <v>1034</v>
      </c>
      <c r="I184" t="s">
        <v>856</v>
      </c>
      <c r="J184" s="148">
        <f>'1-Patrick'!M28</f>
        <v>4</v>
      </c>
      <c r="K184" s="148">
        <f>'1-Patrick'!N28</f>
        <v>0</v>
      </c>
      <c r="L184" s="148">
        <f>'1-Patrick'!O28</f>
        <v>0</v>
      </c>
      <c r="M184" s="166"/>
    </row>
    <row r="185" spans="1:13" x14ac:dyDescent="0.25">
      <c r="A185" s="78" t="s">
        <v>1142</v>
      </c>
      <c r="B185" s="89">
        <v>11</v>
      </c>
      <c r="C185" s="89">
        <v>409</v>
      </c>
      <c r="D185" t="s">
        <v>580</v>
      </c>
      <c r="E185" s="10" t="s">
        <v>580</v>
      </c>
      <c r="F185" s="78" t="s">
        <v>264</v>
      </c>
      <c r="G185" s="10" t="s">
        <v>265</v>
      </c>
      <c r="H185" t="s">
        <v>1169</v>
      </c>
      <c r="I185" t="s">
        <v>856</v>
      </c>
      <c r="J185" s="148">
        <f>'1-Patrick'!M29</f>
        <v>0.55769230769230771</v>
      </c>
      <c r="K185" s="148">
        <f>'1-Patrick'!N29</f>
        <v>0</v>
      </c>
      <c r="L185" s="148">
        <f>'1-Patrick'!O29</f>
        <v>0</v>
      </c>
      <c r="M185" s="166">
        <f>'1-Patrick'!R29</f>
        <v>42979</v>
      </c>
    </row>
    <row r="186" spans="1:13" x14ac:dyDescent="0.25">
      <c r="A186" s="78" t="s">
        <v>1142</v>
      </c>
      <c r="B186" s="89">
        <v>11</v>
      </c>
      <c r="C186" s="89">
        <v>414</v>
      </c>
      <c r="E186" t="s">
        <v>685</v>
      </c>
      <c r="F186" s="78" t="s">
        <v>578</v>
      </c>
      <c r="G186" s="10" t="s">
        <v>579</v>
      </c>
      <c r="H186" t="s">
        <v>1034</v>
      </c>
      <c r="I186" t="s">
        <v>856</v>
      </c>
      <c r="J186" s="148">
        <f>'1-Patrick'!M30</f>
        <v>0.65384615384615385</v>
      </c>
      <c r="K186" s="148">
        <f>'1-Patrick'!N30</f>
        <v>1.3461538461538463</v>
      </c>
      <c r="L186" s="148">
        <f>'1-Patrick'!O30</f>
        <v>0</v>
      </c>
      <c r="M186" s="166">
        <f>'1-Patrick'!R30</f>
        <v>42979</v>
      </c>
    </row>
    <row r="187" spans="1:13" x14ac:dyDescent="0.25">
      <c r="A187" s="78" t="s">
        <v>1142</v>
      </c>
      <c r="B187" s="89">
        <v>11</v>
      </c>
      <c r="C187" s="89">
        <v>454</v>
      </c>
      <c r="E187" t="s">
        <v>419</v>
      </c>
      <c r="F187" s="78" t="s">
        <v>100</v>
      </c>
      <c r="G187" s="10" t="s">
        <v>101</v>
      </c>
      <c r="H187" t="s">
        <v>1034</v>
      </c>
      <c r="I187" t="s">
        <v>856</v>
      </c>
      <c r="J187" s="148">
        <f>'1-Patrick'!M31</f>
        <v>1.5</v>
      </c>
      <c r="K187" s="148">
        <f>'1-Patrick'!N31</f>
        <v>0</v>
      </c>
      <c r="L187" s="148">
        <f>'1-Patrick'!O31</f>
        <v>0</v>
      </c>
      <c r="M187" s="166"/>
    </row>
    <row r="188" spans="1:13" x14ac:dyDescent="0.25">
      <c r="A188" s="78" t="s">
        <v>1142</v>
      </c>
      <c r="B188" s="89">
        <v>11</v>
      </c>
      <c r="C188" s="89">
        <v>357</v>
      </c>
      <c r="D188" t="s">
        <v>946</v>
      </c>
      <c r="E188" s="10" t="s">
        <v>1179</v>
      </c>
      <c r="F188" s="78" t="s">
        <v>1180</v>
      </c>
      <c r="G188" s="10" t="s">
        <v>265</v>
      </c>
      <c r="I188" t="s">
        <v>856</v>
      </c>
    </row>
    <row r="189" spans="1:13" x14ac:dyDescent="0.25">
      <c r="A189" s="78" t="s">
        <v>1142</v>
      </c>
      <c r="B189" s="94">
        <v>11</v>
      </c>
      <c r="C189" s="94">
        <v>304</v>
      </c>
      <c r="E189" t="s">
        <v>429</v>
      </c>
      <c r="F189" s="78" t="s">
        <v>369</v>
      </c>
      <c r="G189" s="10" t="s">
        <v>370</v>
      </c>
      <c r="H189" t="s">
        <v>891</v>
      </c>
      <c r="I189" t="s">
        <v>856</v>
      </c>
    </row>
    <row r="190" spans="1:13" x14ac:dyDescent="0.25">
      <c r="A190" s="78" t="s">
        <v>1142</v>
      </c>
      <c r="B190" s="95">
        <v>11</v>
      </c>
      <c r="C190" s="95">
        <v>189</v>
      </c>
      <c r="E190" t="s">
        <v>45</v>
      </c>
      <c r="F190" s="78" t="s">
        <v>13</v>
      </c>
      <c r="G190" t="s">
        <v>14</v>
      </c>
      <c r="H190" t="s">
        <v>357</v>
      </c>
      <c r="I190" t="s">
        <v>856</v>
      </c>
    </row>
    <row r="191" spans="1:13" x14ac:dyDescent="0.25">
      <c r="A191" s="78" t="s">
        <v>1142</v>
      </c>
      <c r="B191" s="95">
        <v>11</v>
      </c>
      <c r="C191" s="95">
        <v>425</v>
      </c>
      <c r="E191" t="s">
        <v>59</v>
      </c>
      <c r="F191" s="78" t="s">
        <v>13</v>
      </c>
      <c r="G191" t="s">
        <v>14</v>
      </c>
      <c r="H191" t="s">
        <v>357</v>
      </c>
      <c r="I191" t="s">
        <v>856</v>
      </c>
    </row>
    <row r="192" spans="1:13" x14ac:dyDescent="0.25">
      <c r="A192" s="78" t="s">
        <v>1142</v>
      </c>
      <c r="B192" s="93">
        <v>11</v>
      </c>
      <c r="C192" s="93">
        <v>154</v>
      </c>
      <c r="E192" t="s">
        <v>44</v>
      </c>
      <c r="F192" s="78" t="s">
        <v>11</v>
      </c>
      <c r="G192" t="s">
        <v>12</v>
      </c>
      <c r="H192" t="s">
        <v>356</v>
      </c>
      <c r="I192" t="s">
        <v>838</v>
      </c>
      <c r="J192" s="148">
        <f>'1-Patrick'!M36</f>
        <v>4.884615384615385</v>
      </c>
      <c r="K192" s="148">
        <f>'1-Patrick'!N36</f>
        <v>0.48076923076923078</v>
      </c>
      <c r="L192" s="148">
        <f>'1-Patrick'!O36</f>
        <v>0</v>
      </c>
    </row>
    <row r="193" spans="1:13" x14ac:dyDescent="0.25">
      <c r="A193" s="78" t="s">
        <v>1142</v>
      </c>
      <c r="B193" s="93">
        <v>11</v>
      </c>
      <c r="C193" s="93">
        <v>191</v>
      </c>
      <c r="E193" t="s">
        <v>47</v>
      </c>
      <c r="F193" s="78" t="s">
        <v>15</v>
      </c>
      <c r="G193" t="s">
        <v>16</v>
      </c>
      <c r="H193" t="s">
        <v>355</v>
      </c>
      <c r="I193" t="s">
        <v>856</v>
      </c>
      <c r="J193" s="148">
        <f>'1-Patrick'!M37</f>
        <v>5.2115384615384617</v>
      </c>
      <c r="K193" s="148">
        <f>'1-Patrick'!N37</f>
        <v>1.9230769230769231</v>
      </c>
      <c r="L193" s="148">
        <f>'1-Patrick'!O37</f>
        <v>0</v>
      </c>
    </row>
    <row r="194" spans="1:13" x14ac:dyDescent="0.25">
      <c r="A194" s="78" t="s">
        <v>1142</v>
      </c>
      <c r="B194" s="93">
        <v>11</v>
      </c>
      <c r="C194" s="93">
        <v>193</v>
      </c>
      <c r="E194" t="s">
        <v>48</v>
      </c>
      <c r="F194" s="78" t="s">
        <v>15</v>
      </c>
      <c r="G194" t="s">
        <v>16</v>
      </c>
      <c r="H194" t="s">
        <v>355</v>
      </c>
      <c r="I194" t="s">
        <v>856</v>
      </c>
      <c r="J194" s="148">
        <f>'1-Patrick'!M38</f>
        <v>5.2884615384615383</v>
      </c>
      <c r="K194" s="148">
        <f>'1-Patrick'!N38</f>
        <v>1.9230769230769231</v>
      </c>
      <c r="L194" s="148">
        <f>'1-Patrick'!O38</f>
        <v>0</v>
      </c>
    </row>
    <row r="195" spans="1:13" x14ac:dyDescent="0.25">
      <c r="A195" s="78" t="s">
        <v>1142</v>
      </c>
      <c r="B195" s="93">
        <v>11</v>
      </c>
      <c r="C195" s="93">
        <v>198</v>
      </c>
      <c r="E195" t="s">
        <v>49</v>
      </c>
      <c r="F195" s="78" t="s">
        <v>15</v>
      </c>
      <c r="G195" t="s">
        <v>16</v>
      </c>
      <c r="H195" t="s">
        <v>355</v>
      </c>
      <c r="I195" t="s">
        <v>856</v>
      </c>
      <c r="J195" s="148">
        <f>'1-Patrick'!M39</f>
        <v>3.0961538461538463</v>
      </c>
      <c r="K195" s="148">
        <f>'1-Patrick'!N39</f>
        <v>2.1153846153846154</v>
      </c>
      <c r="L195" s="148">
        <f>'1-Patrick'!O39</f>
        <v>0</v>
      </c>
    </row>
    <row r="196" spans="1:13" x14ac:dyDescent="0.25">
      <c r="A196" s="78" t="s">
        <v>1142</v>
      </c>
      <c r="B196" s="93">
        <v>11</v>
      </c>
      <c r="C196" s="93">
        <v>199</v>
      </c>
      <c r="E196" t="s">
        <v>50</v>
      </c>
      <c r="F196" s="78" t="s">
        <v>15</v>
      </c>
      <c r="G196" t="s">
        <v>16</v>
      </c>
      <c r="H196" t="s">
        <v>355</v>
      </c>
      <c r="I196" t="s">
        <v>856</v>
      </c>
      <c r="J196" s="148">
        <f>'1-Patrick'!M40</f>
        <v>3.2307692307692308</v>
      </c>
      <c r="K196" s="148">
        <f>'1-Patrick'!N40</f>
        <v>2.1153846153846154</v>
      </c>
      <c r="L196" s="148">
        <f>'1-Patrick'!O40</f>
        <v>0</v>
      </c>
    </row>
    <row r="197" spans="1:13" x14ac:dyDescent="0.25">
      <c r="A197" s="78" t="s">
        <v>1142</v>
      </c>
      <c r="B197" s="93">
        <v>11</v>
      </c>
      <c r="C197" s="93">
        <v>404</v>
      </c>
      <c r="E197" t="s">
        <v>58</v>
      </c>
      <c r="F197" s="78" t="s">
        <v>11</v>
      </c>
      <c r="G197" t="s">
        <v>12</v>
      </c>
      <c r="H197" t="s">
        <v>356</v>
      </c>
      <c r="I197" t="s">
        <v>856</v>
      </c>
      <c r="J197" s="148">
        <f>'1-Patrick'!M41</f>
        <v>8.9038461538461533</v>
      </c>
      <c r="K197" s="148">
        <f>'1-Patrick'!N41</f>
        <v>2.8846153846153846</v>
      </c>
      <c r="L197" s="148">
        <f>'1-Patrick'!O41</f>
        <v>0</v>
      </c>
    </row>
    <row r="198" spans="1:13" x14ac:dyDescent="0.25">
      <c r="A198" s="78" t="s">
        <v>1142</v>
      </c>
      <c r="B198" s="93">
        <v>11</v>
      </c>
      <c r="C198" s="93">
        <v>490</v>
      </c>
      <c r="E198" t="s">
        <v>62</v>
      </c>
      <c r="F198" s="78" t="s">
        <v>25</v>
      </c>
      <c r="G198" t="s">
        <v>26</v>
      </c>
      <c r="H198" t="s">
        <v>355</v>
      </c>
      <c r="I198" t="s">
        <v>856</v>
      </c>
      <c r="J198" s="148">
        <f>'1-Patrick'!M42</f>
        <v>18.384615384615383</v>
      </c>
      <c r="K198" s="148">
        <f>'1-Patrick'!N42</f>
        <v>4.8076923076923075</v>
      </c>
      <c r="L198" s="148">
        <f>'1-Patrick'!O42</f>
        <v>0</v>
      </c>
    </row>
    <row r="199" spans="1:13" x14ac:dyDescent="0.25">
      <c r="A199" s="78" t="s">
        <v>1142</v>
      </c>
      <c r="B199" s="78">
        <v>11</v>
      </c>
      <c r="C199" s="78">
        <v>160</v>
      </c>
      <c r="D199" t="s">
        <v>216</v>
      </c>
      <c r="E199" t="s">
        <v>211</v>
      </c>
      <c r="F199" s="78" t="s">
        <v>17</v>
      </c>
      <c r="G199" t="s">
        <v>18</v>
      </c>
      <c r="H199" t="s">
        <v>1361</v>
      </c>
      <c r="I199" t="s">
        <v>838</v>
      </c>
      <c r="J199" s="148">
        <f>'1-Patrick'!M43</f>
        <v>56.9</v>
      </c>
      <c r="K199" s="148">
        <f>'1-Patrick'!N43</f>
        <v>11</v>
      </c>
      <c r="L199" s="148">
        <f>'1-Patrick'!O43</f>
        <v>0.30769230769230771</v>
      </c>
      <c r="M199" s="166">
        <f>'1-Patrick'!$R$43</f>
        <v>43952</v>
      </c>
    </row>
  </sheetData>
  <mergeCells count="1">
    <mergeCell ref="J4:K4"/>
  </mergeCells>
  <hyperlinks>
    <hyperlink ref="C183" r:id="rId1" display="392_x000a_i" xr:uid="{F48CA225-964F-43D6-8655-5E016771A41E}"/>
    <hyperlink ref="C186" r:id="rId2" display="414_x000a_i" xr:uid="{7D14B2F8-B8ED-4B6E-B2A1-784CBE984205}"/>
    <hyperlink ref="D181" r:id="rId3" xr:uid="{0E0FFC0E-BB21-4762-882D-7C3C307374B7}"/>
    <hyperlink ref="D185" r:id="rId4" xr:uid="{773582C8-FB47-485A-B69B-589A1E9058AA}"/>
    <hyperlink ref="C184" r:id="rId5" display="396_x000a_i" xr:uid="{8D8C06C6-8AE2-4522-9EF7-0F934FB2B372}"/>
    <hyperlink ref="C187" r:id="rId6" display="454_x000a_i" xr:uid="{A2EFDAE8-0F45-4CEC-97E5-4B9AD641224E}"/>
    <hyperlink ref="D176" r:id="rId7" display="Rådyrvænget_x000a_Rådyrvænget 1,Rådyrvænget 10-14_x000a_Rådyrvænget 10-14 Rådyrvænget 24-28 Rådyrvænget 36-40" xr:uid="{8A840580-0F9D-4B78-A7C5-80C0527076CC}"/>
    <hyperlink ref="E192" r:id="rId8" display="Sophie Brahes Gade 50_x000a_Sophie Brahes Gade 50" xr:uid="{D1AE1232-60E1-4EF2-B8DB-12ADA324987A}"/>
    <hyperlink ref="E193" r:id="rId9" display="Sophie Magdelenes Vej 2 B-G_x000a_Sophie Magdelenes Vej 2 B-G" xr:uid="{BAD5E806-AE50-4787-959E-A8630746B40D}"/>
    <hyperlink ref="E194" r:id="rId10" display="Sophie Magdelenes Vej 3 A-B og C-F_x000a_Sophie Magdelenes Vej 3 A-F_x000a_" xr:uid="{4FBCD756-65E7-466E-BE38-387BD32822CF}"/>
    <hyperlink ref="E195" r:id="rId11" display="Biskop Svanes Vej 71 B - H_x000a_Biskop Svanes Vej 71 B - H" xr:uid="{5322FCE6-8F90-4166-92A4-BE9C92BB528C}"/>
    <hyperlink ref="E196" r:id="rId12" display="Biskop Svanes Vej 61 A-B_x000a_Biskop Svanes Vej 61 A-B" xr:uid="{19409881-E686-4162-81DD-49665ADF4E92}"/>
    <hyperlink ref="E197" r:id="rId13" display="Sophie Brahes Gade 8-48_x000a_Sophie Brahes Gade 8-48_x000a_Hestemøllestræde 14 " xr:uid="{E08AC731-BFD1-447F-9660-3793E1A76E76}"/>
    <hyperlink ref="E198" r:id="rId14" display="Bakkehave 8-40_x000a_Bakkehave 8-40" xr:uid="{1220D448-7F00-4D5C-9536-16FCA6E2B41D}"/>
    <hyperlink ref="E190" r:id="rId15" display="Sct. Mortensgade 12-18_x000a_Lille Ellekongsstræde 1-9_x000a_Sct. Mortensgade 12-18 " xr:uid="{EBF5121D-3F6B-452C-9689-BD322B580C7E}"/>
    <hyperlink ref="E189" r:id="rId16" xr:uid="{1347707B-1105-47E7-8265-1021A19EE415}"/>
    <hyperlink ref="E191" r:id="rId17" display="Østergade 42 - 44_x000a_Østergade 42 - 44" xr:uid="{3E73CF96-09EE-464C-94D3-0D133082FBC9}"/>
  </hyperlinks>
  <pageMargins left="0.7" right="0.7" top="0.75" bottom="0.75" header="0.3" footer="0.3"/>
  <pageSetup paperSize="9" scale="39" fitToHeight="0" orientation="landscape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E256-8427-40F6-B1CF-DBB1D43BC2E2}">
  <sheetPr>
    <tabColor rgb="FF00B050"/>
  </sheetPr>
  <dimension ref="B1:G157"/>
  <sheetViews>
    <sheetView topLeftCell="A124" workbookViewId="0">
      <selection activeCell="N124" sqref="N124"/>
    </sheetView>
  </sheetViews>
  <sheetFormatPr defaultRowHeight="15" x14ac:dyDescent="0.25"/>
  <cols>
    <col min="2" max="2" width="44.5703125" customWidth="1"/>
    <col min="3" max="3" width="29.5703125" customWidth="1"/>
    <col min="6" max="6" width="16.28515625" customWidth="1"/>
    <col min="7" max="7" width="23" customWidth="1"/>
  </cols>
  <sheetData>
    <row r="1" spans="2:7" x14ac:dyDescent="0.25">
      <c r="B1" s="121" t="s">
        <v>1233</v>
      </c>
      <c r="C1" s="121" t="s">
        <v>1234</v>
      </c>
      <c r="D1" s="121" t="s">
        <v>1235</v>
      </c>
      <c r="E1" s="121" t="s">
        <v>1365</v>
      </c>
      <c r="F1" s="121" t="s">
        <v>1366</v>
      </c>
      <c r="G1" s="122" t="s">
        <v>1367</v>
      </c>
    </row>
    <row r="2" spans="2:7" x14ac:dyDescent="0.25">
      <c r="B2" s="123" t="s">
        <v>1248</v>
      </c>
      <c r="C2" s="123" t="s">
        <v>1237</v>
      </c>
      <c r="D2" s="124">
        <v>37</v>
      </c>
      <c r="E2" s="124"/>
      <c r="F2" s="123" t="s">
        <v>1368</v>
      </c>
      <c r="G2" s="125" t="s">
        <v>1369</v>
      </c>
    </row>
    <row r="3" spans="2:7" x14ac:dyDescent="0.25">
      <c r="B3" s="126" t="s">
        <v>1249</v>
      </c>
      <c r="C3" s="126" t="s">
        <v>1237</v>
      </c>
      <c r="D3" s="124">
        <v>37</v>
      </c>
      <c r="E3" s="127"/>
      <c r="F3" s="126" t="s">
        <v>1370</v>
      </c>
      <c r="G3" s="128" t="s">
        <v>1371</v>
      </c>
    </row>
    <row r="4" spans="2:7" x14ac:dyDescent="0.25">
      <c r="B4" s="123" t="s">
        <v>1238</v>
      </c>
      <c r="C4" s="123" t="s">
        <v>1237</v>
      </c>
      <c r="D4" s="124">
        <v>30</v>
      </c>
      <c r="E4" s="124"/>
      <c r="F4" s="123" t="s">
        <v>1372</v>
      </c>
      <c r="G4" s="125" t="s">
        <v>1373</v>
      </c>
    </row>
    <row r="5" spans="2:7" x14ac:dyDescent="0.25">
      <c r="B5" s="123" t="s">
        <v>1250</v>
      </c>
      <c r="C5" s="123" t="s">
        <v>1237</v>
      </c>
      <c r="D5" s="124">
        <v>37</v>
      </c>
      <c r="E5" s="124"/>
      <c r="F5" s="123" t="s">
        <v>198</v>
      </c>
      <c r="G5" s="125" t="s">
        <v>1374</v>
      </c>
    </row>
    <row r="6" spans="2:7" x14ac:dyDescent="0.25">
      <c r="B6" s="126" t="s">
        <v>1251</v>
      </c>
      <c r="C6" s="126" t="s">
        <v>1237</v>
      </c>
      <c r="D6" s="124">
        <v>37</v>
      </c>
      <c r="E6" s="127"/>
      <c r="F6" s="126" t="s">
        <v>1375</v>
      </c>
      <c r="G6" s="128" t="s">
        <v>1376</v>
      </c>
    </row>
    <row r="7" spans="2:7" x14ac:dyDescent="0.25">
      <c r="B7" s="123" t="s">
        <v>1252</v>
      </c>
      <c r="C7" s="123" t="s">
        <v>1237</v>
      </c>
      <c r="D7" s="124">
        <v>37</v>
      </c>
      <c r="E7" s="124"/>
      <c r="F7" s="123" t="s">
        <v>1377</v>
      </c>
      <c r="G7" s="125" t="s">
        <v>1378</v>
      </c>
    </row>
    <row r="8" spans="2:7" x14ac:dyDescent="0.25">
      <c r="B8" s="126" t="s">
        <v>1253</v>
      </c>
      <c r="C8" s="126" t="s">
        <v>1237</v>
      </c>
      <c r="D8" s="124">
        <v>37</v>
      </c>
      <c r="E8" s="127"/>
      <c r="F8" s="126" t="s">
        <v>1379</v>
      </c>
      <c r="G8" s="128" t="s">
        <v>1380</v>
      </c>
    </row>
    <row r="9" spans="2:7" x14ac:dyDescent="0.25">
      <c r="B9" s="123" t="s">
        <v>1254</v>
      </c>
      <c r="C9" s="123" t="s">
        <v>1237</v>
      </c>
      <c r="D9" s="124">
        <v>37</v>
      </c>
      <c r="E9" s="124"/>
      <c r="F9" s="123" t="s">
        <v>1381</v>
      </c>
      <c r="G9" s="125" t="s">
        <v>1382</v>
      </c>
    </row>
    <row r="10" spans="2:7" x14ac:dyDescent="0.25">
      <c r="B10" s="126" t="s">
        <v>1239</v>
      </c>
      <c r="C10" s="126" t="s">
        <v>1237</v>
      </c>
      <c r="D10" s="127">
        <v>30</v>
      </c>
      <c r="E10" s="127"/>
      <c r="F10" s="126" t="s">
        <v>1383</v>
      </c>
      <c r="G10" s="128" t="s">
        <v>1384</v>
      </c>
    </row>
    <row r="11" spans="2:7" x14ac:dyDescent="0.25">
      <c r="B11" s="126" t="s">
        <v>1255</v>
      </c>
      <c r="C11" s="126" t="s">
        <v>1237</v>
      </c>
      <c r="D11" s="124">
        <v>37</v>
      </c>
      <c r="E11" s="127"/>
      <c r="F11" s="126" t="s">
        <v>1385</v>
      </c>
      <c r="G11" s="128" t="s">
        <v>1386</v>
      </c>
    </row>
    <row r="12" spans="2:7" x14ac:dyDescent="0.25">
      <c r="B12" s="126" t="s">
        <v>1256</v>
      </c>
      <c r="C12" s="126" t="s">
        <v>1237</v>
      </c>
      <c r="D12" s="124">
        <v>37</v>
      </c>
      <c r="E12" s="127"/>
      <c r="F12" s="126" t="s">
        <v>1387</v>
      </c>
      <c r="G12" s="128" t="s">
        <v>1388</v>
      </c>
    </row>
    <row r="13" spans="2:7" x14ac:dyDescent="0.25">
      <c r="B13" s="123" t="s">
        <v>1245</v>
      </c>
      <c r="C13" s="123" t="s">
        <v>1237</v>
      </c>
      <c r="D13" s="124">
        <v>10</v>
      </c>
      <c r="E13" s="124"/>
      <c r="F13" s="123" t="s">
        <v>1389</v>
      </c>
      <c r="G13" s="125" t="s">
        <v>1390</v>
      </c>
    </row>
    <row r="14" spans="2:7" x14ac:dyDescent="0.25">
      <c r="B14" s="123" t="s">
        <v>1257</v>
      </c>
      <c r="C14" s="123" t="s">
        <v>1237</v>
      </c>
      <c r="D14" s="124">
        <v>37</v>
      </c>
      <c r="E14" s="124"/>
      <c r="F14" s="123" t="s">
        <v>1391</v>
      </c>
      <c r="G14" s="125" t="s">
        <v>1392</v>
      </c>
    </row>
    <row r="15" spans="2:7" x14ac:dyDescent="0.25">
      <c r="B15" s="126" t="s">
        <v>1242</v>
      </c>
      <c r="C15" s="126" t="s">
        <v>1237</v>
      </c>
      <c r="D15" s="127">
        <v>25</v>
      </c>
      <c r="E15" s="127"/>
      <c r="F15" s="126" t="s">
        <v>1393</v>
      </c>
      <c r="G15" s="128" t="s">
        <v>1394</v>
      </c>
    </row>
    <row r="16" spans="2:7" x14ac:dyDescent="0.25">
      <c r="B16" s="123" t="s">
        <v>1240</v>
      </c>
      <c r="C16" s="123" t="s">
        <v>1237</v>
      </c>
      <c r="D16" s="124">
        <v>30</v>
      </c>
      <c r="E16" s="124"/>
      <c r="F16" s="123" t="s">
        <v>1395</v>
      </c>
      <c r="G16" s="125" t="s">
        <v>1396</v>
      </c>
    </row>
    <row r="17" spans="2:7" x14ac:dyDescent="0.25">
      <c r="B17" s="126" t="s">
        <v>1258</v>
      </c>
      <c r="C17" s="126" t="s">
        <v>1237</v>
      </c>
      <c r="D17" s="124">
        <v>37</v>
      </c>
      <c r="E17" s="127"/>
      <c r="F17" s="126" t="s">
        <v>1397</v>
      </c>
      <c r="G17" s="128" t="s">
        <v>1398</v>
      </c>
    </row>
    <row r="18" spans="2:7" x14ac:dyDescent="0.25">
      <c r="B18" s="123" t="s">
        <v>1259</v>
      </c>
      <c r="C18" s="123" t="s">
        <v>1237</v>
      </c>
      <c r="D18" s="124">
        <v>37</v>
      </c>
      <c r="E18" s="124"/>
      <c r="F18" s="123" t="s">
        <v>1399</v>
      </c>
      <c r="G18" s="125" t="s">
        <v>1400</v>
      </c>
    </row>
    <row r="19" spans="2:7" x14ac:dyDescent="0.25">
      <c r="B19" s="126" t="s">
        <v>1260</v>
      </c>
      <c r="C19" s="126" t="s">
        <v>1237</v>
      </c>
      <c r="D19" s="124">
        <v>37</v>
      </c>
      <c r="E19" s="127"/>
      <c r="F19" s="126" t="s">
        <v>1401</v>
      </c>
      <c r="G19" s="128" t="s">
        <v>1402</v>
      </c>
    </row>
    <row r="20" spans="2:7" x14ac:dyDescent="0.25">
      <c r="B20" s="123" t="s">
        <v>1261</v>
      </c>
      <c r="C20" s="123" t="s">
        <v>1237</v>
      </c>
      <c r="D20" s="124">
        <v>37</v>
      </c>
      <c r="E20" s="124"/>
      <c r="F20" s="123" t="s">
        <v>1403</v>
      </c>
      <c r="G20" s="125" t="s">
        <v>1404</v>
      </c>
    </row>
    <row r="21" spans="2:7" x14ac:dyDescent="0.25">
      <c r="B21" s="126" t="s">
        <v>1262</v>
      </c>
      <c r="C21" s="126" t="s">
        <v>1237</v>
      </c>
      <c r="D21" s="124">
        <v>37</v>
      </c>
      <c r="E21" s="127"/>
      <c r="F21" s="126" t="s">
        <v>69</v>
      </c>
      <c r="G21" s="128" t="s">
        <v>1405</v>
      </c>
    </row>
    <row r="22" spans="2:7" x14ac:dyDescent="0.25">
      <c r="B22" s="123" t="s">
        <v>1263</v>
      </c>
      <c r="C22" s="123" t="s">
        <v>1237</v>
      </c>
      <c r="D22" s="124">
        <v>37</v>
      </c>
      <c r="E22" s="124"/>
      <c r="F22" s="123" t="s">
        <v>1406</v>
      </c>
      <c r="G22" s="125" t="s">
        <v>1407</v>
      </c>
    </row>
    <row r="23" spans="2:7" x14ac:dyDescent="0.25">
      <c r="B23" s="126" t="s">
        <v>1264</v>
      </c>
      <c r="C23" s="126" t="s">
        <v>1237</v>
      </c>
      <c r="D23" s="124">
        <v>37</v>
      </c>
      <c r="E23" s="127"/>
      <c r="F23" s="126" t="s">
        <v>1408</v>
      </c>
      <c r="G23" s="128" t="s">
        <v>1409</v>
      </c>
    </row>
    <row r="24" spans="2:7" x14ac:dyDescent="0.25">
      <c r="B24" s="123" t="s">
        <v>1265</v>
      </c>
      <c r="C24" s="123" t="s">
        <v>1237</v>
      </c>
      <c r="D24" s="124">
        <v>37</v>
      </c>
      <c r="E24" s="124"/>
      <c r="F24" s="123" t="s">
        <v>1410</v>
      </c>
      <c r="G24" s="125" t="s">
        <v>1411</v>
      </c>
    </row>
    <row r="25" spans="2:7" x14ac:dyDescent="0.25">
      <c r="B25" s="126" t="s">
        <v>1349</v>
      </c>
      <c r="C25" s="126" t="s">
        <v>1348</v>
      </c>
      <c r="D25" s="124">
        <v>37</v>
      </c>
      <c r="E25" s="127"/>
      <c r="F25" s="126" t="s">
        <v>1412</v>
      </c>
      <c r="G25" s="128" t="s">
        <v>1413</v>
      </c>
    </row>
    <row r="26" spans="2:7" x14ac:dyDescent="0.25">
      <c r="B26" s="123" t="s">
        <v>1266</v>
      </c>
      <c r="C26" s="123" t="s">
        <v>1237</v>
      </c>
      <c r="D26" s="124">
        <v>37</v>
      </c>
      <c r="E26" s="124"/>
      <c r="F26" s="123" t="s">
        <v>1414</v>
      </c>
      <c r="G26" s="125" t="s">
        <v>1415</v>
      </c>
    </row>
    <row r="27" spans="2:7" x14ac:dyDescent="0.25">
      <c r="B27" s="126" t="s">
        <v>1267</v>
      </c>
      <c r="C27" s="126" t="s">
        <v>1237</v>
      </c>
      <c r="D27" s="124">
        <v>37</v>
      </c>
      <c r="E27" s="127"/>
      <c r="F27" s="126" t="s">
        <v>1416</v>
      </c>
      <c r="G27" s="128" t="s">
        <v>1417</v>
      </c>
    </row>
    <row r="28" spans="2:7" x14ac:dyDescent="0.25">
      <c r="B28" s="123" t="s">
        <v>1268</v>
      </c>
      <c r="C28" s="123" t="s">
        <v>1237</v>
      </c>
      <c r="D28" s="124">
        <v>37</v>
      </c>
      <c r="E28" s="124"/>
      <c r="F28" s="123" t="s">
        <v>1418</v>
      </c>
      <c r="G28" s="125" t="s">
        <v>1419</v>
      </c>
    </row>
    <row r="29" spans="2:7" x14ac:dyDescent="0.25">
      <c r="B29" s="126" t="s">
        <v>1269</v>
      </c>
      <c r="C29" s="126" t="s">
        <v>1237</v>
      </c>
      <c r="D29" s="124">
        <v>37</v>
      </c>
      <c r="E29" s="127"/>
      <c r="F29" s="126" t="s">
        <v>1420</v>
      </c>
      <c r="G29" s="128" t="s">
        <v>1421</v>
      </c>
    </row>
    <row r="30" spans="2:7" x14ac:dyDescent="0.25">
      <c r="B30" s="123" t="s">
        <v>1270</v>
      </c>
      <c r="C30" s="123" t="s">
        <v>1237</v>
      </c>
      <c r="D30" s="124">
        <v>37</v>
      </c>
      <c r="E30" s="124"/>
      <c r="F30" s="123" t="s">
        <v>1422</v>
      </c>
      <c r="G30" s="125" t="s">
        <v>1423</v>
      </c>
    </row>
    <row r="31" spans="2:7" x14ac:dyDescent="0.25">
      <c r="B31" s="126" t="s">
        <v>1271</v>
      </c>
      <c r="C31" s="126" t="s">
        <v>1237</v>
      </c>
      <c r="D31" s="124">
        <v>37</v>
      </c>
      <c r="E31" s="127"/>
      <c r="F31" s="126" t="s">
        <v>1424</v>
      </c>
      <c r="G31" s="128" t="s">
        <v>1425</v>
      </c>
    </row>
    <row r="32" spans="2:7" x14ac:dyDescent="0.25">
      <c r="B32" s="123" t="s">
        <v>1272</v>
      </c>
      <c r="C32" s="123" t="s">
        <v>1237</v>
      </c>
      <c r="D32" s="124">
        <v>37</v>
      </c>
      <c r="E32" s="124"/>
      <c r="F32" s="123" t="s">
        <v>1426</v>
      </c>
      <c r="G32" s="125" t="s">
        <v>1427</v>
      </c>
    </row>
    <row r="33" spans="2:7" x14ac:dyDescent="0.25">
      <c r="B33" s="126" t="s">
        <v>1273</v>
      </c>
      <c r="C33" s="126" t="s">
        <v>1237</v>
      </c>
      <c r="D33" s="124">
        <v>37</v>
      </c>
      <c r="E33" s="127"/>
      <c r="F33" s="126" t="s">
        <v>1428</v>
      </c>
      <c r="G33" s="128" t="s">
        <v>1429</v>
      </c>
    </row>
    <row r="34" spans="2:7" x14ac:dyDescent="0.25">
      <c r="B34" s="126" t="s">
        <v>1274</v>
      </c>
      <c r="C34" s="126" t="s">
        <v>1237</v>
      </c>
      <c r="D34" s="124">
        <v>37</v>
      </c>
      <c r="E34" s="127"/>
      <c r="F34" s="126" t="s">
        <v>1430</v>
      </c>
      <c r="G34" s="128" t="s">
        <v>1431</v>
      </c>
    </row>
    <row r="35" spans="2:7" x14ac:dyDescent="0.25">
      <c r="B35" s="123" t="s">
        <v>1275</v>
      </c>
      <c r="C35" s="123" t="s">
        <v>1237</v>
      </c>
      <c r="D35" s="124">
        <v>37</v>
      </c>
      <c r="E35" s="124"/>
      <c r="F35" s="123" t="s">
        <v>1432</v>
      </c>
      <c r="G35" s="125" t="s">
        <v>1433</v>
      </c>
    </row>
    <row r="36" spans="2:7" x14ac:dyDescent="0.25">
      <c r="B36" s="126" t="s">
        <v>1434</v>
      </c>
      <c r="C36" s="126" t="s">
        <v>1219</v>
      </c>
      <c r="D36" s="124">
        <v>37</v>
      </c>
      <c r="E36" s="127"/>
      <c r="F36" s="126" t="s">
        <v>1435</v>
      </c>
      <c r="G36" s="128" t="s">
        <v>1436</v>
      </c>
    </row>
    <row r="37" spans="2:7" x14ac:dyDescent="0.25">
      <c r="B37" s="126" t="s">
        <v>1276</v>
      </c>
      <c r="C37" s="126" t="s">
        <v>1237</v>
      </c>
      <c r="D37" s="124">
        <v>37</v>
      </c>
      <c r="E37" s="127"/>
      <c r="F37" s="126" t="s">
        <v>1437</v>
      </c>
      <c r="G37" s="128" t="s">
        <v>1438</v>
      </c>
    </row>
    <row r="38" spans="2:7" x14ac:dyDescent="0.25">
      <c r="B38" s="126" t="s">
        <v>1277</v>
      </c>
      <c r="C38" s="126" t="s">
        <v>1237</v>
      </c>
      <c r="D38" s="124">
        <v>37</v>
      </c>
      <c r="E38" s="127"/>
      <c r="F38" s="126" t="s">
        <v>1439</v>
      </c>
      <c r="G38" s="128"/>
    </row>
    <row r="39" spans="2:7" x14ac:dyDescent="0.25">
      <c r="B39" s="123" t="s">
        <v>1278</v>
      </c>
      <c r="C39" s="123" t="s">
        <v>1237</v>
      </c>
      <c r="D39" s="124">
        <v>37</v>
      </c>
      <c r="E39" s="124"/>
      <c r="F39" s="123" t="s">
        <v>1440</v>
      </c>
      <c r="G39" s="125" t="s">
        <v>1441</v>
      </c>
    </row>
    <row r="40" spans="2:7" x14ac:dyDescent="0.25">
      <c r="B40" s="126" t="s">
        <v>487</v>
      </c>
      <c r="C40" s="126" t="s">
        <v>1348</v>
      </c>
      <c r="D40" s="124">
        <v>37</v>
      </c>
      <c r="E40" s="127"/>
      <c r="F40" s="126" t="s">
        <v>1442</v>
      </c>
      <c r="G40" s="128" t="s">
        <v>1443</v>
      </c>
    </row>
    <row r="41" spans="2:7" x14ac:dyDescent="0.25">
      <c r="B41" s="123" t="s">
        <v>1444</v>
      </c>
      <c r="C41" s="123" t="s">
        <v>1219</v>
      </c>
      <c r="D41" s="124">
        <v>37</v>
      </c>
      <c r="E41" s="124"/>
      <c r="F41" s="123" t="s">
        <v>1445</v>
      </c>
      <c r="G41" s="125" t="s">
        <v>1446</v>
      </c>
    </row>
    <row r="42" spans="2:7" x14ac:dyDescent="0.25">
      <c r="B42" s="123" t="s">
        <v>1447</v>
      </c>
      <c r="C42" s="123" t="s">
        <v>1219</v>
      </c>
      <c r="D42" s="124">
        <v>37</v>
      </c>
      <c r="E42" s="124"/>
      <c r="F42" s="123" t="s">
        <v>1448</v>
      </c>
      <c r="G42" s="125" t="s">
        <v>1449</v>
      </c>
    </row>
    <row r="43" spans="2:7" x14ac:dyDescent="0.25">
      <c r="B43" s="123" t="s">
        <v>1279</v>
      </c>
      <c r="C43" s="123" t="s">
        <v>1237</v>
      </c>
      <c r="D43" s="124">
        <v>37</v>
      </c>
      <c r="E43" s="124"/>
      <c r="F43" s="123" t="s">
        <v>1450</v>
      </c>
      <c r="G43" s="125" t="s">
        <v>1451</v>
      </c>
    </row>
    <row r="44" spans="2:7" x14ac:dyDescent="0.25">
      <c r="B44" s="123" t="s">
        <v>1452</v>
      </c>
      <c r="C44" s="123" t="s">
        <v>1219</v>
      </c>
      <c r="D44" s="124">
        <v>37</v>
      </c>
      <c r="E44" s="124"/>
      <c r="F44" s="123" t="s">
        <v>1453</v>
      </c>
      <c r="G44" s="125" t="s">
        <v>1454</v>
      </c>
    </row>
    <row r="45" spans="2:7" x14ac:dyDescent="0.25">
      <c r="B45" s="123" t="s">
        <v>1280</v>
      </c>
      <c r="C45" s="123" t="s">
        <v>1237</v>
      </c>
      <c r="D45" s="124">
        <v>37</v>
      </c>
      <c r="E45" s="124"/>
      <c r="F45" s="123" t="s">
        <v>1455</v>
      </c>
      <c r="G45" s="125" t="s">
        <v>1456</v>
      </c>
    </row>
    <row r="46" spans="2:7" x14ac:dyDescent="0.25">
      <c r="B46" s="123" t="s">
        <v>1281</v>
      </c>
      <c r="C46" s="123" t="s">
        <v>1237</v>
      </c>
      <c r="D46" s="124">
        <v>37</v>
      </c>
      <c r="E46" s="124"/>
      <c r="F46" s="123" t="s">
        <v>1457</v>
      </c>
      <c r="G46" s="125" t="s">
        <v>1458</v>
      </c>
    </row>
    <row r="47" spans="2:7" x14ac:dyDescent="0.25">
      <c r="B47" s="126" t="s">
        <v>1350</v>
      </c>
      <c r="C47" s="126" t="s">
        <v>1348</v>
      </c>
      <c r="D47" s="124">
        <v>37</v>
      </c>
      <c r="E47" s="127"/>
      <c r="F47" s="126" t="s">
        <v>1459</v>
      </c>
      <c r="G47" s="128" t="s">
        <v>1460</v>
      </c>
    </row>
    <row r="48" spans="2:7" x14ac:dyDescent="0.25">
      <c r="B48" s="126" t="s">
        <v>1282</v>
      </c>
      <c r="C48" s="126" t="s">
        <v>1237</v>
      </c>
      <c r="D48" s="124">
        <v>37</v>
      </c>
      <c r="E48" s="127"/>
      <c r="F48" s="126" t="s">
        <v>1461</v>
      </c>
      <c r="G48" s="128" t="s">
        <v>1462</v>
      </c>
    </row>
    <row r="49" spans="2:7" x14ac:dyDescent="0.25">
      <c r="B49" s="123" t="s">
        <v>1283</v>
      </c>
      <c r="C49" s="123" t="s">
        <v>1237</v>
      </c>
      <c r="D49" s="124">
        <v>37</v>
      </c>
      <c r="E49" s="124"/>
      <c r="F49" s="123" t="s">
        <v>1463</v>
      </c>
      <c r="G49" s="125" t="s">
        <v>1464</v>
      </c>
    </row>
    <row r="50" spans="2:7" x14ac:dyDescent="0.25">
      <c r="B50" s="123" t="s">
        <v>1284</v>
      </c>
      <c r="C50" s="123" t="s">
        <v>1237</v>
      </c>
      <c r="D50" s="124">
        <v>37</v>
      </c>
      <c r="E50" s="124"/>
      <c r="F50" s="123" t="s">
        <v>1465</v>
      </c>
      <c r="G50" s="125" t="s">
        <v>1466</v>
      </c>
    </row>
    <row r="51" spans="2:7" x14ac:dyDescent="0.25">
      <c r="B51" s="123" t="s">
        <v>1285</v>
      </c>
      <c r="C51" s="123" t="s">
        <v>1237</v>
      </c>
      <c r="D51" s="124">
        <v>37</v>
      </c>
      <c r="E51" s="124"/>
      <c r="F51" s="123" t="s">
        <v>1467</v>
      </c>
      <c r="G51" s="125" t="s">
        <v>1468</v>
      </c>
    </row>
    <row r="52" spans="2:7" x14ac:dyDescent="0.25">
      <c r="B52" s="123" t="s">
        <v>1469</v>
      </c>
      <c r="C52" s="123" t="s">
        <v>1219</v>
      </c>
      <c r="D52" s="124">
        <v>37</v>
      </c>
      <c r="E52" s="124"/>
      <c r="F52" s="123" t="s">
        <v>1470</v>
      </c>
      <c r="G52" s="125" t="s">
        <v>1471</v>
      </c>
    </row>
    <row r="53" spans="2:7" x14ac:dyDescent="0.25">
      <c r="B53" s="123" t="s">
        <v>1286</v>
      </c>
      <c r="C53" s="123" t="s">
        <v>1237</v>
      </c>
      <c r="D53" s="124">
        <v>37</v>
      </c>
      <c r="E53" s="124"/>
      <c r="F53" s="123" t="s">
        <v>1472</v>
      </c>
      <c r="G53" s="125" t="s">
        <v>1473</v>
      </c>
    </row>
    <row r="54" spans="2:7" x14ac:dyDescent="0.25">
      <c r="B54" s="126" t="s">
        <v>1351</v>
      </c>
      <c r="C54" s="126" t="s">
        <v>1348</v>
      </c>
      <c r="D54" s="124">
        <v>37</v>
      </c>
      <c r="E54" s="127"/>
      <c r="F54" s="126" t="s">
        <v>1474</v>
      </c>
      <c r="G54" s="128"/>
    </row>
    <row r="55" spans="2:7" x14ac:dyDescent="0.25">
      <c r="B55" s="126" t="s">
        <v>359</v>
      </c>
      <c r="C55" s="126" t="s">
        <v>1348</v>
      </c>
      <c r="D55" s="124">
        <v>37</v>
      </c>
      <c r="E55" s="127"/>
      <c r="F55" s="126" t="s">
        <v>1475</v>
      </c>
      <c r="G55" s="128"/>
    </row>
    <row r="56" spans="2:7" x14ac:dyDescent="0.25">
      <c r="B56" s="123" t="s">
        <v>1287</v>
      </c>
      <c r="C56" s="123" t="s">
        <v>1237</v>
      </c>
      <c r="D56" s="124">
        <v>37</v>
      </c>
      <c r="E56" s="124"/>
      <c r="F56" s="123" t="s">
        <v>1476</v>
      </c>
      <c r="G56" s="125"/>
    </row>
    <row r="57" spans="2:7" x14ac:dyDescent="0.25">
      <c r="B57" s="126" t="s">
        <v>1288</v>
      </c>
      <c r="C57" s="126" t="s">
        <v>1237</v>
      </c>
      <c r="D57" s="124">
        <v>37</v>
      </c>
      <c r="E57" s="127"/>
      <c r="F57" s="126" t="s">
        <v>1477</v>
      </c>
      <c r="G57" s="128" t="s">
        <v>1478</v>
      </c>
    </row>
    <row r="58" spans="2:7" x14ac:dyDescent="0.25">
      <c r="B58" s="126" t="s">
        <v>1479</v>
      </c>
      <c r="C58" s="126" t="s">
        <v>1219</v>
      </c>
      <c r="D58" s="124">
        <v>37</v>
      </c>
      <c r="E58" s="127"/>
      <c r="F58" s="126" t="s">
        <v>1480</v>
      </c>
      <c r="G58" s="128" t="s">
        <v>1481</v>
      </c>
    </row>
    <row r="59" spans="2:7" x14ac:dyDescent="0.25">
      <c r="B59" s="123" t="s">
        <v>1244</v>
      </c>
      <c r="C59" s="123" t="s">
        <v>1237</v>
      </c>
      <c r="D59" s="124">
        <v>20</v>
      </c>
      <c r="E59" s="124"/>
      <c r="F59" s="123" t="s">
        <v>1482</v>
      </c>
      <c r="G59" s="125" t="s">
        <v>1483</v>
      </c>
    </row>
    <row r="60" spans="2:7" x14ac:dyDescent="0.25">
      <c r="B60" s="126" t="s">
        <v>1230</v>
      </c>
      <c r="C60" s="126" t="s">
        <v>1237</v>
      </c>
      <c r="D60" s="124">
        <v>37</v>
      </c>
      <c r="E60" s="127"/>
      <c r="F60" s="126" t="s">
        <v>1484</v>
      </c>
      <c r="G60" s="128" t="s">
        <v>1485</v>
      </c>
    </row>
    <row r="61" spans="2:7" x14ac:dyDescent="0.25">
      <c r="B61" s="123" t="s">
        <v>1289</v>
      </c>
      <c r="C61" s="123" t="s">
        <v>1237</v>
      </c>
      <c r="D61" s="124">
        <v>37</v>
      </c>
      <c r="E61" s="124"/>
      <c r="F61" s="123" t="s">
        <v>1486</v>
      </c>
      <c r="G61" s="125" t="s">
        <v>1487</v>
      </c>
    </row>
    <row r="62" spans="2:7" x14ac:dyDescent="0.25">
      <c r="B62" s="123" t="s">
        <v>1290</v>
      </c>
      <c r="C62" s="123" t="s">
        <v>1237</v>
      </c>
      <c r="D62" s="124">
        <v>37</v>
      </c>
      <c r="E62" s="124"/>
      <c r="F62" s="123" t="s">
        <v>1488</v>
      </c>
      <c r="G62" s="125" t="s">
        <v>1489</v>
      </c>
    </row>
    <row r="63" spans="2:7" x14ac:dyDescent="0.25">
      <c r="B63" s="126" t="s">
        <v>488</v>
      </c>
      <c r="C63" s="126" t="s">
        <v>1348</v>
      </c>
      <c r="D63" s="124">
        <v>37</v>
      </c>
      <c r="E63" s="127"/>
      <c r="F63" s="126" t="s">
        <v>1490</v>
      </c>
      <c r="G63" s="128" t="s">
        <v>1491</v>
      </c>
    </row>
    <row r="64" spans="2:7" x14ac:dyDescent="0.25">
      <c r="B64" s="123" t="s">
        <v>1291</v>
      </c>
      <c r="C64" s="123" t="s">
        <v>1237</v>
      </c>
      <c r="D64" s="124">
        <v>37</v>
      </c>
      <c r="E64" s="124"/>
      <c r="F64" s="123" t="s">
        <v>1492</v>
      </c>
      <c r="G64" s="125" t="s">
        <v>1493</v>
      </c>
    </row>
    <row r="65" spans="2:7" x14ac:dyDescent="0.25">
      <c r="B65" s="126" t="s">
        <v>1292</v>
      </c>
      <c r="C65" s="126" t="s">
        <v>1237</v>
      </c>
      <c r="D65" s="124">
        <v>37</v>
      </c>
      <c r="E65" s="127"/>
      <c r="F65" s="126" t="s">
        <v>1494</v>
      </c>
      <c r="G65" s="128" t="s">
        <v>1495</v>
      </c>
    </row>
    <row r="66" spans="2:7" x14ac:dyDescent="0.25">
      <c r="B66" s="126" t="s">
        <v>1293</v>
      </c>
      <c r="C66" s="126" t="s">
        <v>1237</v>
      </c>
      <c r="D66" s="124">
        <v>37</v>
      </c>
      <c r="E66" s="127"/>
      <c r="F66" s="126" t="s">
        <v>1496</v>
      </c>
      <c r="G66" s="128" t="s">
        <v>1497</v>
      </c>
    </row>
    <row r="67" spans="2:7" x14ac:dyDescent="0.25">
      <c r="B67" s="123" t="s">
        <v>1241</v>
      </c>
      <c r="C67" s="123" t="s">
        <v>1237</v>
      </c>
      <c r="D67" s="124">
        <v>30</v>
      </c>
      <c r="E67" s="124"/>
      <c r="F67" s="123" t="s">
        <v>1498</v>
      </c>
      <c r="G67" s="125" t="s">
        <v>1499</v>
      </c>
    </row>
    <row r="68" spans="2:7" x14ac:dyDescent="0.25">
      <c r="B68" s="126" t="s">
        <v>1294</v>
      </c>
      <c r="C68" s="126" t="s">
        <v>1237</v>
      </c>
      <c r="D68" s="124">
        <v>37</v>
      </c>
      <c r="E68" s="127"/>
      <c r="F68" s="126" t="s">
        <v>1500</v>
      </c>
      <c r="G68" s="128" t="s">
        <v>1501</v>
      </c>
    </row>
    <row r="69" spans="2:7" x14ac:dyDescent="0.25">
      <c r="B69" s="126" t="s">
        <v>1295</v>
      </c>
      <c r="C69" s="126" t="s">
        <v>1237</v>
      </c>
      <c r="D69" s="124">
        <v>37</v>
      </c>
      <c r="E69" s="127"/>
      <c r="F69" s="126" t="s">
        <v>1502</v>
      </c>
      <c r="G69" s="128" t="s">
        <v>1503</v>
      </c>
    </row>
    <row r="70" spans="2:7" x14ac:dyDescent="0.25">
      <c r="B70" s="126" t="s">
        <v>1296</v>
      </c>
      <c r="C70" s="126" t="s">
        <v>1237</v>
      </c>
      <c r="D70" s="124">
        <v>37</v>
      </c>
      <c r="E70" s="127"/>
      <c r="F70" s="126" t="s">
        <v>1504</v>
      </c>
      <c r="G70" s="128" t="s">
        <v>1505</v>
      </c>
    </row>
    <row r="71" spans="2:7" x14ac:dyDescent="0.25">
      <c r="B71" s="123" t="s">
        <v>411</v>
      </c>
      <c r="C71" s="123" t="s">
        <v>1348</v>
      </c>
      <c r="D71" s="124">
        <v>37</v>
      </c>
      <c r="E71" s="124"/>
      <c r="F71" s="123" t="s">
        <v>1506</v>
      </c>
      <c r="G71" s="125"/>
    </row>
    <row r="72" spans="2:7" x14ac:dyDescent="0.25">
      <c r="B72" s="123" t="s">
        <v>1297</v>
      </c>
      <c r="C72" s="123" t="s">
        <v>1237</v>
      </c>
      <c r="D72" s="124">
        <v>37</v>
      </c>
      <c r="E72" s="124"/>
      <c r="F72" s="123" t="s">
        <v>1507</v>
      </c>
      <c r="G72" s="125" t="s">
        <v>1508</v>
      </c>
    </row>
    <row r="73" spans="2:7" x14ac:dyDescent="0.25">
      <c r="B73" s="126" t="s">
        <v>1298</v>
      </c>
      <c r="C73" s="126" t="s">
        <v>1237</v>
      </c>
      <c r="D73" s="124">
        <v>37</v>
      </c>
      <c r="E73" s="127"/>
      <c r="F73" s="126" t="s">
        <v>1509</v>
      </c>
      <c r="G73" s="128" t="s">
        <v>1510</v>
      </c>
    </row>
    <row r="74" spans="2:7" x14ac:dyDescent="0.25">
      <c r="B74" s="123" t="s">
        <v>486</v>
      </c>
      <c r="C74" s="123" t="s">
        <v>1348</v>
      </c>
      <c r="D74" s="124">
        <v>37</v>
      </c>
      <c r="E74" s="124"/>
      <c r="F74" s="123" t="s">
        <v>1511</v>
      </c>
      <c r="G74" s="125" t="s">
        <v>1512</v>
      </c>
    </row>
    <row r="75" spans="2:7" x14ac:dyDescent="0.25">
      <c r="B75" s="126" t="s">
        <v>1299</v>
      </c>
      <c r="C75" s="126" t="s">
        <v>1237</v>
      </c>
      <c r="D75" s="124">
        <v>37</v>
      </c>
      <c r="E75" s="127"/>
      <c r="F75" s="126" t="s">
        <v>1513</v>
      </c>
      <c r="G75" s="128" t="s">
        <v>1514</v>
      </c>
    </row>
    <row r="76" spans="2:7" x14ac:dyDescent="0.25">
      <c r="B76" s="123" t="s">
        <v>1300</v>
      </c>
      <c r="C76" s="123" t="s">
        <v>1237</v>
      </c>
      <c r="D76" s="124">
        <v>37</v>
      </c>
      <c r="E76" s="124"/>
      <c r="F76" s="123" t="s">
        <v>1515</v>
      </c>
      <c r="G76" s="125" t="s">
        <v>1516</v>
      </c>
    </row>
    <row r="77" spans="2:7" x14ac:dyDescent="0.25">
      <c r="B77" s="126" t="s">
        <v>1301</v>
      </c>
      <c r="C77" s="126" t="s">
        <v>1237</v>
      </c>
      <c r="D77" s="124">
        <v>37</v>
      </c>
      <c r="E77" s="127"/>
      <c r="F77" s="126" t="s">
        <v>1517</v>
      </c>
      <c r="G77" s="128" t="s">
        <v>1518</v>
      </c>
    </row>
    <row r="78" spans="2:7" x14ac:dyDescent="0.25">
      <c r="B78" s="126" t="s">
        <v>1302</v>
      </c>
      <c r="C78" s="126" t="s">
        <v>1237</v>
      </c>
      <c r="D78" s="124">
        <v>37</v>
      </c>
      <c r="E78" s="127"/>
      <c r="F78" s="126" t="s">
        <v>1519</v>
      </c>
      <c r="G78" s="128" t="s">
        <v>1520</v>
      </c>
    </row>
    <row r="79" spans="2:7" x14ac:dyDescent="0.25">
      <c r="B79" s="123" t="s">
        <v>1347</v>
      </c>
      <c r="C79" s="123" t="s">
        <v>1348</v>
      </c>
      <c r="D79" s="124">
        <v>20</v>
      </c>
      <c r="E79" s="124"/>
      <c r="F79" s="123" t="s">
        <v>1521</v>
      </c>
      <c r="G79" s="125"/>
    </row>
    <row r="80" spans="2:7" x14ac:dyDescent="0.25">
      <c r="B80" s="123" t="s">
        <v>1522</v>
      </c>
      <c r="C80" s="123" t="s">
        <v>1219</v>
      </c>
      <c r="D80" s="124">
        <v>37</v>
      </c>
      <c r="E80" s="124"/>
      <c r="F80" s="123" t="s">
        <v>1523</v>
      </c>
      <c r="G80" s="125" t="s">
        <v>1524</v>
      </c>
    </row>
    <row r="81" spans="2:7" x14ac:dyDescent="0.25">
      <c r="B81" s="123" t="s">
        <v>1525</v>
      </c>
      <c r="C81" s="123" t="s">
        <v>1219</v>
      </c>
      <c r="D81" s="124">
        <v>37</v>
      </c>
      <c r="E81" s="124"/>
      <c r="F81" s="123" t="s">
        <v>1526</v>
      </c>
      <c r="G81" s="125"/>
    </row>
    <row r="82" spans="2:7" x14ac:dyDescent="0.25">
      <c r="B82" s="126" t="s">
        <v>1352</v>
      </c>
      <c r="C82" s="126" t="s">
        <v>1348</v>
      </c>
      <c r="D82" s="124">
        <v>37</v>
      </c>
      <c r="E82" s="127"/>
      <c r="F82" s="126" t="s">
        <v>1527</v>
      </c>
      <c r="G82" s="128" t="s">
        <v>1528</v>
      </c>
    </row>
    <row r="83" spans="2:7" x14ac:dyDescent="0.25">
      <c r="B83" s="123" t="s">
        <v>1303</v>
      </c>
      <c r="C83" s="123" t="s">
        <v>1237</v>
      </c>
      <c r="D83" s="124">
        <v>37</v>
      </c>
      <c r="E83" s="124"/>
      <c r="F83" s="123" t="s">
        <v>1529</v>
      </c>
      <c r="G83" s="125" t="s">
        <v>1530</v>
      </c>
    </row>
    <row r="84" spans="2:7" x14ac:dyDescent="0.25">
      <c r="B84" s="126" t="s">
        <v>1304</v>
      </c>
      <c r="C84" s="126" t="s">
        <v>1237</v>
      </c>
      <c r="D84" s="124">
        <v>37</v>
      </c>
      <c r="E84" s="127"/>
      <c r="F84" s="126" t="s">
        <v>1531</v>
      </c>
      <c r="G84" s="128"/>
    </row>
    <row r="85" spans="2:7" x14ac:dyDescent="0.25">
      <c r="B85" s="123" t="s">
        <v>1247</v>
      </c>
      <c r="C85" s="123" t="s">
        <v>1237</v>
      </c>
      <c r="D85" s="124">
        <v>2.5</v>
      </c>
      <c r="E85" s="124"/>
      <c r="F85" s="123" t="s">
        <v>1532</v>
      </c>
      <c r="G85" s="125"/>
    </row>
    <row r="86" spans="2:7" x14ac:dyDescent="0.25">
      <c r="B86" s="126" t="s">
        <v>1305</v>
      </c>
      <c r="C86" s="126" t="s">
        <v>1237</v>
      </c>
      <c r="D86" s="124">
        <v>37</v>
      </c>
      <c r="E86" s="127"/>
      <c r="F86" s="126" t="s">
        <v>1533</v>
      </c>
      <c r="G86" s="128"/>
    </row>
    <row r="87" spans="2:7" x14ac:dyDescent="0.25">
      <c r="B87" s="123" t="s">
        <v>1306</v>
      </c>
      <c r="C87" s="123" t="s">
        <v>1237</v>
      </c>
      <c r="D87" s="124">
        <v>37</v>
      </c>
      <c r="E87" s="124"/>
      <c r="F87" s="123" t="s">
        <v>1534</v>
      </c>
      <c r="G87" s="125" t="s">
        <v>1535</v>
      </c>
    </row>
    <row r="88" spans="2:7" x14ac:dyDescent="0.25">
      <c r="B88" s="126" t="s">
        <v>1307</v>
      </c>
      <c r="C88" s="126" t="s">
        <v>1237</v>
      </c>
      <c r="D88" s="124">
        <v>37</v>
      </c>
      <c r="E88" s="127"/>
      <c r="F88" s="126" t="s">
        <v>1536</v>
      </c>
      <c r="G88" s="128" t="s">
        <v>1537</v>
      </c>
    </row>
    <row r="89" spans="2:7" x14ac:dyDescent="0.25">
      <c r="B89" s="126" t="s">
        <v>1538</v>
      </c>
      <c r="C89" s="126" t="s">
        <v>1219</v>
      </c>
      <c r="D89" s="124">
        <v>37</v>
      </c>
      <c r="E89" s="127"/>
      <c r="F89" s="126" t="s">
        <v>1539</v>
      </c>
      <c r="G89" s="128" t="s">
        <v>1540</v>
      </c>
    </row>
    <row r="90" spans="2:7" x14ac:dyDescent="0.25">
      <c r="B90" s="123" t="s">
        <v>1353</v>
      </c>
      <c r="C90" s="123" t="s">
        <v>1237</v>
      </c>
      <c r="D90" s="124">
        <v>37</v>
      </c>
      <c r="E90" s="124"/>
      <c r="F90" s="123" t="s">
        <v>1541</v>
      </c>
      <c r="G90" s="125"/>
    </row>
    <row r="91" spans="2:7" x14ac:dyDescent="0.25">
      <c r="B91" s="126" t="s">
        <v>1353</v>
      </c>
      <c r="C91" s="126" t="s">
        <v>1348</v>
      </c>
      <c r="D91" s="124">
        <v>37</v>
      </c>
      <c r="E91" s="127"/>
      <c r="F91" s="126" t="s">
        <v>1542</v>
      </c>
      <c r="G91" s="128" t="s">
        <v>1543</v>
      </c>
    </row>
    <row r="92" spans="2:7" x14ac:dyDescent="0.25">
      <c r="B92" s="123" t="s">
        <v>1544</v>
      </c>
      <c r="C92" s="123" t="s">
        <v>1219</v>
      </c>
      <c r="D92" s="124">
        <v>37</v>
      </c>
      <c r="E92" s="124"/>
      <c r="F92" s="123" t="s">
        <v>1545</v>
      </c>
      <c r="G92" s="125" t="s">
        <v>1546</v>
      </c>
    </row>
    <row r="93" spans="2:7" x14ac:dyDescent="0.25">
      <c r="B93" s="126" t="s">
        <v>1308</v>
      </c>
      <c r="C93" s="126" t="s">
        <v>1237</v>
      </c>
      <c r="D93" s="124">
        <v>37</v>
      </c>
      <c r="E93" s="127"/>
      <c r="F93" s="126" t="s">
        <v>1547</v>
      </c>
      <c r="G93" s="128" t="s">
        <v>1548</v>
      </c>
    </row>
    <row r="94" spans="2:7" x14ac:dyDescent="0.25">
      <c r="B94" s="126" t="s">
        <v>1309</v>
      </c>
      <c r="C94" s="126" t="s">
        <v>1237</v>
      </c>
      <c r="D94" s="124">
        <v>37</v>
      </c>
      <c r="E94" s="127"/>
      <c r="F94" s="126" t="s">
        <v>1549</v>
      </c>
      <c r="G94" s="128" t="s">
        <v>1550</v>
      </c>
    </row>
    <row r="95" spans="2:7" x14ac:dyDescent="0.25">
      <c r="B95" s="123" t="s">
        <v>1551</v>
      </c>
      <c r="C95" s="123" t="s">
        <v>1219</v>
      </c>
      <c r="D95" s="124">
        <v>37</v>
      </c>
      <c r="E95" s="124"/>
      <c r="F95" s="123" t="s">
        <v>1552</v>
      </c>
      <c r="G95" s="125" t="s">
        <v>1553</v>
      </c>
    </row>
    <row r="96" spans="2:7" x14ac:dyDescent="0.25">
      <c r="B96" s="126" t="s">
        <v>1243</v>
      </c>
      <c r="C96" s="126" t="s">
        <v>1237</v>
      </c>
      <c r="D96" s="127">
        <v>25</v>
      </c>
      <c r="E96" s="127"/>
      <c r="F96" s="126" t="s">
        <v>1554</v>
      </c>
      <c r="G96" s="128" t="s">
        <v>1555</v>
      </c>
    </row>
    <row r="97" spans="2:7" x14ac:dyDescent="0.25">
      <c r="B97" s="123" t="s">
        <v>1556</v>
      </c>
      <c r="C97" s="123" t="s">
        <v>1219</v>
      </c>
      <c r="D97" s="124">
        <v>37</v>
      </c>
      <c r="E97" s="124"/>
      <c r="F97" s="123" t="s">
        <v>1557</v>
      </c>
      <c r="G97" s="125"/>
    </row>
    <row r="98" spans="2:7" x14ac:dyDescent="0.25">
      <c r="B98" s="126" t="s">
        <v>1310</v>
      </c>
      <c r="C98" s="126" t="s">
        <v>1237</v>
      </c>
      <c r="D98" s="124">
        <v>37</v>
      </c>
      <c r="E98" s="127"/>
      <c r="F98" s="126" t="s">
        <v>1558</v>
      </c>
      <c r="G98" s="128" t="s">
        <v>1559</v>
      </c>
    </row>
    <row r="99" spans="2:7" x14ac:dyDescent="0.25">
      <c r="B99" s="126" t="s">
        <v>1560</v>
      </c>
      <c r="C99" s="126" t="s">
        <v>1219</v>
      </c>
      <c r="D99" s="124">
        <v>37</v>
      </c>
      <c r="E99" s="127"/>
      <c r="F99" s="126" t="s">
        <v>1561</v>
      </c>
      <c r="G99" s="128"/>
    </row>
    <row r="100" spans="2:7" x14ac:dyDescent="0.25">
      <c r="B100" s="123" t="s">
        <v>1311</v>
      </c>
      <c r="C100" s="123" t="s">
        <v>1237</v>
      </c>
      <c r="D100" s="124">
        <v>37</v>
      </c>
      <c r="E100" s="124"/>
      <c r="F100" s="123" t="s">
        <v>1562</v>
      </c>
      <c r="G100" s="125" t="s">
        <v>1563</v>
      </c>
    </row>
    <row r="101" spans="2:7" x14ac:dyDescent="0.25">
      <c r="B101" s="126" t="s">
        <v>1312</v>
      </c>
      <c r="C101" s="126" t="s">
        <v>1237</v>
      </c>
      <c r="D101" s="124">
        <v>37</v>
      </c>
      <c r="E101" s="127"/>
      <c r="F101" s="126" t="s">
        <v>1564</v>
      </c>
      <c r="G101" s="128" t="s">
        <v>1565</v>
      </c>
    </row>
    <row r="102" spans="2:7" x14ac:dyDescent="0.25">
      <c r="B102" s="123" t="s">
        <v>1566</v>
      </c>
      <c r="C102" s="123" t="s">
        <v>1219</v>
      </c>
      <c r="D102" s="124">
        <v>37</v>
      </c>
      <c r="E102" s="124"/>
      <c r="F102" s="123" t="s">
        <v>1567</v>
      </c>
      <c r="G102" s="125" t="s">
        <v>1568</v>
      </c>
    </row>
    <row r="103" spans="2:7" x14ac:dyDescent="0.25">
      <c r="B103" s="123" t="s">
        <v>1313</v>
      </c>
      <c r="C103" s="123" t="s">
        <v>1237</v>
      </c>
      <c r="D103" s="124">
        <v>37</v>
      </c>
      <c r="E103" s="124"/>
      <c r="F103" s="123" t="s">
        <v>1569</v>
      </c>
      <c r="G103" s="125" t="s">
        <v>1570</v>
      </c>
    </row>
    <row r="104" spans="2:7" x14ac:dyDescent="0.25">
      <c r="B104" s="123" t="s">
        <v>1034</v>
      </c>
      <c r="C104" s="123" t="s">
        <v>1237</v>
      </c>
      <c r="D104" s="124">
        <v>37</v>
      </c>
      <c r="E104" s="124"/>
      <c r="F104" s="123" t="s">
        <v>1571</v>
      </c>
      <c r="G104" s="125" t="s">
        <v>1572</v>
      </c>
    </row>
    <row r="105" spans="2:7" x14ac:dyDescent="0.25">
      <c r="B105" s="126" t="s">
        <v>1314</v>
      </c>
      <c r="C105" s="126" t="s">
        <v>1237</v>
      </c>
      <c r="D105" s="124">
        <v>37</v>
      </c>
      <c r="E105" s="127"/>
      <c r="F105" s="126" t="s">
        <v>1573</v>
      </c>
      <c r="G105" s="128" t="s">
        <v>1574</v>
      </c>
    </row>
    <row r="106" spans="2:7" x14ac:dyDescent="0.25">
      <c r="B106" s="123" t="s">
        <v>1315</v>
      </c>
      <c r="C106" s="123" t="s">
        <v>1237</v>
      </c>
      <c r="D106" s="124">
        <v>37</v>
      </c>
      <c r="E106" s="124"/>
      <c r="F106" s="123" t="s">
        <v>1575</v>
      </c>
      <c r="G106" s="125" t="s">
        <v>1576</v>
      </c>
    </row>
    <row r="107" spans="2:7" x14ac:dyDescent="0.25">
      <c r="B107" s="123" t="s">
        <v>410</v>
      </c>
      <c r="C107" s="123" t="s">
        <v>1348</v>
      </c>
      <c r="D107" s="124">
        <v>37</v>
      </c>
      <c r="E107" s="124"/>
      <c r="F107" s="123" t="s">
        <v>1577</v>
      </c>
      <c r="G107" s="125"/>
    </row>
    <row r="108" spans="2:7" x14ac:dyDescent="0.25">
      <c r="B108" s="123" t="s">
        <v>1316</v>
      </c>
      <c r="C108" s="123" t="s">
        <v>1237</v>
      </c>
      <c r="D108" s="124">
        <v>37</v>
      </c>
      <c r="E108" s="124"/>
      <c r="F108" s="123" t="s">
        <v>1578</v>
      </c>
      <c r="G108" s="125"/>
    </row>
    <row r="109" spans="2:7" x14ac:dyDescent="0.25">
      <c r="B109" s="126" t="s">
        <v>1579</v>
      </c>
      <c r="C109" s="126" t="s">
        <v>1219</v>
      </c>
      <c r="D109" s="124">
        <v>37</v>
      </c>
      <c r="E109" s="127"/>
      <c r="F109" s="126" t="s">
        <v>1580</v>
      </c>
      <c r="G109" s="128"/>
    </row>
    <row r="110" spans="2:7" x14ac:dyDescent="0.25">
      <c r="B110" s="126" t="s">
        <v>1317</v>
      </c>
      <c r="C110" s="126" t="s">
        <v>1237</v>
      </c>
      <c r="D110" s="124">
        <v>37</v>
      </c>
      <c r="E110" s="127"/>
      <c r="F110" s="126" t="s">
        <v>1581</v>
      </c>
      <c r="G110" s="128" t="s">
        <v>1582</v>
      </c>
    </row>
    <row r="111" spans="2:7" x14ac:dyDescent="0.25">
      <c r="B111" s="126" t="s">
        <v>1354</v>
      </c>
      <c r="C111" s="126" t="s">
        <v>1348</v>
      </c>
      <c r="D111" s="124">
        <v>37</v>
      </c>
      <c r="E111" s="127"/>
      <c r="F111" s="126" t="s">
        <v>1583</v>
      </c>
      <c r="G111" s="128"/>
    </row>
    <row r="112" spans="2:7" x14ac:dyDescent="0.25">
      <c r="B112" s="123" t="s">
        <v>1318</v>
      </c>
      <c r="C112" s="123" t="s">
        <v>1237</v>
      </c>
      <c r="D112" s="124">
        <v>37</v>
      </c>
      <c r="E112" s="124"/>
      <c r="F112" s="123" t="s">
        <v>1584</v>
      </c>
      <c r="G112" s="125" t="s">
        <v>1585</v>
      </c>
    </row>
    <row r="113" spans="2:7" x14ac:dyDescent="0.25">
      <c r="B113" s="123" t="s">
        <v>1355</v>
      </c>
      <c r="C113" s="123" t="s">
        <v>1348</v>
      </c>
      <c r="D113" s="124">
        <v>37</v>
      </c>
      <c r="E113" s="124"/>
      <c r="F113" s="123" t="s">
        <v>1586</v>
      </c>
      <c r="G113" s="125"/>
    </row>
    <row r="114" spans="2:7" x14ac:dyDescent="0.25">
      <c r="B114" s="123" t="s">
        <v>1319</v>
      </c>
      <c r="C114" s="123" t="s">
        <v>1237</v>
      </c>
      <c r="D114" s="124">
        <v>37</v>
      </c>
      <c r="E114" s="124"/>
      <c r="F114" s="123" t="s">
        <v>1587</v>
      </c>
      <c r="G114" s="125" t="s">
        <v>1588</v>
      </c>
    </row>
    <row r="115" spans="2:7" x14ac:dyDescent="0.25">
      <c r="B115" s="123" t="s">
        <v>1589</v>
      </c>
      <c r="C115" s="123" t="s">
        <v>1219</v>
      </c>
      <c r="D115" s="124">
        <v>37</v>
      </c>
      <c r="E115" s="124"/>
      <c r="F115" s="123" t="s">
        <v>1590</v>
      </c>
      <c r="G115" s="125" t="s">
        <v>1591</v>
      </c>
    </row>
    <row r="116" spans="2:7" x14ac:dyDescent="0.25">
      <c r="B116" s="123" t="s">
        <v>1320</v>
      </c>
      <c r="C116" s="123" t="s">
        <v>1237</v>
      </c>
      <c r="D116" s="124">
        <v>37</v>
      </c>
      <c r="E116" s="124"/>
      <c r="F116" s="123" t="s">
        <v>1592</v>
      </c>
      <c r="G116" s="125" t="s">
        <v>1593</v>
      </c>
    </row>
    <row r="117" spans="2:7" x14ac:dyDescent="0.25">
      <c r="B117" s="126" t="s">
        <v>1594</v>
      </c>
      <c r="C117" s="126" t="s">
        <v>1219</v>
      </c>
      <c r="D117" s="124">
        <v>37</v>
      </c>
      <c r="E117" s="127"/>
      <c r="F117" s="126" t="s">
        <v>1595</v>
      </c>
      <c r="G117" s="128" t="s">
        <v>1596</v>
      </c>
    </row>
    <row r="118" spans="2:7" x14ac:dyDescent="0.25">
      <c r="B118" s="123" t="s">
        <v>1246</v>
      </c>
      <c r="C118" s="123" t="s">
        <v>1237</v>
      </c>
      <c r="D118" s="124">
        <v>4</v>
      </c>
      <c r="E118" s="124"/>
      <c r="F118" s="123" t="s">
        <v>1597</v>
      </c>
      <c r="G118" s="125"/>
    </row>
    <row r="119" spans="2:7" x14ac:dyDescent="0.25">
      <c r="B119" s="126" t="s">
        <v>1356</v>
      </c>
      <c r="C119" s="126" t="s">
        <v>1348</v>
      </c>
      <c r="D119" s="124">
        <v>37</v>
      </c>
      <c r="E119" s="127"/>
      <c r="F119" s="126" t="s">
        <v>1598</v>
      </c>
      <c r="G119" s="128"/>
    </row>
    <row r="120" spans="2:7" x14ac:dyDescent="0.25">
      <c r="B120" s="126" t="s">
        <v>1599</v>
      </c>
      <c r="C120" s="126" t="s">
        <v>1219</v>
      </c>
      <c r="D120" s="124">
        <v>37</v>
      </c>
      <c r="E120" s="127"/>
      <c r="F120" s="126" t="s">
        <v>1600</v>
      </c>
      <c r="G120" s="128" t="s">
        <v>1601</v>
      </c>
    </row>
    <row r="121" spans="2:7" x14ac:dyDescent="0.25">
      <c r="B121" s="126" t="s">
        <v>1321</v>
      </c>
      <c r="C121" s="126" t="s">
        <v>1237</v>
      </c>
      <c r="D121" s="124">
        <v>37</v>
      </c>
      <c r="E121" s="127"/>
      <c r="F121" s="126" t="s">
        <v>1602</v>
      </c>
      <c r="G121" s="128" t="s">
        <v>1603</v>
      </c>
    </row>
    <row r="122" spans="2:7" x14ac:dyDescent="0.25">
      <c r="B122" s="123" t="s">
        <v>1322</v>
      </c>
      <c r="C122" s="123" t="s">
        <v>1237</v>
      </c>
      <c r="D122" s="124">
        <v>37</v>
      </c>
      <c r="E122" s="124"/>
      <c r="F122" s="123" t="s">
        <v>1604</v>
      </c>
      <c r="G122" s="125" t="s">
        <v>1605</v>
      </c>
    </row>
    <row r="123" spans="2:7" x14ac:dyDescent="0.25">
      <c r="B123" s="126" t="s">
        <v>1323</v>
      </c>
      <c r="C123" s="126" t="s">
        <v>1237</v>
      </c>
      <c r="D123" s="124">
        <v>37</v>
      </c>
      <c r="E123" s="127"/>
      <c r="F123" s="126" t="s">
        <v>1606</v>
      </c>
      <c r="G123" s="128" t="s">
        <v>1607</v>
      </c>
    </row>
    <row r="124" spans="2:7" x14ac:dyDescent="0.25">
      <c r="B124" s="123" t="s">
        <v>475</v>
      </c>
      <c r="C124" s="123" t="s">
        <v>1348</v>
      </c>
      <c r="D124" s="124">
        <v>37</v>
      </c>
      <c r="E124" s="124"/>
      <c r="F124" s="123" t="s">
        <v>1608</v>
      </c>
      <c r="G124" s="125" t="s">
        <v>1609</v>
      </c>
    </row>
    <row r="125" spans="2:7" x14ac:dyDescent="0.25">
      <c r="B125" s="126" t="s">
        <v>1610</v>
      </c>
      <c r="C125" s="126" t="s">
        <v>1219</v>
      </c>
      <c r="D125" s="124">
        <v>37</v>
      </c>
      <c r="E125" s="127"/>
      <c r="F125" s="126" t="s">
        <v>1611</v>
      </c>
      <c r="G125" s="128" t="s">
        <v>1612</v>
      </c>
    </row>
    <row r="126" spans="2:7" x14ac:dyDescent="0.25">
      <c r="B126" s="123" t="s">
        <v>1357</v>
      </c>
      <c r="C126" s="123" t="s">
        <v>1348</v>
      </c>
      <c r="D126" s="124">
        <v>37</v>
      </c>
      <c r="E126" s="124"/>
      <c r="F126" s="123" t="s">
        <v>1613</v>
      </c>
      <c r="G126" s="125" t="s">
        <v>1614</v>
      </c>
    </row>
    <row r="127" spans="2:7" x14ac:dyDescent="0.25">
      <c r="B127" s="123" t="s">
        <v>1615</v>
      </c>
      <c r="C127" s="123" t="s">
        <v>1219</v>
      </c>
      <c r="D127" s="124">
        <v>37</v>
      </c>
      <c r="E127" s="124"/>
      <c r="F127" s="123" t="s">
        <v>1616</v>
      </c>
      <c r="G127" s="125" t="s">
        <v>1617</v>
      </c>
    </row>
    <row r="128" spans="2:7" x14ac:dyDescent="0.25">
      <c r="B128" s="123" t="s">
        <v>1228</v>
      </c>
      <c r="C128" s="123" t="s">
        <v>1237</v>
      </c>
      <c r="D128" s="124">
        <v>37</v>
      </c>
      <c r="E128" s="124"/>
      <c r="F128" s="123" t="s">
        <v>1618</v>
      </c>
      <c r="G128" s="125" t="s">
        <v>1619</v>
      </c>
    </row>
    <row r="129" spans="2:7" x14ac:dyDescent="0.25">
      <c r="B129" s="126" t="s">
        <v>1620</v>
      </c>
      <c r="C129" s="126" t="s">
        <v>1219</v>
      </c>
      <c r="D129" s="124">
        <v>37</v>
      </c>
      <c r="E129" s="127"/>
      <c r="F129" s="126" t="s">
        <v>1621</v>
      </c>
      <c r="G129" s="128" t="s">
        <v>1622</v>
      </c>
    </row>
    <row r="130" spans="2:7" x14ac:dyDescent="0.25">
      <c r="B130" s="123" t="s">
        <v>1324</v>
      </c>
      <c r="C130" s="123" t="s">
        <v>1237</v>
      </c>
      <c r="D130" s="124">
        <v>37</v>
      </c>
      <c r="E130" s="124"/>
      <c r="F130" s="123" t="s">
        <v>1623</v>
      </c>
      <c r="G130" s="125" t="s">
        <v>1624</v>
      </c>
    </row>
    <row r="131" spans="2:7" x14ac:dyDescent="0.25">
      <c r="B131" s="126" t="s">
        <v>1325</v>
      </c>
      <c r="C131" s="126" t="s">
        <v>1237</v>
      </c>
      <c r="D131" s="124">
        <v>37</v>
      </c>
      <c r="E131" s="127"/>
      <c r="F131" s="126" t="s">
        <v>1625</v>
      </c>
      <c r="G131" s="128" t="s">
        <v>1626</v>
      </c>
    </row>
    <row r="132" spans="2:7" x14ac:dyDescent="0.25">
      <c r="B132" s="126" t="s">
        <v>1326</v>
      </c>
      <c r="C132" s="126" t="s">
        <v>1237</v>
      </c>
      <c r="D132" s="124">
        <v>37</v>
      </c>
      <c r="E132" s="127"/>
      <c r="F132" s="126" t="s">
        <v>1627</v>
      </c>
      <c r="G132" s="128" t="s">
        <v>1628</v>
      </c>
    </row>
    <row r="133" spans="2:7" x14ac:dyDescent="0.25">
      <c r="B133" s="123" t="s">
        <v>1358</v>
      </c>
      <c r="C133" s="123" t="s">
        <v>1348</v>
      </c>
      <c r="D133" s="124">
        <v>37</v>
      </c>
      <c r="E133" s="124"/>
      <c r="F133" s="123" t="s">
        <v>1629</v>
      </c>
      <c r="G133" s="125" t="s">
        <v>1630</v>
      </c>
    </row>
    <row r="134" spans="2:7" x14ac:dyDescent="0.25">
      <c r="B134" s="123" t="s">
        <v>1327</v>
      </c>
      <c r="C134" s="123" t="s">
        <v>1237</v>
      </c>
      <c r="D134" s="124">
        <v>37</v>
      </c>
      <c r="E134" s="124"/>
      <c r="F134" s="123" t="s">
        <v>1631</v>
      </c>
      <c r="G134" s="125" t="s">
        <v>1632</v>
      </c>
    </row>
    <row r="135" spans="2:7" x14ac:dyDescent="0.25">
      <c r="B135" s="126" t="s">
        <v>1328</v>
      </c>
      <c r="C135" s="126" t="s">
        <v>1237</v>
      </c>
      <c r="D135" s="124">
        <v>37</v>
      </c>
      <c r="E135" s="127"/>
      <c r="F135" s="126" t="s">
        <v>1633</v>
      </c>
      <c r="G135" s="128" t="s">
        <v>1634</v>
      </c>
    </row>
    <row r="136" spans="2:7" x14ac:dyDescent="0.25">
      <c r="B136" s="126" t="s">
        <v>1329</v>
      </c>
      <c r="C136" s="126" t="s">
        <v>1237</v>
      </c>
      <c r="D136" s="124">
        <v>37</v>
      </c>
      <c r="E136" s="127"/>
      <c r="F136" s="126" t="s">
        <v>1635</v>
      </c>
      <c r="G136" s="128" t="s">
        <v>1636</v>
      </c>
    </row>
    <row r="137" spans="2:7" x14ac:dyDescent="0.25">
      <c r="B137" s="123" t="s">
        <v>1330</v>
      </c>
      <c r="C137" s="123" t="s">
        <v>1237</v>
      </c>
      <c r="D137" s="124">
        <v>37</v>
      </c>
      <c r="E137" s="124"/>
      <c r="F137" s="123" t="s">
        <v>1637</v>
      </c>
      <c r="G137" s="125" t="s">
        <v>1638</v>
      </c>
    </row>
    <row r="138" spans="2:7" x14ac:dyDescent="0.25">
      <c r="B138" s="126" t="s">
        <v>1331</v>
      </c>
      <c r="C138" s="126" t="s">
        <v>1237</v>
      </c>
      <c r="D138" s="124">
        <v>37</v>
      </c>
      <c r="E138" s="127"/>
      <c r="F138" s="126" t="s">
        <v>1639</v>
      </c>
      <c r="G138" s="128" t="s">
        <v>1640</v>
      </c>
    </row>
    <row r="139" spans="2:7" x14ac:dyDescent="0.25">
      <c r="B139" s="126" t="s">
        <v>1332</v>
      </c>
      <c r="C139" s="126" t="s">
        <v>1237</v>
      </c>
      <c r="D139" s="124">
        <v>37</v>
      </c>
      <c r="E139" s="127"/>
      <c r="F139" s="126" t="s">
        <v>1641</v>
      </c>
      <c r="G139" s="128" t="s">
        <v>1642</v>
      </c>
    </row>
    <row r="140" spans="2:7" x14ac:dyDescent="0.25">
      <c r="B140" s="123" t="s">
        <v>1333</v>
      </c>
      <c r="C140" s="123" t="s">
        <v>1237</v>
      </c>
      <c r="D140" s="124">
        <v>37</v>
      </c>
      <c r="E140" s="124"/>
      <c r="F140" s="123" t="s">
        <v>1643</v>
      </c>
      <c r="G140" s="125" t="s">
        <v>1644</v>
      </c>
    </row>
    <row r="141" spans="2:7" x14ac:dyDescent="0.25">
      <c r="B141" s="123" t="s">
        <v>1334</v>
      </c>
      <c r="C141" s="123" t="s">
        <v>1237</v>
      </c>
      <c r="D141" s="124">
        <v>37</v>
      </c>
      <c r="E141" s="124"/>
      <c r="F141" s="123" t="s">
        <v>1645</v>
      </c>
      <c r="G141" s="125" t="s">
        <v>1646</v>
      </c>
    </row>
    <row r="142" spans="2:7" x14ac:dyDescent="0.25">
      <c r="B142" s="126" t="s">
        <v>1335</v>
      </c>
      <c r="C142" s="126" t="s">
        <v>1237</v>
      </c>
      <c r="D142" s="124">
        <v>37</v>
      </c>
      <c r="E142" s="127"/>
      <c r="F142" s="126" t="s">
        <v>1647</v>
      </c>
      <c r="G142" s="128" t="s">
        <v>1648</v>
      </c>
    </row>
    <row r="143" spans="2:7" x14ac:dyDescent="0.25">
      <c r="B143" s="123" t="s">
        <v>1336</v>
      </c>
      <c r="C143" s="123" t="s">
        <v>1237</v>
      </c>
      <c r="D143" s="124">
        <v>37</v>
      </c>
      <c r="E143" s="124"/>
      <c r="F143" s="123" t="s">
        <v>1649</v>
      </c>
      <c r="G143" s="125" t="s">
        <v>1650</v>
      </c>
    </row>
    <row r="144" spans="2:7" x14ac:dyDescent="0.25">
      <c r="B144" s="126" t="s">
        <v>1337</v>
      </c>
      <c r="C144" s="126" t="s">
        <v>1237</v>
      </c>
      <c r="D144" s="124">
        <v>37</v>
      </c>
      <c r="E144" s="127"/>
      <c r="F144" s="126" t="s">
        <v>1651</v>
      </c>
      <c r="G144" s="128" t="s">
        <v>1652</v>
      </c>
    </row>
    <row r="145" spans="2:7" x14ac:dyDescent="0.25">
      <c r="B145" s="123" t="s">
        <v>1653</v>
      </c>
      <c r="C145" s="123" t="s">
        <v>1219</v>
      </c>
      <c r="D145" s="124">
        <v>37</v>
      </c>
      <c r="E145" s="124"/>
      <c r="F145" s="123" t="s">
        <v>1654</v>
      </c>
      <c r="G145" s="125" t="s">
        <v>1655</v>
      </c>
    </row>
    <row r="146" spans="2:7" x14ac:dyDescent="0.25">
      <c r="B146" s="123" t="s">
        <v>1656</v>
      </c>
      <c r="C146" s="123" t="s">
        <v>1219</v>
      </c>
      <c r="D146" s="124">
        <v>37</v>
      </c>
      <c r="E146" s="124"/>
      <c r="F146" s="123" t="s">
        <v>1657</v>
      </c>
      <c r="G146" s="125" t="s">
        <v>1658</v>
      </c>
    </row>
    <row r="147" spans="2:7" x14ac:dyDescent="0.25">
      <c r="B147" s="126" t="s">
        <v>1359</v>
      </c>
      <c r="C147" s="126" t="s">
        <v>1348</v>
      </c>
      <c r="D147" s="124">
        <v>37</v>
      </c>
      <c r="E147" s="127"/>
      <c r="F147" s="126" t="s">
        <v>1659</v>
      </c>
      <c r="G147" s="128"/>
    </row>
    <row r="148" spans="2:7" x14ac:dyDescent="0.25">
      <c r="B148" s="123" t="s">
        <v>1338</v>
      </c>
      <c r="C148" s="123" t="s">
        <v>1237</v>
      </c>
      <c r="D148" s="124">
        <v>37</v>
      </c>
      <c r="E148" s="124"/>
      <c r="F148" s="123" t="s">
        <v>1660</v>
      </c>
      <c r="G148" s="125" t="s">
        <v>1661</v>
      </c>
    </row>
    <row r="149" spans="2:7" x14ac:dyDescent="0.25">
      <c r="B149" s="123" t="s">
        <v>1236</v>
      </c>
      <c r="C149" s="123" t="s">
        <v>1237</v>
      </c>
      <c r="D149" s="124">
        <v>30.5</v>
      </c>
      <c r="E149" s="124"/>
      <c r="F149" s="123" t="s">
        <v>1662</v>
      </c>
      <c r="G149" s="125" t="s">
        <v>1663</v>
      </c>
    </row>
    <row r="150" spans="2:7" x14ac:dyDescent="0.25">
      <c r="B150" s="123" t="s">
        <v>1339</v>
      </c>
      <c r="C150" s="123" t="s">
        <v>1237</v>
      </c>
      <c r="D150" s="124">
        <v>37</v>
      </c>
      <c r="E150" s="124"/>
      <c r="F150" s="123" t="s">
        <v>1664</v>
      </c>
      <c r="G150" s="125" t="s">
        <v>1665</v>
      </c>
    </row>
    <row r="151" spans="2:7" x14ac:dyDescent="0.25">
      <c r="B151" s="123" t="s">
        <v>1340</v>
      </c>
      <c r="C151" s="123" t="s">
        <v>1237</v>
      </c>
      <c r="D151" s="124">
        <v>37</v>
      </c>
      <c r="E151" s="124"/>
      <c r="F151" s="123" t="s">
        <v>1666</v>
      </c>
      <c r="G151" s="125" t="s">
        <v>1667</v>
      </c>
    </row>
    <row r="152" spans="2:7" x14ac:dyDescent="0.25">
      <c r="B152" s="123" t="s">
        <v>1341</v>
      </c>
      <c r="C152" s="123" t="s">
        <v>1237</v>
      </c>
      <c r="D152" s="124">
        <v>37</v>
      </c>
      <c r="E152" s="124"/>
      <c r="F152" s="123" t="s">
        <v>1668</v>
      </c>
      <c r="G152" s="125" t="s">
        <v>1669</v>
      </c>
    </row>
    <row r="153" spans="2:7" x14ac:dyDescent="0.25">
      <c r="B153" s="123" t="s">
        <v>1342</v>
      </c>
      <c r="C153" s="123" t="s">
        <v>1237</v>
      </c>
      <c r="D153" s="124">
        <v>37</v>
      </c>
      <c r="E153" s="124"/>
      <c r="F153" s="123" t="s">
        <v>1670</v>
      </c>
      <c r="G153" s="125" t="s">
        <v>1671</v>
      </c>
    </row>
    <row r="154" spans="2:7" x14ac:dyDescent="0.25">
      <c r="B154" s="123" t="s">
        <v>1343</v>
      </c>
      <c r="C154" s="123" t="s">
        <v>1237</v>
      </c>
      <c r="D154" s="124">
        <v>37</v>
      </c>
      <c r="E154" s="124"/>
      <c r="F154" s="123" t="s">
        <v>1672</v>
      </c>
      <c r="G154" s="125" t="s">
        <v>1673</v>
      </c>
    </row>
    <row r="155" spans="2:7" x14ac:dyDescent="0.25">
      <c r="B155" s="123" t="s">
        <v>1344</v>
      </c>
      <c r="C155" s="123" t="s">
        <v>1237</v>
      </c>
      <c r="D155" s="124">
        <v>37</v>
      </c>
      <c r="E155" s="124"/>
      <c r="F155" s="123" t="s">
        <v>1674</v>
      </c>
      <c r="G155" s="125" t="s">
        <v>1675</v>
      </c>
    </row>
    <row r="156" spans="2:7" x14ac:dyDescent="0.25">
      <c r="B156" s="126" t="s">
        <v>1345</v>
      </c>
      <c r="C156" s="126" t="s">
        <v>1237</v>
      </c>
      <c r="D156" s="124">
        <v>37</v>
      </c>
      <c r="E156" s="127"/>
      <c r="F156" s="126" t="s">
        <v>1676</v>
      </c>
      <c r="G156" s="128"/>
    </row>
    <row r="157" spans="2:7" x14ac:dyDescent="0.25">
      <c r="B157" s="126" t="s">
        <v>1346</v>
      </c>
      <c r="C157" s="126" t="s">
        <v>1237</v>
      </c>
      <c r="D157" s="124">
        <v>37</v>
      </c>
      <c r="E157" s="127"/>
      <c r="F157" s="126" t="s">
        <v>1677</v>
      </c>
      <c r="G157" s="128" t="s">
        <v>1678</v>
      </c>
    </row>
  </sheetData>
  <autoFilter ref="B1:G157" xr:uid="{2F2F1665-F869-4223-887B-EF49B44DFC1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45"/>
  <sheetViews>
    <sheetView zoomScale="70" zoomScaleNormal="70" workbookViewId="0">
      <selection activeCell="U44" sqref="U44"/>
    </sheetView>
  </sheetViews>
  <sheetFormatPr defaultRowHeight="15" x14ac:dyDescent="0.25"/>
  <cols>
    <col min="1" max="1" width="9.140625" style="2"/>
    <col min="2" max="2" width="12" style="2" bestFit="1" customWidth="1"/>
    <col min="3" max="3" width="12.28515625" style="2" bestFit="1" customWidth="1"/>
    <col min="4" max="4" width="16.5703125" style="2" bestFit="1" customWidth="1"/>
    <col min="5" max="5" width="12.28515625" bestFit="1" customWidth="1"/>
    <col min="6" max="6" width="35" bestFit="1" customWidth="1"/>
    <col min="7" max="7" width="67.140625" style="2" bestFit="1" customWidth="1"/>
    <col min="8" max="8" width="11.7109375" style="2" bestFit="1" customWidth="1"/>
    <col min="9" max="9" width="17.85546875" bestFit="1" customWidth="1"/>
    <col min="10" max="10" width="32.85546875" bestFit="1" customWidth="1"/>
    <col min="11" max="11" width="13.85546875" style="2" bestFit="1" customWidth="1"/>
    <col min="12" max="12" width="10.7109375" bestFit="1" customWidth="1"/>
    <col min="13" max="13" width="11.28515625" bestFit="1" customWidth="1"/>
    <col min="14" max="14" width="10.140625" bestFit="1" customWidth="1"/>
    <col min="15" max="15" width="10.140625" customWidth="1"/>
    <col min="16" max="16" width="13.42578125" bestFit="1" customWidth="1"/>
    <col min="17" max="17" width="13.85546875" bestFit="1" customWidth="1"/>
    <col min="18" max="18" width="14.7109375" bestFit="1" customWidth="1"/>
    <col min="19" max="19" width="10.7109375" bestFit="1" customWidth="1"/>
    <col min="20" max="20" width="10.7109375" style="164" customWidth="1"/>
    <col min="21" max="21" width="15.140625" customWidth="1"/>
    <col min="22" max="22" width="10.7109375" customWidth="1"/>
    <col min="24" max="24" width="15.5703125" customWidth="1"/>
  </cols>
  <sheetData>
    <row r="1" spans="1:23" ht="18.75" x14ac:dyDescent="0.3">
      <c r="A1" s="54" t="s">
        <v>942</v>
      </c>
      <c r="B1" s="6"/>
      <c r="C1" s="7"/>
      <c r="U1" s="164"/>
    </row>
    <row r="2" spans="1:23" ht="15.75" thickBot="1" x14ac:dyDescent="0.3">
      <c r="A2" s="183" t="s">
        <v>813</v>
      </c>
      <c r="B2" s="183"/>
      <c r="C2" s="183"/>
      <c r="D2" s="183"/>
      <c r="U2" s="164"/>
    </row>
    <row r="3" spans="1:23" x14ac:dyDescent="0.25">
      <c r="A3" s="184" t="s">
        <v>178</v>
      </c>
      <c r="B3" s="184"/>
      <c r="C3" s="58">
        <f>K7</f>
        <v>36</v>
      </c>
      <c r="D3"/>
      <c r="J3" s="40" t="s">
        <v>838</v>
      </c>
      <c r="K3" s="41">
        <f>COUNTIFS(L:L,J3)</f>
        <v>6</v>
      </c>
      <c r="M3" s="46"/>
      <c r="N3" s="46"/>
      <c r="O3" s="46"/>
      <c r="P3" s="46"/>
      <c r="Q3" s="46"/>
      <c r="R3" s="46"/>
      <c r="S3" s="46"/>
      <c r="T3" s="46"/>
      <c r="U3" s="46"/>
      <c r="V3" s="46"/>
    </row>
    <row r="4" spans="1:23" x14ac:dyDescent="0.25">
      <c r="A4" s="53" t="s">
        <v>358</v>
      </c>
      <c r="B4" s="20"/>
      <c r="C4" s="58"/>
      <c r="D4"/>
      <c r="J4" s="42" t="s">
        <v>856</v>
      </c>
      <c r="K4" s="43">
        <f>COUNTIFS(L:L,J4)</f>
        <v>29</v>
      </c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3" x14ac:dyDescent="0.25">
      <c r="A5" s="53"/>
      <c r="C5" s="24"/>
      <c r="D5" s="12"/>
      <c r="J5" s="42" t="s">
        <v>860</v>
      </c>
      <c r="K5" s="43">
        <f>COUNTIFS(L:L,J5)</f>
        <v>1</v>
      </c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23" ht="15.75" thickBot="1" x14ac:dyDescent="0.3">
      <c r="A6" s="25" t="s">
        <v>179</v>
      </c>
      <c r="B6" s="55"/>
      <c r="C6" s="56"/>
      <c r="D6" s="56"/>
      <c r="E6" s="57"/>
      <c r="J6" s="44" t="s">
        <v>864</v>
      </c>
      <c r="K6" s="45">
        <f>COUNTIFS(L:L,J6)</f>
        <v>0</v>
      </c>
      <c r="M6" s="78"/>
      <c r="N6" s="78"/>
      <c r="O6" s="78"/>
      <c r="P6" s="78"/>
      <c r="Q6" s="78"/>
      <c r="R6" s="78"/>
      <c r="S6" s="78"/>
      <c r="T6" s="78"/>
      <c r="U6" s="78"/>
      <c r="V6" s="78"/>
    </row>
    <row r="7" spans="1:23" x14ac:dyDescent="0.25">
      <c r="A7" s="25"/>
      <c r="B7" s="55"/>
      <c r="C7" s="56"/>
      <c r="D7" s="56"/>
      <c r="E7" s="57"/>
      <c r="G7" s="78"/>
      <c r="H7" s="78"/>
      <c r="J7" s="78"/>
      <c r="K7" s="78">
        <f>SUM(K3:K6)</f>
        <v>36</v>
      </c>
      <c r="M7" s="78"/>
      <c r="N7" s="78"/>
      <c r="O7" s="78"/>
      <c r="P7" s="78"/>
      <c r="Q7" s="78"/>
      <c r="R7" s="78"/>
      <c r="S7" s="78"/>
      <c r="T7" s="78"/>
      <c r="U7" s="78"/>
      <c r="V7" s="78"/>
    </row>
    <row r="8" spans="1:23" x14ac:dyDescent="0.25">
      <c r="M8" s="186" t="s">
        <v>1220</v>
      </c>
      <c r="N8" s="186"/>
      <c r="O8" s="186"/>
      <c r="P8" s="185" t="s">
        <v>1684</v>
      </c>
      <c r="Q8" s="185"/>
      <c r="U8" s="164"/>
    </row>
    <row r="9" spans="1:23" x14ac:dyDescent="0.25">
      <c r="A9" s="132" t="s">
        <v>1222</v>
      </c>
      <c r="B9" s="132" t="s">
        <v>1</v>
      </c>
      <c r="C9" s="132" t="s">
        <v>46</v>
      </c>
      <c r="D9" s="133" t="s">
        <v>2</v>
      </c>
      <c r="E9" s="133" t="s">
        <v>0</v>
      </c>
      <c r="F9" s="134" t="s">
        <v>32</v>
      </c>
      <c r="G9" s="135" t="s">
        <v>28</v>
      </c>
      <c r="H9" s="132" t="s">
        <v>29</v>
      </c>
      <c r="I9" s="132" t="s">
        <v>30</v>
      </c>
      <c r="J9" s="135" t="s">
        <v>358</v>
      </c>
      <c r="K9" s="136" t="s">
        <v>1146</v>
      </c>
      <c r="L9" s="134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38" t="s">
        <v>1224</v>
      </c>
      <c r="S9" s="138" t="s">
        <v>1225</v>
      </c>
      <c r="T9" s="138" t="s">
        <v>1752</v>
      </c>
      <c r="U9" s="138" t="s">
        <v>1223</v>
      </c>
      <c r="V9" t="s">
        <v>836</v>
      </c>
      <c r="W9" s="77" t="s">
        <v>1127</v>
      </c>
    </row>
    <row r="10" spans="1:23" x14ac:dyDescent="0.25">
      <c r="A10" t="s">
        <v>1144</v>
      </c>
      <c r="B10" s="2" t="s">
        <v>31</v>
      </c>
      <c r="C10" s="89">
        <v>11</v>
      </c>
      <c r="D10" s="88">
        <v>187</v>
      </c>
      <c r="E10" s="2">
        <v>1</v>
      </c>
      <c r="G10" t="s">
        <v>668</v>
      </c>
      <c r="H10" s="2" t="s">
        <v>509</v>
      </c>
      <c r="I10" s="10" t="s">
        <v>510</v>
      </c>
      <c r="J10" s="10" t="s">
        <v>858</v>
      </c>
      <c r="K10" s="10"/>
      <c r="L10" s="22" t="s">
        <v>838</v>
      </c>
      <c r="M10" s="154">
        <f>(50+100+4+10)/52</f>
        <v>3.1538461538461537</v>
      </c>
      <c r="N10" s="145">
        <f>100/52</f>
        <v>1.9230769230769231</v>
      </c>
      <c r="O10" s="145">
        <f>(18+3)/52</f>
        <v>0.40384615384615385</v>
      </c>
      <c r="P10" s="146">
        <v>0</v>
      </c>
      <c r="Q10" s="150">
        <f>3400</f>
        <v>3400</v>
      </c>
      <c r="R10" s="142">
        <v>42095</v>
      </c>
      <c r="S10" s="22"/>
      <c r="T10" s="78" t="s">
        <v>1754</v>
      </c>
      <c r="U10" s="22"/>
      <c r="V10">
        <v>1</v>
      </c>
      <c r="W10" s="77" t="s">
        <v>1145</v>
      </c>
    </row>
    <row r="11" spans="1:23" x14ac:dyDescent="0.25">
      <c r="A11" t="s">
        <v>1144</v>
      </c>
      <c r="B11" s="2" t="s">
        <v>31</v>
      </c>
      <c r="C11" s="89">
        <v>11</v>
      </c>
      <c r="D11" s="89">
        <v>195</v>
      </c>
      <c r="E11" s="2">
        <v>1</v>
      </c>
      <c r="F11" s="68" t="s">
        <v>669</v>
      </c>
      <c r="G11" t="s">
        <v>670</v>
      </c>
      <c r="H11" s="2" t="s">
        <v>266</v>
      </c>
      <c r="I11" t="s">
        <v>267</v>
      </c>
      <c r="J11" t="s">
        <v>920</v>
      </c>
      <c r="K11"/>
      <c r="L11" t="s">
        <v>856</v>
      </c>
      <c r="M11" s="154">
        <f>(280+275+39+15)/52</f>
        <v>11.711538461538462</v>
      </c>
      <c r="N11" s="148">
        <f>266/52</f>
        <v>5.115384615384615</v>
      </c>
      <c r="O11" s="148">
        <f>0</f>
        <v>0</v>
      </c>
      <c r="P11" s="147">
        <v>0</v>
      </c>
      <c r="Q11" s="151">
        <v>27880</v>
      </c>
      <c r="R11" s="143">
        <v>42036</v>
      </c>
      <c r="T11" s="78" t="s">
        <v>1754</v>
      </c>
      <c r="U11" s="164"/>
      <c r="V11">
        <v>1</v>
      </c>
      <c r="W11" s="77"/>
    </row>
    <row r="12" spans="1:23" x14ac:dyDescent="0.25">
      <c r="A12" t="s">
        <v>1144</v>
      </c>
      <c r="B12" s="2" t="s">
        <v>31</v>
      </c>
      <c r="C12" s="89">
        <v>11</v>
      </c>
      <c r="D12" s="88">
        <v>220</v>
      </c>
      <c r="E12" s="2">
        <v>1</v>
      </c>
      <c r="F12" s="68"/>
      <c r="G12" s="68" t="s">
        <v>108</v>
      </c>
      <c r="H12" s="2" t="s">
        <v>79</v>
      </c>
      <c r="I12" t="s">
        <v>80</v>
      </c>
      <c r="J12" s="10" t="s">
        <v>858</v>
      </c>
      <c r="K12" s="10"/>
      <c r="L12" s="22" t="s">
        <v>838</v>
      </c>
      <c r="M12" s="154">
        <f>(50+150+4+10)/52</f>
        <v>4.115384615384615</v>
      </c>
      <c r="N12" s="145">
        <f>120/52</f>
        <v>2.3076923076923075</v>
      </c>
      <c r="O12" s="145">
        <v>0</v>
      </c>
      <c r="P12" s="146">
        <v>0</v>
      </c>
      <c r="Q12" s="150">
        <f>1020</f>
        <v>1020</v>
      </c>
      <c r="R12" s="22"/>
      <c r="S12" s="22"/>
      <c r="T12" s="78" t="s">
        <v>1754</v>
      </c>
      <c r="U12" s="22"/>
      <c r="V12">
        <v>1</v>
      </c>
      <c r="W12" s="77" t="s">
        <v>1145</v>
      </c>
    </row>
    <row r="13" spans="1:23" ht="16.5" customHeight="1" x14ac:dyDescent="0.25">
      <c r="A13" t="s">
        <v>1144</v>
      </c>
      <c r="B13" s="2" t="s">
        <v>31</v>
      </c>
      <c r="C13" s="89">
        <v>11</v>
      </c>
      <c r="D13" s="88">
        <v>232</v>
      </c>
      <c r="E13" s="2">
        <v>1</v>
      </c>
      <c r="G13" t="s">
        <v>720</v>
      </c>
      <c r="H13" s="2" t="s">
        <v>266</v>
      </c>
      <c r="I13" t="s">
        <v>267</v>
      </c>
      <c r="J13" t="s">
        <v>920</v>
      </c>
      <c r="K13"/>
      <c r="L13" s="10" t="s">
        <v>856</v>
      </c>
      <c r="M13" s="154">
        <f>(500+735+49+27)/52</f>
        <v>25.21153846153846</v>
      </c>
      <c r="N13" s="154">
        <f>(100+400)/52</f>
        <v>9.615384615384615</v>
      </c>
      <c r="O13" s="154">
        <v>4.8076923076923075</v>
      </c>
      <c r="P13" s="155">
        <v>0</v>
      </c>
      <c r="Q13" s="156">
        <f>62220</f>
        <v>62220</v>
      </c>
      <c r="R13" s="144">
        <v>43070</v>
      </c>
      <c r="S13" s="10"/>
      <c r="T13" s="78" t="s">
        <v>1754</v>
      </c>
      <c r="U13" s="10"/>
      <c r="V13">
        <v>1</v>
      </c>
      <c r="W13" s="77"/>
    </row>
    <row r="14" spans="1:23" x14ac:dyDescent="0.25">
      <c r="A14" t="s">
        <v>1144</v>
      </c>
      <c r="B14" s="2" t="s">
        <v>31</v>
      </c>
      <c r="C14" s="89">
        <v>11</v>
      </c>
      <c r="D14" s="89">
        <v>493</v>
      </c>
      <c r="E14" s="2">
        <v>1</v>
      </c>
      <c r="G14" t="s">
        <v>671</v>
      </c>
      <c r="H14" s="2" t="s">
        <v>266</v>
      </c>
      <c r="I14" t="s">
        <v>267</v>
      </c>
      <c r="J14" t="s">
        <v>920</v>
      </c>
      <c r="K14"/>
      <c r="L14" t="s">
        <v>856</v>
      </c>
      <c r="M14" s="154">
        <f>(160+140+53+15)/52</f>
        <v>7.0769230769230766</v>
      </c>
      <c r="N14" s="148">
        <f>50/52</f>
        <v>0.96153846153846156</v>
      </c>
      <c r="O14" s="154">
        <v>0</v>
      </c>
      <c r="P14" s="147">
        <f>21600</f>
        <v>21600</v>
      </c>
      <c r="Q14" s="151">
        <f>22100</f>
        <v>22100</v>
      </c>
      <c r="T14" s="78" t="s">
        <v>1754</v>
      </c>
      <c r="U14" s="164" t="s">
        <v>1701</v>
      </c>
      <c r="V14" s="98">
        <v>1</v>
      </c>
      <c r="W14" s="77"/>
    </row>
    <row r="15" spans="1:23" x14ac:dyDescent="0.25">
      <c r="A15" t="s">
        <v>1144</v>
      </c>
      <c r="B15" s="2" t="s">
        <v>176</v>
      </c>
      <c r="C15" s="89">
        <v>8</v>
      </c>
      <c r="D15" s="89">
        <v>217</v>
      </c>
      <c r="E15" s="2">
        <v>1</v>
      </c>
      <c r="F15" s="68" t="s">
        <v>929</v>
      </c>
      <c r="G15" s="68" t="s">
        <v>930</v>
      </c>
      <c r="H15" s="2">
        <v>2800</v>
      </c>
      <c r="I15" t="s">
        <v>196</v>
      </c>
      <c r="J15" t="s">
        <v>920</v>
      </c>
      <c r="K15"/>
      <c r="L15" t="s">
        <v>856</v>
      </c>
      <c r="M15" s="154">
        <f>(12*0.5+52*0.17+12)/52</f>
        <v>0.51615384615384619</v>
      </c>
      <c r="N15" s="148">
        <v>0</v>
      </c>
      <c r="O15" s="148">
        <v>0</v>
      </c>
      <c r="P15" s="147">
        <v>0</v>
      </c>
      <c r="Q15" s="151">
        <f>2537.5</f>
        <v>2537.5</v>
      </c>
      <c r="R15" s="143">
        <v>43922</v>
      </c>
      <c r="T15" s="78" t="s">
        <v>1754</v>
      </c>
      <c r="V15">
        <v>1</v>
      </c>
      <c r="W15" s="77"/>
    </row>
    <row r="16" spans="1:23" x14ac:dyDescent="0.25">
      <c r="A16" t="s">
        <v>1144</v>
      </c>
      <c r="B16" s="2" t="s">
        <v>31</v>
      </c>
      <c r="C16" s="89">
        <v>11</v>
      </c>
      <c r="D16" s="89">
        <v>306</v>
      </c>
      <c r="E16" s="2">
        <v>1</v>
      </c>
      <c r="F16" s="68"/>
      <c r="G16" s="68" t="s">
        <v>51</v>
      </c>
      <c r="H16" s="2" t="s">
        <v>17</v>
      </c>
      <c r="I16" t="s">
        <v>18</v>
      </c>
      <c r="J16" s="10" t="s">
        <v>858</v>
      </c>
      <c r="K16" s="10"/>
      <c r="L16" s="10" t="s">
        <v>856</v>
      </c>
      <c r="M16" s="154">
        <f>53/52</f>
        <v>1.0192307692307692</v>
      </c>
      <c r="N16" s="154">
        <v>0</v>
      </c>
      <c r="O16" s="154">
        <v>0</v>
      </c>
      <c r="P16" s="155">
        <v>0</v>
      </c>
      <c r="Q16" s="156">
        <f>33660</f>
        <v>33660</v>
      </c>
      <c r="R16" s="10"/>
      <c r="S16" s="10"/>
      <c r="T16" s="78" t="s">
        <v>1754</v>
      </c>
      <c r="V16">
        <v>1</v>
      </c>
      <c r="W16" s="77" t="s">
        <v>1142</v>
      </c>
    </row>
    <row r="17" spans="1:23" x14ac:dyDescent="0.25">
      <c r="A17" t="s">
        <v>1144</v>
      </c>
      <c r="B17" s="2" t="s">
        <v>31</v>
      </c>
      <c r="C17" s="89">
        <v>11</v>
      </c>
      <c r="D17" s="89">
        <v>499</v>
      </c>
      <c r="E17" s="2">
        <v>1</v>
      </c>
      <c r="F17" s="68" t="s">
        <v>232</v>
      </c>
      <c r="G17" s="68" t="s">
        <v>233</v>
      </c>
      <c r="H17" s="2" t="s">
        <v>195</v>
      </c>
      <c r="I17" t="s">
        <v>196</v>
      </c>
      <c r="J17" t="s">
        <v>367</v>
      </c>
      <c r="K17"/>
      <c r="L17" t="s">
        <v>856</v>
      </c>
      <c r="M17" s="154">
        <f>(625+48+140)/52</f>
        <v>15.634615384615385</v>
      </c>
      <c r="N17" s="154">
        <v>0</v>
      </c>
      <c r="O17" s="154">
        <v>0</v>
      </c>
      <c r="P17" s="155">
        <v>0</v>
      </c>
      <c r="Q17" s="156">
        <f>44200</f>
        <v>44200</v>
      </c>
      <c r="T17" s="78" t="s">
        <v>1754</v>
      </c>
      <c r="V17">
        <v>1</v>
      </c>
      <c r="W17" s="77"/>
    </row>
    <row r="18" spans="1:23" x14ac:dyDescent="0.25">
      <c r="A18" t="s">
        <v>1144</v>
      </c>
      <c r="B18" s="2" t="s">
        <v>31</v>
      </c>
      <c r="C18" s="89">
        <v>11</v>
      </c>
      <c r="D18" s="89">
        <v>513</v>
      </c>
      <c r="E18" s="2">
        <v>1</v>
      </c>
      <c r="F18" s="68"/>
      <c r="G18" s="68" t="s">
        <v>236</v>
      </c>
      <c r="H18" s="2" t="s">
        <v>71</v>
      </c>
      <c r="I18" t="s">
        <v>72</v>
      </c>
      <c r="J18" t="s">
        <v>1229</v>
      </c>
      <c r="K18"/>
      <c r="L18" s="10" t="s">
        <v>856</v>
      </c>
      <c r="M18" s="154">
        <f>0.25+4+0.5</f>
        <v>4.75</v>
      </c>
      <c r="N18" s="154">
        <v>0.25</v>
      </c>
      <c r="O18" s="154">
        <v>0</v>
      </c>
      <c r="P18" s="155">
        <v>0</v>
      </c>
      <c r="Q18" s="156">
        <f>3060</f>
        <v>3060</v>
      </c>
      <c r="R18" s="10"/>
      <c r="S18" s="10"/>
      <c r="T18" s="78" t="s">
        <v>1754</v>
      </c>
      <c r="V18">
        <v>1</v>
      </c>
      <c r="W18" s="77" t="s">
        <v>1142</v>
      </c>
    </row>
    <row r="19" spans="1:23" ht="15" customHeight="1" x14ac:dyDescent="0.25">
      <c r="A19" t="s">
        <v>1144</v>
      </c>
      <c r="B19" s="2" t="s">
        <v>31</v>
      </c>
      <c r="C19" s="97">
        <v>11</v>
      </c>
      <c r="D19" s="97">
        <v>135</v>
      </c>
      <c r="E19" s="2">
        <v>1</v>
      </c>
      <c r="F19" s="68" t="s">
        <v>853</v>
      </c>
      <c r="G19" t="s">
        <v>854</v>
      </c>
      <c r="H19" s="2" t="s">
        <v>242</v>
      </c>
      <c r="I19" t="s">
        <v>243</v>
      </c>
      <c r="J19" t="s">
        <v>922</v>
      </c>
      <c r="K19"/>
      <c r="L19" s="22" t="s">
        <v>856</v>
      </c>
      <c r="M19" s="154">
        <f>(130+4)/52</f>
        <v>2.5769230769230771</v>
      </c>
      <c r="N19" s="145">
        <v>0</v>
      </c>
      <c r="O19" s="145">
        <v>0</v>
      </c>
      <c r="P19" s="146">
        <v>0</v>
      </c>
      <c r="Q19" s="150">
        <f>3740</f>
        <v>3740</v>
      </c>
      <c r="R19" s="142">
        <v>43191</v>
      </c>
      <c r="S19" s="22"/>
      <c r="T19" s="78" t="s">
        <v>1754</v>
      </c>
      <c r="U19" s="22"/>
      <c r="V19">
        <v>1</v>
      </c>
      <c r="W19" s="77" t="s">
        <v>1145</v>
      </c>
    </row>
    <row r="20" spans="1:23" ht="15" customHeight="1" x14ac:dyDescent="0.25">
      <c r="A20" t="s">
        <v>1144</v>
      </c>
      <c r="B20" s="2" t="s">
        <v>31</v>
      </c>
      <c r="C20" s="97">
        <v>11</v>
      </c>
      <c r="D20" s="97">
        <v>247</v>
      </c>
      <c r="E20" s="2">
        <v>1</v>
      </c>
      <c r="F20" t="s">
        <v>768</v>
      </c>
      <c r="G20" t="s">
        <v>769</v>
      </c>
      <c r="H20" s="2" t="s">
        <v>242</v>
      </c>
      <c r="I20" s="10" t="s">
        <v>243</v>
      </c>
      <c r="J20" t="s">
        <v>867</v>
      </c>
      <c r="K20"/>
      <c r="L20" s="22" t="s">
        <v>838</v>
      </c>
      <c r="M20" s="154">
        <f>(25+150+4)/52</f>
        <v>3.4423076923076925</v>
      </c>
      <c r="N20" s="145">
        <f>150/52</f>
        <v>2.8846153846153846</v>
      </c>
      <c r="O20" s="145">
        <f>10/52</f>
        <v>0.19230769230769232</v>
      </c>
      <c r="P20" s="146">
        <v>0</v>
      </c>
      <c r="Q20" s="150">
        <v>2040</v>
      </c>
      <c r="R20" s="142">
        <v>42095</v>
      </c>
      <c r="S20" s="22"/>
      <c r="T20" s="78" t="s">
        <v>1754</v>
      </c>
      <c r="U20" s="22"/>
      <c r="V20">
        <v>1</v>
      </c>
      <c r="W20" s="77" t="s">
        <v>1145</v>
      </c>
    </row>
    <row r="21" spans="1:23" x14ac:dyDescent="0.25">
      <c r="A21" t="s">
        <v>1144</v>
      </c>
      <c r="B21" s="2" t="s">
        <v>31</v>
      </c>
      <c r="C21" s="97">
        <v>11</v>
      </c>
      <c r="D21" s="102">
        <v>382</v>
      </c>
      <c r="E21" s="2">
        <v>1</v>
      </c>
      <c r="G21" t="s">
        <v>770</v>
      </c>
      <c r="H21" s="2" t="s">
        <v>244</v>
      </c>
      <c r="I21" s="10" t="s">
        <v>245</v>
      </c>
      <c r="J21" t="s">
        <v>873</v>
      </c>
      <c r="K21"/>
      <c r="L21" s="22" t="s">
        <v>838</v>
      </c>
      <c r="M21" s="154">
        <f>(100+50+4)/52</f>
        <v>2.9615384615384617</v>
      </c>
      <c r="N21" s="145">
        <f>30/52</f>
        <v>0.57692307692307687</v>
      </c>
      <c r="O21" s="145">
        <f>0</f>
        <v>0</v>
      </c>
      <c r="P21" s="146">
        <v>0</v>
      </c>
      <c r="Q21" s="150">
        <v>1700</v>
      </c>
      <c r="R21" s="142">
        <v>42125</v>
      </c>
      <c r="S21" s="22"/>
      <c r="T21" s="78" t="s">
        <v>1754</v>
      </c>
      <c r="U21" s="22"/>
      <c r="V21">
        <v>1</v>
      </c>
      <c r="W21" s="77" t="s">
        <v>1145</v>
      </c>
    </row>
    <row r="22" spans="1:23" x14ac:dyDescent="0.25">
      <c r="A22" t="s">
        <v>1144</v>
      </c>
      <c r="B22" s="2" t="s">
        <v>31</v>
      </c>
      <c r="C22" s="97">
        <v>11</v>
      </c>
      <c r="D22" s="97">
        <v>458</v>
      </c>
      <c r="E22" s="2">
        <v>1</v>
      </c>
      <c r="F22" t="s">
        <v>771</v>
      </c>
      <c r="G22" t="s">
        <v>772</v>
      </c>
      <c r="H22" s="2" t="s">
        <v>733</v>
      </c>
      <c r="I22" s="10" t="s">
        <v>734</v>
      </c>
      <c r="J22" t="s">
        <v>867</v>
      </c>
      <c r="K22"/>
      <c r="L22" s="22" t="s">
        <v>856</v>
      </c>
      <c r="M22" s="154">
        <f>(500+125+105)/52</f>
        <v>14.038461538461538</v>
      </c>
      <c r="N22" s="145">
        <v>0</v>
      </c>
      <c r="O22" s="145">
        <v>0</v>
      </c>
      <c r="P22" s="146">
        <f>4745</f>
        <v>4745</v>
      </c>
      <c r="Q22" s="150">
        <v>48960</v>
      </c>
      <c r="R22" s="142">
        <v>42036</v>
      </c>
      <c r="S22" s="22"/>
      <c r="T22" s="78" t="s">
        <v>1754</v>
      </c>
      <c r="U22" s="22"/>
      <c r="V22">
        <v>1</v>
      </c>
      <c r="W22" s="77" t="s">
        <v>1145</v>
      </c>
    </row>
    <row r="23" spans="1:23" x14ac:dyDescent="0.25">
      <c r="A23" t="s">
        <v>1144</v>
      </c>
      <c r="B23" s="78" t="s">
        <v>31</v>
      </c>
      <c r="C23" s="97">
        <v>11</v>
      </c>
      <c r="D23" s="102">
        <v>508</v>
      </c>
      <c r="E23" s="78">
        <v>1</v>
      </c>
      <c r="F23" s="68"/>
      <c r="G23" s="67" t="s">
        <v>911</v>
      </c>
      <c r="H23" s="78">
        <v>2600</v>
      </c>
      <c r="I23" t="s">
        <v>80</v>
      </c>
      <c r="J23" s="10" t="s">
        <v>858</v>
      </c>
      <c r="K23" s="10"/>
      <c r="L23" s="22" t="s">
        <v>856</v>
      </c>
      <c r="M23" s="154">
        <f>(100+100+4)/52</f>
        <v>3.9230769230769229</v>
      </c>
      <c r="N23" s="145">
        <v>0</v>
      </c>
      <c r="O23" s="145">
        <v>0</v>
      </c>
      <c r="P23" s="146">
        <v>0</v>
      </c>
      <c r="Q23" s="150">
        <f>2040</f>
        <v>2040</v>
      </c>
      <c r="R23" s="22"/>
      <c r="S23" s="22"/>
      <c r="T23" s="78" t="s">
        <v>1754</v>
      </c>
      <c r="V23">
        <v>1</v>
      </c>
      <c r="W23" s="77" t="s">
        <v>1145</v>
      </c>
    </row>
    <row r="24" spans="1:23" x14ac:dyDescent="0.25">
      <c r="A24" t="s">
        <v>1144</v>
      </c>
      <c r="B24" s="78" t="s">
        <v>31</v>
      </c>
      <c r="C24" s="97">
        <v>11</v>
      </c>
      <c r="D24" s="102">
        <v>517</v>
      </c>
      <c r="E24" s="78">
        <v>1</v>
      </c>
      <c r="F24" s="68"/>
      <c r="G24" s="67" t="s">
        <v>912</v>
      </c>
      <c r="H24" s="78">
        <v>2600</v>
      </c>
      <c r="I24" t="s">
        <v>80</v>
      </c>
      <c r="J24" s="10" t="s">
        <v>858</v>
      </c>
      <c r="K24" s="10"/>
      <c r="L24" s="22" t="s">
        <v>856</v>
      </c>
      <c r="M24" s="154">
        <f>(250+200)/52</f>
        <v>8.6538461538461533</v>
      </c>
      <c r="N24" s="145">
        <v>0</v>
      </c>
      <c r="O24" s="145">
        <v>0</v>
      </c>
      <c r="P24" s="146">
        <v>0</v>
      </c>
      <c r="Q24" s="150">
        <f>10880</f>
        <v>10880</v>
      </c>
      <c r="R24" s="22"/>
      <c r="S24" s="22"/>
      <c r="T24" s="78" t="s">
        <v>1754</v>
      </c>
      <c r="V24">
        <v>1</v>
      </c>
      <c r="W24" s="77" t="s">
        <v>1145</v>
      </c>
    </row>
    <row r="25" spans="1:23" x14ac:dyDescent="0.25">
      <c r="A25" t="s">
        <v>1144</v>
      </c>
      <c r="B25" s="78" t="s">
        <v>31</v>
      </c>
      <c r="C25" s="97">
        <v>11</v>
      </c>
      <c r="D25" s="102">
        <v>706</v>
      </c>
      <c r="E25" s="78">
        <v>1</v>
      </c>
      <c r="F25" s="68"/>
      <c r="G25" s="68" t="s">
        <v>105</v>
      </c>
      <c r="H25" s="78" t="s">
        <v>79</v>
      </c>
      <c r="I25" t="s">
        <v>80</v>
      </c>
      <c r="J25" s="10" t="s">
        <v>858</v>
      </c>
      <c r="K25" s="10"/>
      <c r="L25" s="22" t="s">
        <v>856</v>
      </c>
      <c r="M25" s="154">
        <f>(300+200)/52</f>
        <v>9.615384615384615</v>
      </c>
      <c r="N25" s="145">
        <v>0</v>
      </c>
      <c r="O25" s="145">
        <v>0</v>
      </c>
      <c r="P25" s="146">
        <v>0</v>
      </c>
      <c r="Q25" s="150">
        <f>5100</f>
        <v>5100</v>
      </c>
      <c r="R25" s="22"/>
      <c r="S25" s="22"/>
      <c r="T25" s="78" t="s">
        <v>1754</v>
      </c>
      <c r="V25" s="98">
        <v>1</v>
      </c>
      <c r="W25" s="77" t="s">
        <v>1145</v>
      </c>
    </row>
    <row r="26" spans="1:23" x14ac:dyDescent="0.25">
      <c r="A26" t="s">
        <v>1144</v>
      </c>
      <c r="B26" s="78" t="s">
        <v>31</v>
      </c>
      <c r="C26" s="95">
        <v>11</v>
      </c>
      <c r="D26" s="95">
        <v>119</v>
      </c>
      <c r="E26" s="78">
        <v>1</v>
      </c>
      <c r="F26" s="68" t="s">
        <v>256</v>
      </c>
      <c r="G26" t="s">
        <v>255</v>
      </c>
      <c r="H26" s="78" t="s">
        <v>249</v>
      </c>
      <c r="I26" s="10" t="s">
        <v>250</v>
      </c>
      <c r="J26" t="s">
        <v>363</v>
      </c>
      <c r="K26"/>
      <c r="L26" s="10" t="s">
        <v>856</v>
      </c>
      <c r="M26" s="145">
        <f>(550+325)/52</f>
        <v>16.826923076923077</v>
      </c>
      <c r="N26" s="145">
        <v>2.8846153846153846</v>
      </c>
      <c r="O26" s="145">
        <v>0</v>
      </c>
      <c r="P26" s="146">
        <v>0</v>
      </c>
      <c r="Q26" s="150">
        <v>29240</v>
      </c>
      <c r="R26" s="150"/>
      <c r="S26" s="10"/>
      <c r="T26" s="78" t="s">
        <v>1754</v>
      </c>
      <c r="V26">
        <v>1</v>
      </c>
      <c r="W26" s="77"/>
    </row>
    <row r="27" spans="1:23" x14ac:dyDescent="0.25">
      <c r="A27" t="s">
        <v>1144</v>
      </c>
      <c r="B27" s="78" t="s">
        <v>31</v>
      </c>
      <c r="C27" s="95">
        <v>11</v>
      </c>
      <c r="D27" s="95">
        <v>143</v>
      </c>
      <c r="E27" s="78">
        <v>1</v>
      </c>
      <c r="F27" s="68" t="s">
        <v>209</v>
      </c>
      <c r="G27" t="s">
        <v>208</v>
      </c>
      <c r="H27" s="78" t="s">
        <v>69</v>
      </c>
      <c r="I27" s="10" t="s">
        <v>70</v>
      </c>
      <c r="J27" t="s">
        <v>899</v>
      </c>
      <c r="K27"/>
      <c r="L27" t="s">
        <v>856</v>
      </c>
      <c r="M27" s="154">
        <f>(60+300+11)/52</f>
        <v>7.134615384615385</v>
      </c>
      <c r="N27" s="148">
        <f>225/52</f>
        <v>4.3269230769230766</v>
      </c>
      <c r="O27" s="148">
        <v>0</v>
      </c>
      <c r="P27" s="147">
        <v>0</v>
      </c>
      <c r="Q27" s="151">
        <f>10880</f>
        <v>10880</v>
      </c>
      <c r="T27" s="78" t="s">
        <v>1754</v>
      </c>
      <c r="V27">
        <v>1</v>
      </c>
      <c r="W27" s="77"/>
    </row>
    <row r="28" spans="1:23" ht="15" customHeight="1" x14ac:dyDescent="0.25">
      <c r="A28" t="s">
        <v>1144</v>
      </c>
      <c r="B28" s="2" t="s">
        <v>31</v>
      </c>
      <c r="C28" s="95">
        <v>11</v>
      </c>
      <c r="D28" s="95">
        <v>144</v>
      </c>
      <c r="E28" s="2">
        <v>1</v>
      </c>
      <c r="F28" s="68" t="s">
        <v>258</v>
      </c>
      <c r="G28" t="s">
        <v>257</v>
      </c>
      <c r="H28" s="2" t="s">
        <v>251</v>
      </c>
      <c r="I28" s="10" t="s">
        <v>252</v>
      </c>
      <c r="J28" t="s">
        <v>363</v>
      </c>
      <c r="K28"/>
      <c r="L28" s="10" t="s">
        <v>856</v>
      </c>
      <c r="M28" s="154">
        <f>(75+150)/52</f>
        <v>4.3269230769230766</v>
      </c>
      <c r="N28" s="154">
        <f>150/52</f>
        <v>2.8846153846153846</v>
      </c>
      <c r="O28" s="154">
        <v>0</v>
      </c>
      <c r="P28" s="155">
        <v>0</v>
      </c>
      <c r="Q28" s="156">
        <f>5100</f>
        <v>5100</v>
      </c>
      <c r="R28" s="10"/>
      <c r="S28" s="10"/>
      <c r="T28" s="78" t="s">
        <v>1754</v>
      </c>
      <c r="V28">
        <v>1</v>
      </c>
      <c r="W28" s="77"/>
    </row>
    <row r="29" spans="1:23" ht="15" customHeight="1" x14ac:dyDescent="0.25">
      <c r="A29" t="s">
        <v>1144</v>
      </c>
      <c r="B29" s="2" t="s">
        <v>31</v>
      </c>
      <c r="C29" s="95">
        <v>11</v>
      </c>
      <c r="D29" s="95">
        <v>224</v>
      </c>
      <c r="E29" s="2">
        <v>1</v>
      </c>
      <c r="G29" t="s">
        <v>215</v>
      </c>
      <c r="H29" s="2" t="s">
        <v>184</v>
      </c>
      <c r="I29" s="10" t="s">
        <v>185</v>
      </c>
      <c r="J29" t="s">
        <v>898</v>
      </c>
      <c r="K29"/>
      <c r="L29" s="10" t="s">
        <v>856</v>
      </c>
      <c r="M29" s="154">
        <f>(700+800+88)/52</f>
        <v>30.53846153846154</v>
      </c>
      <c r="N29" s="154">
        <v>3.1730769230769229</v>
      </c>
      <c r="O29" s="154">
        <v>0</v>
      </c>
      <c r="P29" s="155">
        <v>0</v>
      </c>
      <c r="Q29" s="156">
        <f>42840</f>
        <v>42840</v>
      </c>
      <c r="R29" s="10"/>
      <c r="S29" s="10"/>
      <c r="T29" s="78" t="s">
        <v>1754</v>
      </c>
      <c r="U29" s="10"/>
      <c r="V29">
        <v>1</v>
      </c>
      <c r="W29" s="77"/>
    </row>
    <row r="30" spans="1:23" ht="15" customHeight="1" x14ac:dyDescent="0.25">
      <c r="A30" t="s">
        <v>1144</v>
      </c>
      <c r="B30" s="2" t="s">
        <v>31</v>
      </c>
      <c r="C30" s="95">
        <v>11</v>
      </c>
      <c r="D30" s="95">
        <v>233</v>
      </c>
      <c r="E30" s="2">
        <v>1</v>
      </c>
      <c r="F30" s="68" t="s">
        <v>218</v>
      </c>
      <c r="G30" t="s">
        <v>217</v>
      </c>
      <c r="H30" s="2" t="s">
        <v>69</v>
      </c>
      <c r="I30" s="10" t="s">
        <v>70</v>
      </c>
      <c r="J30" t="s">
        <v>899</v>
      </c>
      <c r="K30"/>
      <c r="L30" s="10" t="s">
        <v>856</v>
      </c>
      <c r="M30" s="154">
        <f>(240+600+77)/52</f>
        <v>17.634615384615383</v>
      </c>
      <c r="N30" s="154">
        <f>210/52</f>
        <v>4.0384615384615383</v>
      </c>
      <c r="O30" s="154">
        <v>0</v>
      </c>
      <c r="P30" s="155">
        <v>0</v>
      </c>
      <c r="Q30" s="156">
        <f>48960</f>
        <v>48960</v>
      </c>
      <c r="R30" s="10"/>
      <c r="S30" s="10"/>
      <c r="T30" s="78" t="s">
        <v>1754</v>
      </c>
      <c r="U30" s="10"/>
      <c r="V30">
        <v>1</v>
      </c>
      <c r="W30" s="77"/>
    </row>
    <row r="31" spans="1:23" x14ac:dyDescent="0.25">
      <c r="A31" t="s">
        <v>1144</v>
      </c>
      <c r="B31" s="2" t="s">
        <v>31</v>
      </c>
      <c r="C31" s="95">
        <v>11</v>
      </c>
      <c r="D31" s="95">
        <v>345</v>
      </c>
      <c r="E31" s="2">
        <v>1</v>
      </c>
      <c r="G31" t="s">
        <v>222</v>
      </c>
      <c r="H31" s="2" t="s">
        <v>191</v>
      </c>
      <c r="I31" s="10" t="s">
        <v>192</v>
      </c>
      <c r="J31" t="s">
        <v>1228</v>
      </c>
      <c r="K31"/>
      <c r="L31" s="10" t="s">
        <v>856</v>
      </c>
      <c r="M31" s="154">
        <f>(200+200+25)/52</f>
        <v>8.1730769230769234</v>
      </c>
      <c r="N31" s="154">
        <f>100/52</f>
        <v>1.9230769230769231</v>
      </c>
      <c r="O31" s="154">
        <v>0</v>
      </c>
      <c r="P31" s="155">
        <v>0</v>
      </c>
      <c r="Q31" s="156">
        <f>11900</f>
        <v>11900</v>
      </c>
      <c r="R31" s="10"/>
      <c r="S31" s="10"/>
      <c r="T31" s="78" t="s">
        <v>1754</v>
      </c>
      <c r="U31" s="10"/>
      <c r="V31">
        <v>1</v>
      </c>
      <c r="W31" s="77"/>
    </row>
    <row r="32" spans="1:23" ht="15" customHeight="1" x14ac:dyDescent="0.25">
      <c r="A32" t="s">
        <v>1144</v>
      </c>
      <c r="B32" s="2" t="s">
        <v>31</v>
      </c>
      <c r="C32" s="95">
        <v>11</v>
      </c>
      <c r="D32" s="95">
        <v>368</v>
      </c>
      <c r="E32" s="2">
        <v>1</v>
      </c>
      <c r="G32" t="s">
        <v>223</v>
      </c>
      <c r="H32" s="2" t="s">
        <v>191</v>
      </c>
      <c r="I32" s="10" t="s">
        <v>192</v>
      </c>
      <c r="J32" t="s">
        <v>1228</v>
      </c>
      <c r="K32"/>
      <c r="L32" s="10" t="s">
        <v>856</v>
      </c>
      <c r="M32" s="154">
        <f>(200+200+35)/52</f>
        <v>8.365384615384615</v>
      </c>
      <c r="N32" s="154">
        <f>100/52</f>
        <v>1.9230769230769231</v>
      </c>
      <c r="O32" s="154">
        <v>0</v>
      </c>
      <c r="P32" s="155">
        <v>0</v>
      </c>
      <c r="Q32" s="156">
        <f>14280</f>
        <v>14280</v>
      </c>
      <c r="R32" s="10"/>
      <c r="S32" s="10"/>
      <c r="T32" s="78" t="s">
        <v>1754</v>
      </c>
      <c r="U32" s="10"/>
      <c r="V32">
        <v>1</v>
      </c>
      <c r="W32" s="77"/>
    </row>
    <row r="33" spans="1:23" x14ac:dyDescent="0.25">
      <c r="A33" t="s">
        <v>1144</v>
      </c>
      <c r="B33" s="2" t="s">
        <v>31</v>
      </c>
      <c r="C33" s="95">
        <v>11</v>
      </c>
      <c r="D33" s="95">
        <v>380</v>
      </c>
      <c r="E33" s="2">
        <v>1</v>
      </c>
      <c r="G33" t="s">
        <v>224</v>
      </c>
      <c r="H33" s="2" t="s">
        <v>69</v>
      </c>
      <c r="I33" s="10" t="s">
        <v>70</v>
      </c>
      <c r="J33" t="s">
        <v>899</v>
      </c>
      <c r="K33"/>
      <c r="L33" t="s">
        <v>856</v>
      </c>
      <c r="M33" s="154">
        <f>(15+300+4)/52</f>
        <v>6.134615384615385</v>
      </c>
      <c r="N33" s="148">
        <f>8/52</f>
        <v>0.15384615384615385</v>
      </c>
      <c r="O33" s="148">
        <v>0</v>
      </c>
      <c r="P33" s="147">
        <v>0</v>
      </c>
      <c r="Q33" s="151">
        <v>3060</v>
      </c>
      <c r="R33" s="151"/>
      <c r="T33" s="78" t="s">
        <v>1754</v>
      </c>
      <c r="V33">
        <v>1</v>
      </c>
      <c r="W33" s="77"/>
    </row>
    <row r="34" spans="1:23" ht="15" customHeight="1" x14ac:dyDescent="0.25">
      <c r="A34" t="s">
        <v>1144</v>
      </c>
      <c r="B34" s="2" t="s">
        <v>31</v>
      </c>
      <c r="C34" s="95">
        <v>11</v>
      </c>
      <c r="D34" s="95">
        <v>408</v>
      </c>
      <c r="E34" s="2">
        <v>1</v>
      </c>
      <c r="F34" s="68" t="s">
        <v>226</v>
      </c>
      <c r="G34" t="s">
        <v>225</v>
      </c>
      <c r="H34" s="2" t="s">
        <v>193</v>
      </c>
      <c r="I34" s="10" t="s">
        <v>194</v>
      </c>
      <c r="J34" t="s">
        <v>1228</v>
      </c>
      <c r="K34"/>
      <c r="L34" s="10" t="s">
        <v>856</v>
      </c>
      <c r="M34" s="154">
        <f>(250+500+25)/52</f>
        <v>14.903846153846153</v>
      </c>
      <c r="N34" s="154">
        <f>650/52</f>
        <v>12.5</v>
      </c>
      <c r="O34" s="145">
        <v>0</v>
      </c>
      <c r="P34" s="146">
        <v>0</v>
      </c>
      <c r="Q34" s="150">
        <v>26860</v>
      </c>
      <c r="R34" s="150"/>
      <c r="S34" s="10"/>
      <c r="T34" s="78" t="s">
        <v>1754</v>
      </c>
      <c r="U34" s="10"/>
      <c r="V34">
        <v>1</v>
      </c>
      <c r="W34" s="77"/>
    </row>
    <row r="35" spans="1:23" ht="15" customHeight="1" x14ac:dyDescent="0.25">
      <c r="A35" t="s">
        <v>1144</v>
      </c>
      <c r="B35" s="2" t="s">
        <v>31</v>
      </c>
      <c r="C35" s="95">
        <v>11</v>
      </c>
      <c r="D35" s="95">
        <v>416</v>
      </c>
      <c r="E35" s="2">
        <v>1</v>
      </c>
      <c r="G35" t="s">
        <v>227</v>
      </c>
      <c r="H35" s="2" t="s">
        <v>69</v>
      </c>
      <c r="I35" s="10" t="s">
        <v>70</v>
      </c>
      <c r="J35" t="s">
        <v>899</v>
      </c>
      <c r="K35"/>
      <c r="L35" t="s">
        <v>856</v>
      </c>
      <c r="M35" s="154">
        <f>(6+200+4)/52</f>
        <v>4.0384615384615383</v>
      </c>
      <c r="N35" s="148">
        <f>2/52</f>
        <v>3.8461538461538464E-2</v>
      </c>
      <c r="O35" s="148">
        <v>0</v>
      </c>
      <c r="P35" s="147">
        <v>0</v>
      </c>
      <c r="Q35" s="151">
        <f>1020</f>
        <v>1020</v>
      </c>
      <c r="T35" s="78" t="s">
        <v>1754</v>
      </c>
      <c r="V35">
        <v>1</v>
      </c>
      <c r="W35" s="77"/>
    </row>
    <row r="36" spans="1:23" x14ac:dyDescent="0.25">
      <c r="A36" t="s">
        <v>1144</v>
      </c>
      <c r="B36" s="2" t="s">
        <v>31</v>
      </c>
      <c r="C36" s="95">
        <v>11</v>
      </c>
      <c r="D36" s="95">
        <v>423</v>
      </c>
      <c r="E36" s="2">
        <v>1</v>
      </c>
      <c r="G36" t="s">
        <v>259</v>
      </c>
      <c r="H36" s="2" t="s">
        <v>253</v>
      </c>
      <c r="I36" s="10" t="s">
        <v>254</v>
      </c>
      <c r="J36" t="s">
        <v>363</v>
      </c>
      <c r="K36"/>
      <c r="L36" s="10" t="s">
        <v>856</v>
      </c>
      <c r="M36" s="154">
        <f>(150+150+28)/52</f>
        <v>6.3076923076923075</v>
      </c>
      <c r="N36" s="154">
        <f>90/52</f>
        <v>1.7307692307692308</v>
      </c>
      <c r="O36" s="154">
        <v>0</v>
      </c>
      <c r="P36" s="155">
        <v>0</v>
      </c>
      <c r="Q36" s="156">
        <f>10200</f>
        <v>10200</v>
      </c>
      <c r="R36" s="144">
        <v>42887</v>
      </c>
      <c r="S36" s="10"/>
      <c r="T36" s="78" t="s">
        <v>1754</v>
      </c>
      <c r="U36" s="10"/>
      <c r="V36">
        <v>1</v>
      </c>
      <c r="W36" s="77"/>
    </row>
    <row r="37" spans="1:23" ht="15" customHeight="1" x14ac:dyDescent="0.25">
      <c r="A37" t="s">
        <v>1144</v>
      </c>
      <c r="B37" s="2" t="s">
        <v>31</v>
      </c>
      <c r="C37" s="95">
        <v>11</v>
      </c>
      <c r="D37" s="95">
        <v>429</v>
      </c>
      <c r="E37" s="2">
        <v>1</v>
      </c>
      <c r="F37" s="68" t="s">
        <v>229</v>
      </c>
      <c r="G37" t="s">
        <v>228</v>
      </c>
      <c r="H37" s="2" t="s">
        <v>69</v>
      </c>
      <c r="I37" s="10" t="s">
        <v>70</v>
      </c>
      <c r="J37" t="s">
        <v>899</v>
      </c>
      <c r="K37"/>
      <c r="L37" t="s">
        <v>856</v>
      </c>
      <c r="M37" s="154">
        <f>(70+300+32)/52</f>
        <v>7.7307692307692308</v>
      </c>
      <c r="N37" s="148">
        <f>225/52</f>
        <v>4.3269230769230766</v>
      </c>
      <c r="O37" s="148">
        <v>0</v>
      </c>
      <c r="P37" s="147">
        <v>0</v>
      </c>
      <c r="Q37" s="151">
        <f>14620</f>
        <v>14620</v>
      </c>
      <c r="T37" s="78" t="s">
        <v>1754</v>
      </c>
      <c r="V37">
        <v>1</v>
      </c>
      <c r="W37" s="77"/>
    </row>
    <row r="38" spans="1:23" ht="15" customHeight="1" x14ac:dyDescent="0.25">
      <c r="A38" t="s">
        <v>1144</v>
      </c>
      <c r="B38" s="2" t="s">
        <v>31</v>
      </c>
      <c r="C38" s="95">
        <v>11</v>
      </c>
      <c r="D38" s="95">
        <v>504</v>
      </c>
      <c r="E38" s="2">
        <v>1</v>
      </c>
      <c r="G38" t="s">
        <v>235</v>
      </c>
      <c r="H38" s="2" t="s">
        <v>198</v>
      </c>
      <c r="I38" s="10" t="s">
        <v>199</v>
      </c>
      <c r="J38" t="s">
        <v>916</v>
      </c>
      <c r="K38"/>
      <c r="L38" s="10" t="s">
        <v>856</v>
      </c>
      <c r="M38" s="145">
        <f>(100+100+7)/52</f>
        <v>3.9807692307692308</v>
      </c>
      <c r="N38" s="145">
        <f>30/52</f>
        <v>0.57692307692307687</v>
      </c>
      <c r="O38" s="145">
        <v>0</v>
      </c>
      <c r="P38" s="146">
        <v>0</v>
      </c>
      <c r="Q38" s="150">
        <f>2720</f>
        <v>2720</v>
      </c>
      <c r="R38" s="10"/>
      <c r="S38" s="10"/>
      <c r="T38" s="78" t="s">
        <v>1754</v>
      </c>
      <c r="U38" s="10"/>
      <c r="V38">
        <v>1</v>
      </c>
      <c r="W38" s="77"/>
    </row>
    <row r="39" spans="1:23" x14ac:dyDescent="0.25">
      <c r="A39" t="s">
        <v>1144</v>
      </c>
      <c r="B39" s="2" t="s">
        <v>176</v>
      </c>
      <c r="C39" s="78">
        <v>8</v>
      </c>
      <c r="D39" s="78">
        <v>538</v>
      </c>
      <c r="E39" s="2">
        <v>1</v>
      </c>
      <c r="F39" s="140" t="s">
        <v>246</v>
      </c>
      <c r="G39" s="68" t="s">
        <v>931</v>
      </c>
      <c r="H39" s="2" t="s">
        <v>83</v>
      </c>
      <c r="I39" t="s">
        <v>84</v>
      </c>
      <c r="J39" t="s">
        <v>935</v>
      </c>
      <c r="K39"/>
      <c r="L39" t="s">
        <v>856</v>
      </c>
      <c r="M39" s="154"/>
      <c r="N39" s="148"/>
      <c r="O39" s="148"/>
      <c r="P39" s="147"/>
      <c r="Q39" s="151"/>
      <c r="T39" s="78" t="s">
        <v>1755</v>
      </c>
      <c r="U39" s="22" t="s">
        <v>1734</v>
      </c>
      <c r="V39">
        <v>1</v>
      </c>
      <c r="W39" s="77"/>
    </row>
    <row r="40" spans="1:23" x14ac:dyDescent="0.25">
      <c r="A40" t="s">
        <v>1144</v>
      </c>
      <c r="B40" s="2" t="s">
        <v>31</v>
      </c>
      <c r="C40" s="78">
        <v>11</v>
      </c>
      <c r="D40" s="78">
        <v>262</v>
      </c>
      <c r="E40" s="2">
        <v>1</v>
      </c>
      <c r="F40" s="140" t="s">
        <v>220</v>
      </c>
      <c r="G40" t="s">
        <v>219</v>
      </c>
      <c r="H40" s="2" t="s">
        <v>186</v>
      </c>
      <c r="I40" s="10" t="s">
        <v>187</v>
      </c>
      <c r="J40" t="s">
        <v>925</v>
      </c>
      <c r="K40"/>
      <c r="L40" s="10" t="s">
        <v>856</v>
      </c>
      <c r="M40" s="154"/>
      <c r="N40" s="149"/>
      <c r="O40" s="149"/>
      <c r="P40" s="153"/>
      <c r="Q40" s="152"/>
      <c r="R40" s="10"/>
      <c r="S40" s="10"/>
      <c r="T40" s="180" t="s">
        <v>1754</v>
      </c>
      <c r="U40" s="22" t="s">
        <v>1759</v>
      </c>
      <c r="V40">
        <v>1</v>
      </c>
      <c r="W40" s="77"/>
    </row>
    <row r="41" spans="1:23" x14ac:dyDescent="0.25">
      <c r="A41" t="s">
        <v>1144</v>
      </c>
      <c r="B41" s="2" t="s">
        <v>31</v>
      </c>
      <c r="C41" s="78">
        <v>11</v>
      </c>
      <c r="D41" s="78">
        <v>358</v>
      </c>
      <c r="E41" s="2"/>
      <c r="F41" s="140" t="s">
        <v>1171</v>
      </c>
      <c r="G41" t="s">
        <v>1172</v>
      </c>
      <c r="H41" s="2">
        <v>2665</v>
      </c>
      <c r="I41" s="10" t="s">
        <v>734</v>
      </c>
      <c r="K41"/>
      <c r="L41" t="s">
        <v>856</v>
      </c>
      <c r="M41" s="154"/>
      <c r="N41" s="148"/>
      <c r="O41" s="148"/>
      <c r="P41" s="147"/>
      <c r="Q41" s="151"/>
      <c r="T41" s="78" t="s">
        <v>1755</v>
      </c>
      <c r="U41" t="s">
        <v>1697</v>
      </c>
      <c r="V41">
        <v>1</v>
      </c>
      <c r="W41" s="77"/>
    </row>
    <row r="42" spans="1:23" ht="15" customHeight="1" x14ac:dyDescent="0.25">
      <c r="A42" t="s">
        <v>1144</v>
      </c>
      <c r="B42" s="2" t="s">
        <v>31</v>
      </c>
      <c r="C42" s="78">
        <v>11</v>
      </c>
      <c r="D42" s="78">
        <v>402</v>
      </c>
      <c r="E42" s="2">
        <v>2</v>
      </c>
      <c r="F42" s="140"/>
      <c r="G42" s="68" t="s">
        <v>247</v>
      </c>
      <c r="H42" s="2" t="s">
        <v>244</v>
      </c>
      <c r="I42" s="10" t="s">
        <v>245</v>
      </c>
      <c r="J42" s="51" t="s">
        <v>894</v>
      </c>
      <c r="K42" s="51"/>
      <c r="L42" s="22" t="s">
        <v>860</v>
      </c>
      <c r="M42" s="154"/>
      <c r="N42" s="145"/>
      <c r="O42" s="145"/>
      <c r="P42" s="146"/>
      <c r="Q42" s="150"/>
      <c r="R42" s="22"/>
      <c r="S42" s="22"/>
      <c r="T42" s="78" t="s">
        <v>1755</v>
      </c>
      <c r="U42" s="22" t="s">
        <v>1756</v>
      </c>
      <c r="V42">
        <v>1</v>
      </c>
      <c r="W42" s="77" t="s">
        <v>1145</v>
      </c>
    </row>
    <row r="43" spans="1:23" ht="15" customHeight="1" x14ac:dyDescent="0.25">
      <c r="A43" t="s">
        <v>1144</v>
      </c>
      <c r="B43" s="2" t="s">
        <v>31</v>
      </c>
      <c r="C43" s="78">
        <v>11</v>
      </c>
      <c r="D43" s="78">
        <v>403</v>
      </c>
      <c r="E43" s="2">
        <v>2</v>
      </c>
      <c r="F43" s="140"/>
      <c r="G43" s="68" t="s">
        <v>248</v>
      </c>
      <c r="H43" s="2" t="s">
        <v>244</v>
      </c>
      <c r="I43" s="10" t="s">
        <v>245</v>
      </c>
      <c r="J43" t="s">
        <v>892</v>
      </c>
      <c r="K43"/>
      <c r="L43" s="22" t="s">
        <v>838</v>
      </c>
      <c r="M43" s="154"/>
      <c r="N43" s="145"/>
      <c r="O43" s="145"/>
      <c r="P43" s="146"/>
      <c r="Q43" s="150"/>
      <c r="R43" s="22"/>
      <c r="S43" s="22"/>
      <c r="T43" s="78" t="s">
        <v>1755</v>
      </c>
      <c r="U43" s="22" t="s">
        <v>1757</v>
      </c>
      <c r="V43">
        <v>1</v>
      </c>
      <c r="W43" s="77" t="s">
        <v>1145</v>
      </c>
    </row>
    <row r="44" spans="1:23" x14ac:dyDescent="0.25">
      <c r="A44" t="s">
        <v>1144</v>
      </c>
      <c r="B44" s="78" t="s">
        <v>31</v>
      </c>
      <c r="C44" s="78">
        <v>11</v>
      </c>
      <c r="D44" s="78">
        <v>774</v>
      </c>
      <c r="E44" s="78">
        <v>1</v>
      </c>
      <c r="F44" s="68" t="s">
        <v>106</v>
      </c>
      <c r="G44" s="68" t="s">
        <v>107</v>
      </c>
      <c r="H44" s="78" t="s">
        <v>83</v>
      </c>
      <c r="I44" t="s">
        <v>84</v>
      </c>
      <c r="J44" t="s">
        <v>920</v>
      </c>
      <c r="K44"/>
      <c r="L44" t="s">
        <v>856</v>
      </c>
      <c r="M44" s="154">
        <v>0</v>
      </c>
      <c r="N44" s="148">
        <v>0</v>
      </c>
      <c r="O44" s="148">
        <v>0</v>
      </c>
      <c r="P44" s="147">
        <v>0</v>
      </c>
      <c r="Q44" s="151">
        <f>850</f>
        <v>850</v>
      </c>
      <c r="T44" s="180" t="s">
        <v>1754</v>
      </c>
      <c r="U44" s="22" t="s">
        <v>1758</v>
      </c>
      <c r="V44">
        <v>1</v>
      </c>
      <c r="W44" s="77"/>
    </row>
    <row r="45" spans="1:23" x14ac:dyDescent="0.25">
      <c r="A45" t="s">
        <v>1144</v>
      </c>
      <c r="B45" s="78"/>
      <c r="C45" s="78">
        <v>800</v>
      </c>
      <c r="D45" s="78">
        <v>3</v>
      </c>
      <c r="E45" s="78">
        <v>1</v>
      </c>
      <c r="F45" s="165" t="s">
        <v>1173</v>
      </c>
      <c r="G45" s="68" t="s">
        <v>613</v>
      </c>
      <c r="H45" s="78">
        <v>2605</v>
      </c>
      <c r="I45" t="s">
        <v>372</v>
      </c>
      <c r="J45" t="s">
        <v>1174</v>
      </c>
      <c r="K45"/>
      <c r="L45" s="22" t="s">
        <v>838</v>
      </c>
      <c r="M45" s="154">
        <v>6</v>
      </c>
      <c r="N45" s="145">
        <v>0</v>
      </c>
      <c r="O45" s="145">
        <v>0</v>
      </c>
      <c r="P45" s="146">
        <v>0</v>
      </c>
      <c r="Q45" s="150">
        <v>0</v>
      </c>
      <c r="R45" s="142">
        <v>40848</v>
      </c>
      <c r="S45" s="22"/>
      <c r="T45" s="78" t="s">
        <v>1754</v>
      </c>
      <c r="U45" s="22" t="s">
        <v>1751</v>
      </c>
      <c r="V45">
        <v>1</v>
      </c>
      <c r="W45" s="77" t="s">
        <v>1145</v>
      </c>
    </row>
  </sheetData>
  <mergeCells count="4">
    <mergeCell ref="A2:D2"/>
    <mergeCell ref="A3:B3"/>
    <mergeCell ref="P8:Q8"/>
    <mergeCell ref="M8:O8"/>
  </mergeCells>
  <phoneticPr fontId="16" type="noConversion"/>
  <pageMargins left="0.7" right="0.7" top="0.75" bottom="0.75" header="0.3" footer="0.3"/>
  <pageSetup paperSize="8" scale="50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W33"/>
  <sheetViews>
    <sheetView topLeftCell="A7" zoomScale="70" zoomScaleNormal="70" workbookViewId="0">
      <selection activeCell="G30" sqref="G30"/>
    </sheetView>
  </sheetViews>
  <sheetFormatPr defaultRowHeight="15" x14ac:dyDescent="0.25"/>
  <cols>
    <col min="1" max="1" width="9.140625" style="2" customWidth="1"/>
    <col min="2" max="2" width="8.85546875" style="2" customWidth="1"/>
    <col min="3" max="3" width="9.85546875" style="2" customWidth="1"/>
    <col min="4" max="4" width="14.140625" style="2" customWidth="1"/>
    <col min="5" max="5" width="9.85546875" customWidth="1"/>
    <col min="6" max="6" width="21.5703125" bestFit="1" customWidth="1"/>
    <col min="7" max="7" width="80.28515625" style="2" bestFit="1" customWidth="1"/>
    <col min="8" max="8" width="9.28515625" customWidth="1"/>
    <col min="9" max="9" width="15" bestFit="1" customWidth="1"/>
    <col min="10" max="10" width="44.5703125" bestFit="1" customWidth="1"/>
    <col min="11" max="11" width="32.5703125" style="2" bestFit="1" customWidth="1"/>
    <col min="12" max="12" width="10.5703125" customWidth="1"/>
    <col min="13" max="13" width="11.140625" customWidth="1"/>
    <col min="14" max="16" width="10" customWidth="1"/>
    <col min="17" max="17" width="14.5703125" bestFit="1" customWidth="1"/>
    <col min="18" max="18" width="14.5703125" customWidth="1"/>
    <col min="19" max="19" width="10.5703125" customWidth="1"/>
    <col min="20" max="20" width="13.5703125" customWidth="1"/>
  </cols>
  <sheetData>
    <row r="1" spans="1:23" ht="18.75" x14ac:dyDescent="0.3">
      <c r="A1" s="5" t="s">
        <v>842</v>
      </c>
      <c r="B1" s="6"/>
      <c r="C1" s="7"/>
    </row>
    <row r="2" spans="1:23" ht="15.75" thickBot="1" x14ac:dyDescent="0.3">
      <c r="A2" s="183" t="s">
        <v>813</v>
      </c>
      <c r="B2" s="183"/>
      <c r="C2" s="183"/>
      <c r="D2" s="183"/>
    </row>
    <row r="3" spans="1:23" x14ac:dyDescent="0.25">
      <c r="A3" s="183" t="s">
        <v>178</v>
      </c>
      <c r="B3" s="183"/>
      <c r="C3" s="20">
        <f>K7</f>
        <v>24</v>
      </c>
      <c r="J3" s="40" t="s">
        <v>838</v>
      </c>
      <c r="K3" s="41">
        <f>COUNTIFS(L:L,J3)</f>
        <v>2</v>
      </c>
    </row>
    <row r="4" spans="1:23" x14ac:dyDescent="0.25">
      <c r="A4" s="14" t="s">
        <v>311</v>
      </c>
      <c r="B4"/>
      <c r="C4"/>
      <c r="D4"/>
      <c r="J4" s="42" t="s">
        <v>856</v>
      </c>
      <c r="K4" s="43">
        <f>COUNTIFS(L:L,J4)</f>
        <v>19</v>
      </c>
    </row>
    <row r="5" spans="1:23" x14ac:dyDescent="0.25">
      <c r="A5" s="129"/>
      <c r="B5"/>
      <c r="C5"/>
      <c r="D5"/>
      <c r="G5" s="78"/>
      <c r="J5" s="42" t="s">
        <v>860</v>
      </c>
      <c r="K5" s="43">
        <f>COUNTIFS(L:L,J5)</f>
        <v>1</v>
      </c>
    </row>
    <row r="6" spans="1:23" ht="15.75" thickBot="1" x14ac:dyDescent="0.3">
      <c r="A6" s="8" t="s">
        <v>179</v>
      </c>
      <c r="B6"/>
      <c r="C6"/>
      <c r="D6"/>
      <c r="J6" s="44" t="s">
        <v>864</v>
      </c>
      <c r="K6" s="45">
        <f>COUNTIFS(L:L,J6)</f>
        <v>2</v>
      </c>
    </row>
    <row r="7" spans="1:23" x14ac:dyDescent="0.25">
      <c r="A7" s="8"/>
      <c r="B7" s="38"/>
      <c r="C7" s="38"/>
      <c r="J7" s="2"/>
      <c r="K7" s="2">
        <f>SUM(K3:K6)</f>
        <v>24</v>
      </c>
    </row>
    <row r="8" spans="1:23" x14ac:dyDescent="0.25"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132" t="s">
        <v>1222</v>
      </c>
      <c r="B9" s="132" t="s">
        <v>1</v>
      </c>
      <c r="C9" s="132" t="s">
        <v>46</v>
      </c>
      <c r="D9" s="133" t="s">
        <v>2</v>
      </c>
      <c r="E9" s="133" t="s">
        <v>0</v>
      </c>
      <c r="F9" s="134" t="s">
        <v>32</v>
      </c>
      <c r="G9" s="135" t="s">
        <v>28</v>
      </c>
      <c r="H9" s="132" t="s">
        <v>29</v>
      </c>
      <c r="I9" s="132" t="s">
        <v>30</v>
      </c>
      <c r="J9" s="135" t="s">
        <v>358</v>
      </c>
      <c r="K9" s="136" t="s">
        <v>1146</v>
      </c>
      <c r="L9" s="134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38" t="s">
        <v>1224</v>
      </c>
      <c r="S9" s="138" t="s">
        <v>1225</v>
      </c>
      <c r="T9" s="138" t="s">
        <v>1752</v>
      </c>
      <c r="U9" s="138" t="s">
        <v>1223</v>
      </c>
      <c r="V9" t="s">
        <v>836</v>
      </c>
      <c r="W9" s="77" t="s">
        <v>1127</v>
      </c>
    </row>
    <row r="10" spans="1:23" ht="15" customHeight="1" x14ac:dyDescent="0.25">
      <c r="A10" t="s">
        <v>1143</v>
      </c>
      <c r="B10" s="2" t="s">
        <v>31</v>
      </c>
      <c r="C10" s="87">
        <v>11</v>
      </c>
      <c r="D10" s="87">
        <v>447</v>
      </c>
      <c r="E10" s="2">
        <v>1</v>
      </c>
      <c r="G10" t="s">
        <v>230</v>
      </c>
      <c r="H10" s="2" t="s">
        <v>19</v>
      </c>
      <c r="I10" t="s">
        <v>20</v>
      </c>
      <c r="J10" t="s">
        <v>924</v>
      </c>
      <c r="K10" t="s">
        <v>1147</v>
      </c>
      <c r="L10" t="s">
        <v>856</v>
      </c>
      <c r="M10" s="154">
        <f>(380+100+11)/52</f>
        <v>9.4423076923076916</v>
      </c>
      <c r="N10" s="154">
        <f>100/52</f>
        <v>1.9230769230769231</v>
      </c>
      <c r="O10" s="154">
        <v>0</v>
      </c>
      <c r="P10" s="155">
        <v>0</v>
      </c>
      <c r="Q10" s="155">
        <f>16320</f>
        <v>16320</v>
      </c>
      <c r="R10" s="58"/>
      <c r="S10" s="58"/>
      <c r="T10" s="78" t="s">
        <v>1754</v>
      </c>
      <c r="V10">
        <v>1</v>
      </c>
      <c r="W10" s="77"/>
    </row>
    <row r="11" spans="1:23" ht="15" customHeight="1" x14ac:dyDescent="0.25">
      <c r="A11" t="s">
        <v>1143</v>
      </c>
      <c r="B11" s="2" t="s">
        <v>31</v>
      </c>
      <c r="C11" s="87">
        <v>11</v>
      </c>
      <c r="D11" s="87">
        <v>467</v>
      </c>
      <c r="E11" s="2">
        <v>1</v>
      </c>
      <c r="G11" t="s">
        <v>231</v>
      </c>
      <c r="H11" s="2" t="s">
        <v>19</v>
      </c>
      <c r="I11" t="s">
        <v>20</v>
      </c>
      <c r="J11" t="s">
        <v>924</v>
      </c>
      <c r="K11" t="s">
        <v>1147</v>
      </c>
      <c r="L11" t="s">
        <v>856</v>
      </c>
      <c r="M11" s="154">
        <f>(530+465+84)/52</f>
        <v>20.75</v>
      </c>
      <c r="N11" s="154">
        <f>280/52</f>
        <v>5.384615384615385</v>
      </c>
      <c r="O11" s="154">
        <v>0</v>
      </c>
      <c r="P11" s="155">
        <v>0</v>
      </c>
      <c r="Q11" s="155">
        <f>42500</f>
        <v>42500</v>
      </c>
      <c r="R11" s="58"/>
      <c r="S11" s="58"/>
      <c r="T11" s="78" t="s">
        <v>1754</v>
      </c>
      <c r="V11">
        <v>1</v>
      </c>
      <c r="W11" s="77"/>
    </row>
    <row r="12" spans="1:23" ht="15" customHeight="1" x14ac:dyDescent="0.25">
      <c r="A12" t="s">
        <v>1143</v>
      </c>
      <c r="B12" s="2" t="s">
        <v>31</v>
      </c>
      <c r="C12" s="87">
        <v>11</v>
      </c>
      <c r="D12" s="87">
        <v>491</v>
      </c>
      <c r="E12" s="2">
        <v>1</v>
      </c>
      <c r="F12" s="68" t="s">
        <v>614</v>
      </c>
      <c r="G12" t="s">
        <v>615</v>
      </c>
      <c r="H12" s="2" t="s">
        <v>19</v>
      </c>
      <c r="I12" t="s">
        <v>20</v>
      </c>
      <c r="J12" t="s">
        <v>924</v>
      </c>
      <c r="K12" t="s">
        <v>1147</v>
      </c>
      <c r="L12" t="s">
        <v>856</v>
      </c>
      <c r="M12" s="154">
        <f>(150+300+70)/52</f>
        <v>10</v>
      </c>
      <c r="N12" s="154">
        <v>1.7307692307692308</v>
      </c>
      <c r="O12" s="154">
        <f>32.5/52</f>
        <v>0.625</v>
      </c>
      <c r="P12" s="155">
        <v>0</v>
      </c>
      <c r="Q12" s="155">
        <f>19040</f>
        <v>19040</v>
      </c>
      <c r="R12" s="144">
        <v>42036</v>
      </c>
      <c r="S12" s="58"/>
      <c r="T12" s="78" t="s">
        <v>1754</v>
      </c>
      <c r="V12">
        <v>1</v>
      </c>
      <c r="W12" s="77"/>
    </row>
    <row r="13" spans="1:23" x14ac:dyDescent="0.25">
      <c r="A13" t="s">
        <v>1143</v>
      </c>
      <c r="B13" s="2" t="s">
        <v>31</v>
      </c>
      <c r="C13" s="87">
        <v>11</v>
      </c>
      <c r="D13" s="87">
        <v>970</v>
      </c>
      <c r="E13" s="2">
        <v>1</v>
      </c>
      <c r="G13" t="s">
        <v>688</v>
      </c>
      <c r="H13" s="2" t="s">
        <v>188</v>
      </c>
      <c r="I13" t="s">
        <v>189</v>
      </c>
      <c r="J13" t="s">
        <v>924</v>
      </c>
      <c r="K13" t="s">
        <v>1147</v>
      </c>
      <c r="L13" t="s">
        <v>856</v>
      </c>
      <c r="M13" s="154">
        <f>(530+600+88)/52</f>
        <v>23.423076923076923</v>
      </c>
      <c r="N13" s="154">
        <f>185/52</f>
        <v>3.5576923076923075</v>
      </c>
      <c r="O13" s="154">
        <v>0</v>
      </c>
      <c r="P13" s="155">
        <v>0</v>
      </c>
      <c r="Q13" s="155">
        <f>44880</f>
        <v>44880</v>
      </c>
      <c r="R13" s="144">
        <v>43115</v>
      </c>
      <c r="S13" s="58"/>
      <c r="T13" s="78" t="s">
        <v>1754</v>
      </c>
      <c r="V13">
        <v>1</v>
      </c>
      <c r="W13" s="77"/>
    </row>
    <row r="14" spans="1:23" ht="15" customHeight="1" x14ac:dyDescent="0.25">
      <c r="A14" t="s">
        <v>1143</v>
      </c>
      <c r="B14" s="2" t="s">
        <v>31</v>
      </c>
      <c r="C14" s="96">
        <v>11</v>
      </c>
      <c r="D14" s="96">
        <v>330</v>
      </c>
      <c r="E14" s="2">
        <v>1</v>
      </c>
      <c r="F14" s="140" t="s">
        <v>52</v>
      </c>
      <c r="G14" s="68" t="s">
        <v>53</v>
      </c>
      <c r="H14" s="2" t="s">
        <v>19</v>
      </c>
      <c r="I14" t="s">
        <v>20</v>
      </c>
      <c r="J14" t="s">
        <v>893</v>
      </c>
      <c r="K14"/>
      <c r="L14" t="s">
        <v>856</v>
      </c>
      <c r="M14" s="154"/>
      <c r="N14" s="154"/>
      <c r="O14" s="154"/>
      <c r="P14" s="155"/>
      <c r="Q14" s="155"/>
      <c r="R14" s="58"/>
      <c r="S14" s="58"/>
      <c r="T14" s="78" t="s">
        <v>1755</v>
      </c>
      <c r="U14" t="s">
        <v>1698</v>
      </c>
      <c r="V14">
        <v>1</v>
      </c>
      <c r="W14" s="77"/>
    </row>
    <row r="15" spans="1:23" ht="15" customHeight="1" x14ac:dyDescent="0.25">
      <c r="A15" t="s">
        <v>1143</v>
      </c>
      <c r="B15" s="2" t="s">
        <v>31</v>
      </c>
      <c r="C15" s="96">
        <v>11</v>
      </c>
      <c r="D15" s="96">
        <v>331</v>
      </c>
      <c r="E15" s="2">
        <v>1</v>
      </c>
      <c r="F15" s="140" t="s">
        <v>38</v>
      </c>
      <c r="G15" s="68" t="s">
        <v>54</v>
      </c>
      <c r="H15" s="2" t="s">
        <v>19</v>
      </c>
      <c r="I15" t="s">
        <v>20</v>
      </c>
      <c r="J15" t="s">
        <v>893</v>
      </c>
      <c r="K15"/>
      <c r="L15" t="s">
        <v>856</v>
      </c>
      <c r="M15" s="154"/>
      <c r="N15" s="154"/>
      <c r="O15" s="154"/>
      <c r="P15" s="155"/>
      <c r="Q15" s="155"/>
      <c r="R15" s="58"/>
      <c r="S15" s="58"/>
      <c r="T15" s="78" t="s">
        <v>1755</v>
      </c>
      <c r="U15" t="s">
        <v>1698</v>
      </c>
      <c r="V15">
        <v>1</v>
      </c>
      <c r="W15" s="77"/>
    </row>
    <row r="16" spans="1:23" ht="15" customHeight="1" x14ac:dyDescent="0.25">
      <c r="A16" t="s">
        <v>1143</v>
      </c>
      <c r="B16" s="2" t="s">
        <v>31</v>
      </c>
      <c r="C16" s="96">
        <v>11</v>
      </c>
      <c r="D16" s="96">
        <v>332</v>
      </c>
      <c r="E16" s="2">
        <v>1</v>
      </c>
      <c r="F16" s="141" t="s">
        <v>907</v>
      </c>
      <c r="G16" t="s">
        <v>908</v>
      </c>
      <c r="H16" s="2">
        <v>2500</v>
      </c>
      <c r="I16" s="10" t="s">
        <v>20</v>
      </c>
      <c r="J16" t="s">
        <v>893</v>
      </c>
      <c r="K16"/>
      <c r="L16" s="10" t="s">
        <v>856</v>
      </c>
      <c r="M16" s="154"/>
      <c r="N16" s="154"/>
      <c r="O16" s="154"/>
      <c r="P16" s="155"/>
      <c r="Q16" s="155"/>
      <c r="R16" s="58"/>
      <c r="S16" s="58"/>
      <c r="T16" s="78" t="s">
        <v>1755</v>
      </c>
      <c r="U16" t="s">
        <v>1698</v>
      </c>
      <c r="V16">
        <v>1</v>
      </c>
      <c r="W16" s="77"/>
    </row>
    <row r="17" spans="1:23" ht="15" customHeight="1" x14ac:dyDescent="0.25">
      <c r="A17" t="s">
        <v>1143</v>
      </c>
      <c r="B17" s="2" t="s">
        <v>31</v>
      </c>
      <c r="C17" s="96">
        <v>11</v>
      </c>
      <c r="D17" s="96">
        <v>333</v>
      </c>
      <c r="E17" s="2">
        <v>1</v>
      </c>
      <c r="F17" s="141" t="s">
        <v>905</v>
      </c>
      <c r="G17" t="s">
        <v>906</v>
      </c>
      <c r="H17" s="2">
        <v>2500</v>
      </c>
      <c r="I17" t="s">
        <v>20</v>
      </c>
      <c r="J17" t="s">
        <v>893</v>
      </c>
      <c r="K17"/>
      <c r="L17" s="10" t="s">
        <v>856</v>
      </c>
      <c r="M17" s="154"/>
      <c r="N17" s="154"/>
      <c r="O17" s="154"/>
      <c r="P17" s="155"/>
      <c r="Q17" s="155"/>
      <c r="R17" s="58"/>
      <c r="S17" s="58"/>
      <c r="T17" s="78" t="s">
        <v>1755</v>
      </c>
      <c r="U17" t="s">
        <v>1698</v>
      </c>
      <c r="V17">
        <v>1</v>
      </c>
      <c r="W17" s="77"/>
    </row>
    <row r="18" spans="1:23" ht="15" customHeight="1" x14ac:dyDescent="0.25">
      <c r="A18" t="s">
        <v>1143</v>
      </c>
      <c r="B18" s="2" t="s">
        <v>31</v>
      </c>
      <c r="C18" s="96">
        <v>11</v>
      </c>
      <c r="D18" s="96">
        <v>335</v>
      </c>
      <c r="E18" s="2">
        <v>1</v>
      </c>
      <c r="F18" s="141" t="s">
        <v>965</v>
      </c>
      <c r="G18"/>
      <c r="H18" s="78">
        <v>2500</v>
      </c>
      <c r="I18" t="s">
        <v>20</v>
      </c>
      <c r="J18" t="s">
        <v>893</v>
      </c>
      <c r="K18"/>
      <c r="L18" s="10" t="s">
        <v>856</v>
      </c>
      <c r="M18" s="154"/>
      <c r="N18" s="154"/>
      <c r="O18" s="154"/>
      <c r="P18" s="155"/>
      <c r="Q18" s="155"/>
      <c r="R18" s="58"/>
      <c r="S18" s="58"/>
      <c r="T18" s="78" t="s">
        <v>1755</v>
      </c>
      <c r="U18" t="s">
        <v>1698</v>
      </c>
      <c r="V18" s="98">
        <v>1</v>
      </c>
      <c r="W18" s="77"/>
    </row>
    <row r="19" spans="1:23" ht="15" customHeight="1" x14ac:dyDescent="0.25">
      <c r="A19" t="s">
        <v>1143</v>
      </c>
      <c r="B19" s="2" t="s">
        <v>31</v>
      </c>
      <c r="C19" s="96">
        <v>11</v>
      </c>
      <c r="D19" s="96">
        <v>338</v>
      </c>
      <c r="E19" s="78">
        <v>1</v>
      </c>
      <c r="F19" s="141" t="s">
        <v>1178</v>
      </c>
      <c r="G19" t="s">
        <v>1177</v>
      </c>
      <c r="H19" s="78">
        <v>2500</v>
      </c>
      <c r="I19" t="s">
        <v>20</v>
      </c>
      <c r="K19"/>
      <c r="L19" t="s">
        <v>864</v>
      </c>
      <c r="M19" s="154"/>
      <c r="N19" s="154"/>
      <c r="O19" s="154"/>
      <c r="P19" s="155"/>
      <c r="Q19" s="155"/>
      <c r="R19" s="58"/>
      <c r="S19" s="58"/>
      <c r="T19" s="78" t="s">
        <v>1755</v>
      </c>
      <c r="U19" t="s">
        <v>1698</v>
      </c>
      <c r="V19" s="98">
        <v>1</v>
      </c>
      <c r="W19" s="77"/>
    </row>
    <row r="20" spans="1:23" ht="15" customHeight="1" x14ac:dyDescent="0.25">
      <c r="A20" t="s">
        <v>1143</v>
      </c>
      <c r="B20" s="78" t="s">
        <v>31</v>
      </c>
      <c r="C20" s="92">
        <v>11</v>
      </c>
      <c r="D20" s="92">
        <v>153</v>
      </c>
      <c r="E20" s="78">
        <v>1</v>
      </c>
      <c r="F20" s="140" t="s">
        <v>43</v>
      </c>
      <c r="G20" s="68" t="s">
        <v>42</v>
      </c>
      <c r="H20" s="78" t="s">
        <v>9</v>
      </c>
      <c r="I20" t="s">
        <v>10</v>
      </c>
      <c r="J20" s="51" t="s">
        <v>894</v>
      </c>
      <c r="K20" s="51"/>
      <c r="L20" t="s">
        <v>860</v>
      </c>
      <c r="M20" s="154"/>
      <c r="N20" s="154"/>
      <c r="O20" s="154"/>
      <c r="P20" s="155"/>
      <c r="Q20" s="155"/>
      <c r="R20" s="58"/>
      <c r="S20" s="58"/>
      <c r="T20" s="78" t="s">
        <v>1755</v>
      </c>
      <c r="U20" t="s">
        <v>1698</v>
      </c>
      <c r="V20">
        <v>1</v>
      </c>
      <c r="W20" s="77"/>
    </row>
    <row r="21" spans="1:23" ht="15" customHeight="1" x14ac:dyDescent="0.25">
      <c r="A21" t="s">
        <v>1143</v>
      </c>
      <c r="B21" s="2" t="s">
        <v>31</v>
      </c>
      <c r="C21" s="92">
        <v>11</v>
      </c>
      <c r="D21" s="92">
        <v>343</v>
      </c>
      <c r="E21" s="2">
        <v>1</v>
      </c>
      <c r="F21" s="68"/>
      <c r="G21" s="68" t="s">
        <v>55</v>
      </c>
      <c r="H21" s="2" t="s">
        <v>9</v>
      </c>
      <c r="I21" t="s">
        <v>10</v>
      </c>
      <c r="J21" t="s">
        <v>1226</v>
      </c>
      <c r="K21"/>
      <c r="L21" t="s">
        <v>856</v>
      </c>
      <c r="M21" s="154">
        <f>(20+20+4)/52</f>
        <v>0.84615384615384615</v>
      </c>
      <c r="N21" s="154">
        <f>10/52</f>
        <v>0.19230769230769232</v>
      </c>
      <c r="O21" s="154">
        <v>0</v>
      </c>
      <c r="P21" s="155">
        <v>0</v>
      </c>
      <c r="Q21" s="162">
        <f>2125</f>
        <v>2125</v>
      </c>
      <c r="R21" s="58"/>
      <c r="S21" s="58"/>
      <c r="T21" s="78" t="s">
        <v>1754</v>
      </c>
      <c r="V21">
        <v>1</v>
      </c>
      <c r="W21" s="77"/>
    </row>
    <row r="22" spans="1:23" ht="15" customHeight="1" x14ac:dyDescent="0.25">
      <c r="A22" t="s">
        <v>1143</v>
      </c>
      <c r="B22" s="2" t="s">
        <v>31</v>
      </c>
      <c r="C22" s="92">
        <v>11</v>
      </c>
      <c r="D22" s="92">
        <v>444</v>
      </c>
      <c r="E22" s="2">
        <v>1</v>
      </c>
      <c r="F22" s="68"/>
      <c r="G22" t="s">
        <v>61</v>
      </c>
      <c r="H22" s="2" t="s">
        <v>9</v>
      </c>
      <c r="I22" t="s">
        <v>10</v>
      </c>
      <c r="J22" t="s">
        <v>1226</v>
      </c>
      <c r="K22"/>
      <c r="L22" t="s">
        <v>856</v>
      </c>
      <c r="M22" s="154">
        <f>(77+375+25)/52</f>
        <v>9.1730769230769234</v>
      </c>
      <c r="N22" s="154">
        <v>0</v>
      </c>
      <c r="O22" s="154">
        <v>0</v>
      </c>
      <c r="P22" s="155">
        <v>0</v>
      </c>
      <c r="Q22" s="162">
        <f>8500</f>
        <v>8500</v>
      </c>
      <c r="R22" s="58"/>
      <c r="S22" s="58"/>
      <c r="T22" s="78" t="s">
        <v>1754</v>
      </c>
      <c r="V22">
        <v>1</v>
      </c>
      <c r="W22" s="77"/>
    </row>
    <row r="23" spans="1:23" x14ac:dyDescent="0.25">
      <c r="A23" t="s">
        <v>1143</v>
      </c>
      <c r="B23" s="2" t="s">
        <v>31</v>
      </c>
      <c r="C23" s="92">
        <v>11</v>
      </c>
      <c r="D23" s="92">
        <v>494</v>
      </c>
      <c r="E23" s="2">
        <v>1</v>
      </c>
      <c r="F23" s="68" t="s">
        <v>63</v>
      </c>
      <c r="G23" s="68" t="s">
        <v>64</v>
      </c>
      <c r="H23" s="2" t="s">
        <v>9</v>
      </c>
      <c r="I23" t="s">
        <v>10</v>
      </c>
      <c r="J23" t="s">
        <v>1226</v>
      </c>
      <c r="K23"/>
      <c r="L23" t="s">
        <v>856</v>
      </c>
      <c r="M23" s="154">
        <f>(2577+1866+95+400)/52</f>
        <v>94.961538461538467</v>
      </c>
      <c r="N23" s="154">
        <f>1178/52</f>
        <v>22.653846153846153</v>
      </c>
      <c r="O23" s="154">
        <f>600/52</f>
        <v>11.538461538461538</v>
      </c>
      <c r="P23" s="155">
        <v>0</v>
      </c>
      <c r="Q23" s="162">
        <f>103275</f>
        <v>103275</v>
      </c>
      <c r="R23" s="58"/>
      <c r="S23" s="58"/>
      <c r="T23" s="78" t="s">
        <v>1754</v>
      </c>
      <c r="V23">
        <v>1</v>
      </c>
      <c r="W23" s="77"/>
    </row>
    <row r="24" spans="1:23" x14ac:dyDescent="0.25">
      <c r="A24" t="s">
        <v>1143</v>
      </c>
      <c r="B24" s="2" t="s">
        <v>31</v>
      </c>
      <c r="C24" s="92">
        <v>11</v>
      </c>
      <c r="D24" s="92">
        <v>502</v>
      </c>
      <c r="E24" s="2">
        <v>1</v>
      </c>
      <c r="F24" s="68"/>
      <c r="G24" s="68" t="s">
        <v>234</v>
      </c>
      <c r="H24" s="2" t="s">
        <v>197</v>
      </c>
      <c r="I24" t="s">
        <v>76</v>
      </c>
      <c r="J24" t="s">
        <v>1226</v>
      </c>
      <c r="K24"/>
      <c r="L24" t="s">
        <v>856</v>
      </c>
      <c r="M24" s="154">
        <f>(75+125+4)/52</f>
        <v>3.9230769230769229</v>
      </c>
      <c r="N24" s="154">
        <v>0</v>
      </c>
      <c r="O24" s="154">
        <v>0</v>
      </c>
      <c r="P24" s="155">
        <v>0</v>
      </c>
      <c r="Q24" s="162">
        <f>2550</f>
        <v>2550</v>
      </c>
      <c r="R24" s="58"/>
      <c r="S24" s="58"/>
      <c r="T24" s="78" t="s">
        <v>1754</v>
      </c>
      <c r="V24">
        <v>1</v>
      </c>
      <c r="W24" s="77"/>
    </row>
    <row r="25" spans="1:23" x14ac:dyDescent="0.25">
      <c r="A25" t="s">
        <v>1143</v>
      </c>
      <c r="B25" s="2" t="s">
        <v>31</v>
      </c>
      <c r="C25" s="92">
        <v>11</v>
      </c>
      <c r="D25" s="92">
        <v>519</v>
      </c>
      <c r="E25" s="2">
        <v>1</v>
      </c>
      <c r="F25" s="68"/>
      <c r="G25" t="s">
        <v>261</v>
      </c>
      <c r="H25" s="2" t="s">
        <v>9</v>
      </c>
      <c r="I25" t="s">
        <v>10</v>
      </c>
      <c r="J25" t="s">
        <v>1226</v>
      </c>
      <c r="K25"/>
      <c r="L25" t="s">
        <v>856</v>
      </c>
      <c r="M25" s="154">
        <f>(75+200+28)/52</f>
        <v>5.8269230769230766</v>
      </c>
      <c r="N25" s="154">
        <v>0</v>
      </c>
      <c r="O25" s="154">
        <v>0</v>
      </c>
      <c r="P25" s="155">
        <v>0</v>
      </c>
      <c r="Q25" s="162">
        <f>16575</f>
        <v>16575</v>
      </c>
      <c r="R25" s="58"/>
      <c r="S25" s="58"/>
      <c r="T25" s="78" t="s">
        <v>1754</v>
      </c>
      <c r="V25">
        <v>1</v>
      </c>
      <c r="W25" s="77"/>
    </row>
    <row r="26" spans="1:23" ht="15" customHeight="1" x14ac:dyDescent="0.25">
      <c r="A26" t="s">
        <v>1143</v>
      </c>
      <c r="B26" s="2" t="s">
        <v>31</v>
      </c>
      <c r="C26" s="92">
        <v>11</v>
      </c>
      <c r="D26" s="92">
        <v>784</v>
      </c>
      <c r="E26" s="2">
        <v>1</v>
      </c>
      <c r="F26" s="68"/>
      <c r="G26" t="s">
        <v>238</v>
      </c>
      <c r="H26" s="2" t="s">
        <v>197</v>
      </c>
      <c r="I26" t="s">
        <v>76</v>
      </c>
      <c r="J26" t="s">
        <v>1226</v>
      </c>
      <c r="K26"/>
      <c r="L26" t="s">
        <v>856</v>
      </c>
      <c r="M26" s="154">
        <f>(55+160+18)/52</f>
        <v>4.4807692307692308</v>
      </c>
      <c r="N26" s="154">
        <f>15/52</f>
        <v>0.28846153846153844</v>
      </c>
      <c r="O26" s="154">
        <v>0</v>
      </c>
      <c r="P26" s="155">
        <v>0</v>
      </c>
      <c r="Q26" s="162">
        <f>5100</f>
        <v>5100</v>
      </c>
      <c r="R26" s="58"/>
      <c r="S26" s="58"/>
      <c r="T26" s="78" t="s">
        <v>1754</v>
      </c>
      <c r="V26">
        <v>1</v>
      </c>
      <c r="W26" s="77"/>
    </row>
    <row r="27" spans="1:23" x14ac:dyDescent="0.25">
      <c r="A27" t="s">
        <v>1143</v>
      </c>
      <c r="B27" s="2" t="s">
        <v>31</v>
      </c>
      <c r="C27" s="101">
        <v>11</v>
      </c>
      <c r="D27" s="101">
        <v>152</v>
      </c>
      <c r="E27" s="2">
        <v>1</v>
      </c>
      <c r="G27" t="s">
        <v>210</v>
      </c>
      <c r="H27" s="2" t="s">
        <v>180</v>
      </c>
      <c r="I27" t="s">
        <v>24</v>
      </c>
      <c r="J27" t="s">
        <v>936</v>
      </c>
      <c r="K27"/>
      <c r="L27" t="s">
        <v>856</v>
      </c>
      <c r="M27" s="154">
        <f>(100+215+4)/52</f>
        <v>6.134615384615385</v>
      </c>
      <c r="N27" s="154">
        <v>1.3846153846153846</v>
      </c>
      <c r="O27" s="154">
        <v>0</v>
      </c>
      <c r="P27" s="155">
        <v>0</v>
      </c>
      <c r="Q27" s="155">
        <f>3520</f>
        <v>3520</v>
      </c>
      <c r="R27" s="58"/>
      <c r="S27" s="58"/>
      <c r="T27" s="78" t="s">
        <v>1754</v>
      </c>
      <c r="V27">
        <v>1</v>
      </c>
      <c r="W27" s="77"/>
    </row>
    <row r="28" spans="1:23" ht="15" customHeight="1" x14ac:dyDescent="0.25">
      <c r="A28" t="s">
        <v>1143</v>
      </c>
      <c r="B28" s="2" t="s">
        <v>31</v>
      </c>
      <c r="C28" s="101">
        <v>11</v>
      </c>
      <c r="D28" s="101">
        <v>328</v>
      </c>
      <c r="E28" s="2">
        <v>1</v>
      </c>
      <c r="G28" t="s">
        <v>221</v>
      </c>
      <c r="H28" s="2" t="s">
        <v>190</v>
      </c>
      <c r="I28" t="s">
        <v>24</v>
      </c>
      <c r="J28" t="s">
        <v>936</v>
      </c>
      <c r="K28"/>
      <c r="L28" t="s">
        <v>856</v>
      </c>
      <c r="M28" s="154">
        <f>(20+50+4)/52</f>
        <v>1.4230769230769231</v>
      </c>
      <c r="N28" s="154">
        <f>14/52</f>
        <v>0.26923076923076922</v>
      </c>
      <c r="O28" s="154">
        <v>0</v>
      </c>
      <c r="P28" s="155">
        <v>0</v>
      </c>
      <c r="Q28" s="155">
        <f>1920</f>
        <v>1920</v>
      </c>
      <c r="R28" s="58"/>
      <c r="S28" s="58"/>
      <c r="T28" s="78" t="s">
        <v>1754</v>
      </c>
      <c r="V28">
        <v>1</v>
      </c>
      <c r="W28" s="77"/>
    </row>
    <row r="29" spans="1:23" ht="15" customHeight="1" x14ac:dyDescent="0.25">
      <c r="A29" t="s">
        <v>1143</v>
      </c>
      <c r="B29" s="2" t="s">
        <v>31</v>
      </c>
      <c r="C29" s="101">
        <v>11</v>
      </c>
      <c r="D29" s="101">
        <v>401</v>
      </c>
      <c r="E29" s="2">
        <v>1</v>
      </c>
      <c r="F29" t="s">
        <v>35</v>
      </c>
      <c r="G29" s="68" t="s">
        <v>57</v>
      </c>
      <c r="H29" s="2" t="s">
        <v>23</v>
      </c>
      <c r="I29" t="s">
        <v>24</v>
      </c>
      <c r="J29" t="s">
        <v>936</v>
      </c>
      <c r="K29"/>
      <c r="L29" t="s">
        <v>856</v>
      </c>
      <c r="M29" s="154">
        <f>(200+550+70+335)/52</f>
        <v>22.21153846153846</v>
      </c>
      <c r="N29" s="154">
        <v>0</v>
      </c>
      <c r="O29" s="154">
        <v>0</v>
      </c>
      <c r="P29" s="155">
        <v>0</v>
      </c>
      <c r="Q29" s="155">
        <f>50240</f>
        <v>50240</v>
      </c>
      <c r="R29" s="58"/>
      <c r="S29" s="58"/>
      <c r="T29" s="78" t="s">
        <v>1754</v>
      </c>
      <c r="V29">
        <v>1</v>
      </c>
      <c r="W29" s="77"/>
    </row>
    <row r="30" spans="1:23" ht="15" customHeight="1" x14ac:dyDescent="0.25">
      <c r="A30" t="s">
        <v>1143</v>
      </c>
      <c r="B30" s="2" t="s">
        <v>31</v>
      </c>
      <c r="C30" s="101">
        <v>11</v>
      </c>
      <c r="D30" s="101">
        <v>506</v>
      </c>
      <c r="E30" s="2">
        <v>1</v>
      </c>
      <c r="G30" s="68" t="s">
        <v>66</v>
      </c>
      <c r="H30" s="2" t="s">
        <v>27</v>
      </c>
      <c r="I30" t="s">
        <v>24</v>
      </c>
      <c r="J30" t="s">
        <v>936</v>
      </c>
      <c r="K30"/>
      <c r="L30" t="s">
        <v>856</v>
      </c>
      <c r="M30" s="154">
        <f>(35+155+7)/52</f>
        <v>3.7884615384615383</v>
      </c>
      <c r="N30" s="154">
        <v>0</v>
      </c>
      <c r="O30" s="154">
        <v>0</v>
      </c>
      <c r="P30" s="155">
        <v>0</v>
      </c>
      <c r="Q30" s="155">
        <f>4480</f>
        <v>4480</v>
      </c>
      <c r="R30" s="58"/>
      <c r="S30" s="58"/>
      <c r="T30" s="78" t="s">
        <v>1754</v>
      </c>
      <c r="V30">
        <v>1</v>
      </c>
      <c r="W30" s="77"/>
    </row>
    <row r="31" spans="1:23" ht="15" customHeight="1" x14ac:dyDescent="0.25">
      <c r="A31" t="s">
        <v>1143</v>
      </c>
      <c r="C31" s="78">
        <v>9</v>
      </c>
      <c r="D31" s="78">
        <v>469</v>
      </c>
      <c r="E31" s="2">
        <v>1</v>
      </c>
      <c r="F31" s="104" t="s">
        <v>1176</v>
      </c>
      <c r="G31"/>
      <c r="H31" s="2">
        <v>2300</v>
      </c>
      <c r="I31" t="s">
        <v>87</v>
      </c>
      <c r="K31"/>
      <c r="L31" t="s">
        <v>838</v>
      </c>
      <c r="M31" s="154">
        <f>183/52</f>
        <v>3.5192307692307692</v>
      </c>
      <c r="N31" s="154">
        <v>0</v>
      </c>
      <c r="O31" s="154">
        <f>16/52</f>
        <v>0.30769230769230771</v>
      </c>
      <c r="P31" s="155">
        <v>0</v>
      </c>
      <c r="Q31" s="155">
        <f>595</f>
        <v>595</v>
      </c>
      <c r="R31" s="144">
        <v>42036</v>
      </c>
      <c r="S31" s="58"/>
      <c r="T31" s="78" t="s">
        <v>1754</v>
      </c>
      <c r="V31">
        <v>1</v>
      </c>
      <c r="W31" s="77"/>
    </row>
    <row r="32" spans="1:23" ht="15" customHeight="1" x14ac:dyDescent="0.25">
      <c r="A32" t="s">
        <v>1143</v>
      </c>
      <c r="B32" s="2" t="s">
        <v>31</v>
      </c>
      <c r="C32" s="78">
        <v>11</v>
      </c>
      <c r="D32" s="78">
        <v>215</v>
      </c>
      <c r="E32" s="2">
        <v>1</v>
      </c>
      <c r="F32" s="140" t="s">
        <v>213</v>
      </c>
      <c r="G32" t="s">
        <v>214</v>
      </c>
      <c r="H32" s="2" t="s">
        <v>183</v>
      </c>
      <c r="I32" s="10" t="s">
        <v>24</v>
      </c>
      <c r="J32" t="s">
        <v>366</v>
      </c>
      <c r="K32"/>
      <c r="L32" t="s">
        <v>838</v>
      </c>
      <c r="M32" s="154"/>
      <c r="N32" s="154"/>
      <c r="O32" s="154"/>
      <c r="P32" s="155"/>
      <c r="Q32" s="155"/>
      <c r="R32" s="58"/>
      <c r="S32" s="58"/>
      <c r="T32" s="78" t="s">
        <v>1755</v>
      </c>
      <c r="U32" t="s">
        <v>1698</v>
      </c>
      <c r="V32">
        <v>1</v>
      </c>
      <c r="W32" s="77"/>
    </row>
    <row r="33" spans="1:23" x14ac:dyDescent="0.25">
      <c r="A33" t="s">
        <v>1143</v>
      </c>
      <c r="B33" s="2" t="s">
        <v>31</v>
      </c>
      <c r="C33" s="78">
        <v>11</v>
      </c>
      <c r="D33" s="78">
        <v>496</v>
      </c>
      <c r="E33" s="2">
        <v>1</v>
      </c>
      <c r="F33" s="140" t="s">
        <v>65</v>
      </c>
      <c r="G33" t="s">
        <v>63</v>
      </c>
      <c r="H33" s="2" t="s">
        <v>9</v>
      </c>
      <c r="I33" t="s">
        <v>10</v>
      </c>
      <c r="J33" s="51" t="s">
        <v>894</v>
      </c>
      <c r="K33" s="51"/>
      <c r="L33" t="s">
        <v>864</v>
      </c>
      <c r="M33" s="154"/>
      <c r="N33" s="154"/>
      <c r="O33" s="154"/>
      <c r="P33" s="155"/>
      <c r="Q33" s="155"/>
      <c r="R33" s="58"/>
      <c r="S33" s="58"/>
      <c r="T33" s="78" t="s">
        <v>1755</v>
      </c>
      <c r="U33" t="s">
        <v>1698</v>
      </c>
      <c r="V33">
        <v>1</v>
      </c>
      <c r="W33" s="77"/>
    </row>
  </sheetData>
  <mergeCells count="4">
    <mergeCell ref="A2:D2"/>
    <mergeCell ref="A3:B3"/>
    <mergeCell ref="M8:O8"/>
    <mergeCell ref="P8:Q8"/>
  </mergeCells>
  <phoneticPr fontId="16" type="noConversion"/>
  <pageMargins left="0.7" right="0.7" top="0.75" bottom="0.75" header="0.3" footer="0.3"/>
  <pageSetup paperSize="8" scale="50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W43"/>
  <sheetViews>
    <sheetView topLeftCell="B1" zoomScale="70" zoomScaleNormal="70" workbookViewId="0">
      <selection activeCell="Q44" sqref="Q44"/>
    </sheetView>
  </sheetViews>
  <sheetFormatPr defaultRowHeight="15" x14ac:dyDescent="0.25"/>
  <cols>
    <col min="1" max="1" width="9.140625" style="2" customWidth="1"/>
    <col min="2" max="2" width="12" style="2" bestFit="1" customWidth="1"/>
    <col min="3" max="3" width="9.85546875" style="2" customWidth="1"/>
    <col min="4" max="4" width="14.140625" style="2" customWidth="1"/>
    <col min="5" max="5" width="9.85546875" customWidth="1"/>
    <col min="6" max="6" width="39.42578125" bestFit="1" customWidth="1"/>
    <col min="7" max="7" width="88.85546875" style="2" bestFit="1" customWidth="1"/>
    <col min="8" max="8" width="9.28515625" style="2" customWidth="1"/>
    <col min="9" max="9" width="13.7109375" bestFit="1" customWidth="1"/>
    <col min="10" max="10" width="34.5703125" bestFit="1" customWidth="1"/>
    <col min="11" max="11" width="13.7109375" style="2" customWidth="1"/>
    <col min="12" max="12" width="10.5703125" customWidth="1"/>
    <col min="13" max="13" width="11.140625" customWidth="1"/>
    <col min="14" max="15" width="10" customWidth="1"/>
    <col min="16" max="16" width="13.85546875" bestFit="1" customWidth="1"/>
    <col min="17" max="17" width="14.5703125" bestFit="1" customWidth="1"/>
    <col min="18" max="18" width="14.5703125" customWidth="1"/>
    <col min="19" max="19" width="10.5703125" customWidth="1"/>
    <col min="20" max="20" width="10.5703125" style="164" customWidth="1"/>
    <col min="21" max="21" width="13.5703125" customWidth="1"/>
  </cols>
  <sheetData>
    <row r="1" spans="1:23" ht="18.75" x14ac:dyDescent="0.3">
      <c r="A1" s="5" t="s">
        <v>928</v>
      </c>
      <c r="B1" s="6"/>
      <c r="C1" s="7"/>
    </row>
    <row r="2" spans="1:23" ht="15.75" thickBot="1" x14ac:dyDescent="0.3">
      <c r="A2" s="183" t="s">
        <v>177</v>
      </c>
      <c r="B2" s="183"/>
      <c r="C2" s="183"/>
      <c r="D2" s="183"/>
    </row>
    <row r="3" spans="1:23" x14ac:dyDescent="0.25">
      <c r="A3" s="183" t="s">
        <v>178</v>
      </c>
      <c r="B3" s="183"/>
      <c r="C3" s="20">
        <f>K7</f>
        <v>34</v>
      </c>
      <c r="J3" s="40" t="s">
        <v>838</v>
      </c>
      <c r="K3" s="41">
        <f>COUNTIFS(L:L,J3)</f>
        <v>4</v>
      </c>
    </row>
    <row r="4" spans="1:23" x14ac:dyDescent="0.25">
      <c r="A4" s="14" t="s">
        <v>358</v>
      </c>
      <c r="B4" s="20"/>
      <c r="J4" s="42" t="s">
        <v>856</v>
      </c>
      <c r="K4" s="43">
        <f>COUNTIFS(L:L,J4)</f>
        <v>30</v>
      </c>
    </row>
    <row r="5" spans="1:23" x14ac:dyDescent="0.25">
      <c r="A5" s="14"/>
      <c r="C5" s="11"/>
      <c r="D5" s="12"/>
      <c r="E5" s="12"/>
      <c r="F5" s="13"/>
      <c r="J5" s="42" t="s">
        <v>860</v>
      </c>
      <c r="K5" s="43">
        <f>COUNTIFS(L:L,J5)</f>
        <v>0</v>
      </c>
    </row>
    <row r="6" spans="1:23" ht="15.75" thickBot="1" x14ac:dyDescent="0.3">
      <c r="A6" s="9" t="s">
        <v>179</v>
      </c>
      <c r="B6"/>
      <c r="C6"/>
      <c r="D6"/>
      <c r="J6" s="44" t="s">
        <v>864</v>
      </c>
      <c r="K6" s="45">
        <f>COUNTIFS(L:L,J6)</f>
        <v>0</v>
      </c>
    </row>
    <row r="7" spans="1:23" x14ac:dyDescent="0.25">
      <c r="A7" s="9"/>
      <c r="B7"/>
      <c r="C7"/>
      <c r="D7"/>
      <c r="G7" s="78"/>
      <c r="H7" s="78"/>
      <c r="J7" s="78"/>
      <c r="K7" s="78">
        <f>SUM(K3:K6)</f>
        <v>34</v>
      </c>
    </row>
    <row r="8" spans="1:23" x14ac:dyDescent="0.25">
      <c r="A8" s="78"/>
      <c r="B8" s="78"/>
      <c r="C8" s="78"/>
      <c r="D8" s="78"/>
      <c r="G8" s="78"/>
      <c r="H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132" t="s">
        <v>1222</v>
      </c>
      <c r="B9" s="132" t="s">
        <v>1</v>
      </c>
      <c r="C9" s="132" t="s">
        <v>46</v>
      </c>
      <c r="D9" s="133" t="s">
        <v>2</v>
      </c>
      <c r="E9" s="133" t="s">
        <v>0</v>
      </c>
      <c r="F9" s="134" t="s">
        <v>32</v>
      </c>
      <c r="G9" s="135" t="s">
        <v>28</v>
      </c>
      <c r="H9" s="132" t="s">
        <v>29</v>
      </c>
      <c r="I9" s="132" t="s">
        <v>30</v>
      </c>
      <c r="J9" s="135" t="s">
        <v>358</v>
      </c>
      <c r="K9" s="136" t="s">
        <v>1146</v>
      </c>
      <c r="L9" s="134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38" t="s">
        <v>1224</v>
      </c>
      <c r="S9" s="138" t="s">
        <v>1225</v>
      </c>
      <c r="T9" s="138" t="s">
        <v>1752</v>
      </c>
      <c r="U9" s="138" t="s">
        <v>1223</v>
      </c>
      <c r="V9" t="s">
        <v>836</v>
      </c>
      <c r="W9" s="77" t="s">
        <v>1127</v>
      </c>
    </row>
    <row r="10" spans="1:23" x14ac:dyDescent="0.25">
      <c r="A10" s="2" t="s">
        <v>1142</v>
      </c>
      <c r="B10" s="2" t="s">
        <v>176</v>
      </c>
      <c r="C10" s="99">
        <v>8</v>
      </c>
      <c r="D10" s="99">
        <v>960</v>
      </c>
      <c r="E10" s="78">
        <v>1</v>
      </c>
      <c r="F10" s="61" t="s">
        <v>677</v>
      </c>
      <c r="G10" s="61" t="s">
        <v>678</v>
      </c>
      <c r="H10" s="69" t="s">
        <v>673</v>
      </c>
      <c r="I10" s="61" t="s">
        <v>24</v>
      </c>
      <c r="J10" s="61" t="s">
        <v>919</v>
      </c>
      <c r="K10" s="61"/>
      <c r="L10" s="70" t="s">
        <v>856</v>
      </c>
      <c r="M10" s="158">
        <f>0.1+14.5+0.6</f>
        <v>15.2</v>
      </c>
      <c r="N10" s="158">
        <f>14.3</f>
        <v>14.3</v>
      </c>
      <c r="O10" s="158">
        <f>(4*8)/52</f>
        <v>0.61538461538461542</v>
      </c>
      <c r="P10" s="157">
        <v>0</v>
      </c>
      <c r="Q10" s="157">
        <f>9800</f>
        <v>9800</v>
      </c>
      <c r="R10" s="159">
        <v>43466</v>
      </c>
      <c r="S10" s="70"/>
      <c r="T10" s="69" t="s">
        <v>1754</v>
      </c>
      <c r="U10" s="70"/>
      <c r="V10" s="68">
        <v>1</v>
      </c>
      <c r="W10" s="77" t="s">
        <v>1145</v>
      </c>
    </row>
    <row r="11" spans="1:23" ht="15" customHeight="1" x14ac:dyDescent="0.25">
      <c r="A11" s="2" t="s">
        <v>1142</v>
      </c>
      <c r="B11" s="2" t="s">
        <v>176</v>
      </c>
      <c r="C11" s="99">
        <v>8</v>
      </c>
      <c r="D11" s="99">
        <v>965</v>
      </c>
      <c r="E11" s="78">
        <v>1</v>
      </c>
      <c r="F11" s="68" t="s">
        <v>679</v>
      </c>
      <c r="G11" s="68" t="s">
        <v>680</v>
      </c>
      <c r="H11" s="69" t="s">
        <v>673</v>
      </c>
      <c r="I11" s="61" t="s">
        <v>24</v>
      </c>
      <c r="J11" s="61" t="s">
        <v>919</v>
      </c>
      <c r="K11" s="61"/>
      <c r="L11" s="70" t="s">
        <v>856</v>
      </c>
      <c r="M11" s="158">
        <f>577/52</f>
        <v>11.096153846153847</v>
      </c>
      <c r="N11" s="158">
        <f>179.5/52</f>
        <v>3.4519230769230771</v>
      </c>
      <c r="O11" s="158">
        <v>0</v>
      </c>
      <c r="P11" s="157">
        <v>0</v>
      </c>
      <c r="Q11" s="157">
        <f>61830</f>
        <v>61830</v>
      </c>
      <c r="R11" s="159">
        <v>42156</v>
      </c>
      <c r="S11" s="70"/>
      <c r="T11" s="69" t="s">
        <v>1754</v>
      </c>
      <c r="U11" s="70"/>
      <c r="V11" s="68">
        <v>1</v>
      </c>
      <c r="W11" s="77" t="s">
        <v>1145</v>
      </c>
    </row>
    <row r="12" spans="1:23" ht="15" customHeight="1" x14ac:dyDescent="0.25">
      <c r="A12" s="2" t="s">
        <v>1142</v>
      </c>
      <c r="B12" s="2" t="s">
        <v>176</v>
      </c>
      <c r="C12" s="99">
        <v>8</v>
      </c>
      <c r="D12" s="99">
        <v>967</v>
      </c>
      <c r="E12" s="78">
        <v>1</v>
      </c>
      <c r="F12" s="68" t="s">
        <v>681</v>
      </c>
      <c r="G12" s="68" t="s">
        <v>680</v>
      </c>
      <c r="H12" s="69" t="s">
        <v>673</v>
      </c>
      <c r="I12" s="61" t="s">
        <v>24</v>
      </c>
      <c r="J12" s="61" t="s">
        <v>919</v>
      </c>
      <c r="K12" s="61"/>
      <c r="L12" s="70" t="s">
        <v>856</v>
      </c>
      <c r="M12" s="158">
        <f>149.5/52</f>
        <v>2.875</v>
      </c>
      <c r="N12" s="158">
        <v>0</v>
      </c>
      <c r="O12" s="158">
        <f>12/52</f>
        <v>0.23076923076923078</v>
      </c>
      <c r="P12" s="157">
        <v>0</v>
      </c>
      <c r="Q12" s="157">
        <f>20485</f>
        <v>20485</v>
      </c>
      <c r="R12" s="159">
        <v>42217</v>
      </c>
      <c r="S12" s="70"/>
      <c r="T12" s="69" t="s">
        <v>1754</v>
      </c>
      <c r="U12" s="70"/>
      <c r="V12" s="68">
        <v>1</v>
      </c>
      <c r="W12" s="77" t="s">
        <v>1145</v>
      </c>
    </row>
    <row r="13" spans="1:23" ht="15" customHeight="1" x14ac:dyDescent="0.25">
      <c r="A13" s="2" t="s">
        <v>1142</v>
      </c>
      <c r="B13" s="2" t="s">
        <v>31</v>
      </c>
      <c r="C13" s="99">
        <v>11</v>
      </c>
      <c r="D13" s="99">
        <v>309</v>
      </c>
      <c r="E13" s="78">
        <v>1</v>
      </c>
      <c r="F13" s="177" t="s">
        <v>683</v>
      </c>
      <c r="G13" s="68" t="s">
        <v>684</v>
      </c>
      <c r="H13" s="69" t="s">
        <v>673</v>
      </c>
      <c r="I13" s="68" t="s">
        <v>24</v>
      </c>
      <c r="J13" s="61" t="s">
        <v>919</v>
      </c>
      <c r="K13" s="61"/>
      <c r="L13" s="70" t="s">
        <v>856</v>
      </c>
      <c r="M13" s="158">
        <f>(450+308+10)/52</f>
        <v>14.76923076923077</v>
      </c>
      <c r="N13" s="158">
        <f>69.5/52</f>
        <v>1.3365384615384615</v>
      </c>
      <c r="O13" s="158">
        <f>26/52</f>
        <v>0.5</v>
      </c>
      <c r="P13" s="157">
        <f>33306.25</f>
        <v>33306.25</v>
      </c>
      <c r="Q13" s="157">
        <f>29400</f>
        <v>29400</v>
      </c>
      <c r="R13" s="159">
        <v>42050</v>
      </c>
      <c r="S13" s="70"/>
      <c r="T13" s="69" t="s">
        <v>1754</v>
      </c>
      <c r="U13" s="70" t="s">
        <v>1750</v>
      </c>
      <c r="V13" s="68">
        <v>1</v>
      </c>
      <c r="W13" s="77" t="s">
        <v>1145</v>
      </c>
    </row>
    <row r="14" spans="1:23" ht="15" customHeight="1" x14ac:dyDescent="0.25">
      <c r="A14" s="2" t="s">
        <v>1142</v>
      </c>
      <c r="B14" s="2" t="s">
        <v>31</v>
      </c>
      <c r="C14" s="99">
        <v>11</v>
      </c>
      <c r="D14" s="99">
        <v>465</v>
      </c>
      <c r="E14" s="78">
        <v>1</v>
      </c>
      <c r="F14" s="68" t="s">
        <v>686</v>
      </c>
      <c r="G14" s="68" t="s">
        <v>687</v>
      </c>
      <c r="H14" s="69" t="s">
        <v>673</v>
      </c>
      <c r="I14" s="68" t="s">
        <v>24</v>
      </c>
      <c r="J14" s="61" t="s">
        <v>919</v>
      </c>
      <c r="K14" s="61"/>
      <c r="L14" s="70" t="s">
        <v>856</v>
      </c>
      <c r="M14" s="158">
        <f>312/52</f>
        <v>6</v>
      </c>
      <c r="N14" s="158">
        <v>0</v>
      </c>
      <c r="O14" s="158">
        <v>0</v>
      </c>
      <c r="P14" s="157">
        <v>0</v>
      </c>
      <c r="Q14" s="157">
        <f>127400</f>
        <v>127400</v>
      </c>
      <c r="R14" s="159">
        <v>42217</v>
      </c>
      <c r="S14" s="70"/>
      <c r="T14" s="69" t="s">
        <v>1754</v>
      </c>
      <c r="U14" s="70"/>
      <c r="V14" s="68">
        <v>1</v>
      </c>
      <c r="W14" s="77" t="s">
        <v>1145</v>
      </c>
    </row>
    <row r="15" spans="1:23" ht="15" customHeight="1" x14ac:dyDescent="0.25">
      <c r="A15" s="2" t="s">
        <v>1142</v>
      </c>
      <c r="B15" s="2" t="s">
        <v>31</v>
      </c>
      <c r="C15" s="99">
        <v>11</v>
      </c>
      <c r="D15" s="99">
        <v>105</v>
      </c>
      <c r="E15" s="78">
        <v>1</v>
      </c>
      <c r="F15" s="68" t="s">
        <v>652</v>
      </c>
      <c r="G15" s="68" t="s">
        <v>932</v>
      </c>
      <c r="H15" s="69">
        <v>2300</v>
      </c>
      <c r="I15" s="68" t="s">
        <v>87</v>
      </c>
      <c r="J15" s="68" t="s">
        <v>1696</v>
      </c>
      <c r="K15" s="68"/>
      <c r="L15" s="68" t="s">
        <v>856</v>
      </c>
      <c r="M15" s="158">
        <f>2.9+5.4</f>
        <v>8.3000000000000007</v>
      </c>
      <c r="N15" s="158">
        <v>2.6</v>
      </c>
      <c r="O15" s="158">
        <v>0</v>
      </c>
      <c r="P15" s="157">
        <v>0</v>
      </c>
      <c r="Q15" s="157">
        <f>35700</f>
        <v>35700</v>
      </c>
      <c r="R15" s="160">
        <v>43084</v>
      </c>
      <c r="S15" s="68"/>
      <c r="T15" s="69" t="s">
        <v>1754</v>
      </c>
      <c r="U15" s="68"/>
      <c r="V15" s="68">
        <v>1</v>
      </c>
      <c r="W15" s="77" t="s">
        <v>1145</v>
      </c>
    </row>
    <row r="16" spans="1:23" x14ac:dyDescent="0.25">
      <c r="A16" s="2" t="s">
        <v>1142</v>
      </c>
      <c r="B16" s="2" t="s">
        <v>31</v>
      </c>
      <c r="C16" s="99">
        <v>11</v>
      </c>
      <c r="D16" s="99">
        <v>446</v>
      </c>
      <c r="E16" s="78">
        <v>1</v>
      </c>
      <c r="F16" s="68" t="s">
        <v>933</v>
      </c>
      <c r="G16" s="68" t="s">
        <v>934</v>
      </c>
      <c r="H16" s="69">
        <v>2300</v>
      </c>
      <c r="I16" s="68" t="s">
        <v>87</v>
      </c>
      <c r="J16" s="68" t="s">
        <v>1243</v>
      </c>
      <c r="K16" s="68"/>
      <c r="L16" s="68" t="s">
        <v>856</v>
      </c>
      <c r="M16" s="158">
        <f>1.2+2.5</f>
        <v>3.7</v>
      </c>
      <c r="N16" s="158">
        <v>0.3</v>
      </c>
      <c r="O16" s="158">
        <v>0</v>
      </c>
      <c r="P16" s="157">
        <v>0</v>
      </c>
      <c r="Q16" s="157">
        <f>18900</f>
        <v>18900</v>
      </c>
      <c r="R16" s="160">
        <v>43084</v>
      </c>
      <c r="S16" s="68"/>
      <c r="T16" s="69" t="s">
        <v>1754</v>
      </c>
      <c r="U16" s="68"/>
      <c r="V16" s="68">
        <v>1</v>
      </c>
      <c r="W16" s="77" t="s">
        <v>1145</v>
      </c>
    </row>
    <row r="17" spans="1:23" x14ac:dyDescent="0.25">
      <c r="A17" s="2" t="s">
        <v>1142</v>
      </c>
      <c r="B17" s="2" t="s">
        <v>31</v>
      </c>
      <c r="C17" s="99">
        <v>11</v>
      </c>
      <c r="D17" s="99">
        <v>728</v>
      </c>
      <c r="E17" s="78">
        <v>1</v>
      </c>
      <c r="F17" s="68"/>
      <c r="G17" s="68" t="s">
        <v>237</v>
      </c>
      <c r="H17" s="69" t="s">
        <v>86</v>
      </c>
      <c r="I17" s="68" t="s">
        <v>87</v>
      </c>
      <c r="J17" s="68" t="s">
        <v>1243</v>
      </c>
      <c r="K17" s="68"/>
      <c r="L17" s="68" t="s">
        <v>856</v>
      </c>
      <c r="M17" s="158">
        <f>(27+137+4+52)/52</f>
        <v>4.2307692307692308</v>
      </c>
      <c r="N17" s="158">
        <v>0</v>
      </c>
      <c r="O17" s="158">
        <v>0</v>
      </c>
      <c r="P17" s="157">
        <v>0</v>
      </c>
      <c r="Q17" s="157">
        <f>3060</f>
        <v>3060</v>
      </c>
      <c r="R17" s="68"/>
      <c r="S17" s="68"/>
      <c r="T17" s="69" t="s">
        <v>1754</v>
      </c>
      <c r="U17" s="68"/>
      <c r="V17" s="68">
        <v>1</v>
      </c>
      <c r="W17" s="77" t="s">
        <v>1145</v>
      </c>
    </row>
    <row r="18" spans="1:23" x14ac:dyDescent="0.25">
      <c r="A18" s="2" t="s">
        <v>1142</v>
      </c>
      <c r="B18" s="2" t="s">
        <v>1694</v>
      </c>
      <c r="C18" s="99">
        <v>800</v>
      </c>
      <c r="D18" s="99">
        <v>100</v>
      </c>
      <c r="E18" s="78">
        <v>1</v>
      </c>
      <c r="F18" t="s">
        <v>1693</v>
      </c>
      <c r="G18" t="s">
        <v>1695</v>
      </c>
      <c r="H18" s="78">
        <v>1436</v>
      </c>
      <c r="I18" t="s">
        <v>24</v>
      </c>
      <c r="J18" t="s">
        <v>1310</v>
      </c>
      <c r="K18" s="78"/>
      <c r="L18" s="68" t="s">
        <v>856</v>
      </c>
      <c r="M18" s="145">
        <f>0.7+3.4+0.3</f>
        <v>4.3999999999999995</v>
      </c>
      <c r="N18" s="145">
        <v>3.9</v>
      </c>
      <c r="O18" s="145">
        <v>0</v>
      </c>
      <c r="P18" s="146">
        <v>0</v>
      </c>
      <c r="Q18" s="146">
        <f>9324</f>
        <v>9324</v>
      </c>
      <c r="R18" s="143">
        <v>43862</v>
      </c>
      <c r="T18" s="69" t="s">
        <v>1754</v>
      </c>
      <c r="V18">
        <v>1</v>
      </c>
      <c r="W18" s="77"/>
    </row>
    <row r="19" spans="1:23" ht="15" customHeight="1" x14ac:dyDescent="0.25">
      <c r="A19" s="2" t="s">
        <v>1142</v>
      </c>
      <c r="B19" s="2" t="s">
        <v>31</v>
      </c>
      <c r="C19" s="89">
        <v>11</v>
      </c>
      <c r="D19" s="89">
        <v>492</v>
      </c>
      <c r="E19" s="78">
        <v>1</v>
      </c>
      <c r="F19" t="s">
        <v>948</v>
      </c>
      <c r="G19" t="s">
        <v>949</v>
      </c>
      <c r="H19" s="78">
        <v>3650</v>
      </c>
      <c r="I19" s="10" t="s">
        <v>708</v>
      </c>
      <c r="J19" t="s">
        <v>1034</v>
      </c>
      <c r="K19"/>
      <c r="L19" t="s">
        <v>856</v>
      </c>
      <c r="M19" s="145">
        <f>(72+70+14)/52</f>
        <v>3</v>
      </c>
      <c r="N19" s="145">
        <f>70/52</f>
        <v>1.3461538461538463</v>
      </c>
      <c r="O19" s="145">
        <v>0</v>
      </c>
      <c r="P19" s="146">
        <v>0</v>
      </c>
      <c r="Q19" s="146">
        <f>8160</f>
        <v>8160</v>
      </c>
      <c r="R19" s="143">
        <v>42036</v>
      </c>
      <c r="T19" s="69" t="s">
        <v>1754</v>
      </c>
      <c r="V19">
        <v>1</v>
      </c>
      <c r="W19" s="77"/>
    </row>
    <row r="20" spans="1:23" ht="15" customHeight="1" x14ac:dyDescent="0.25">
      <c r="A20" s="2" t="s">
        <v>1142</v>
      </c>
      <c r="B20" s="2" t="s">
        <v>31</v>
      </c>
      <c r="C20" s="89">
        <v>11</v>
      </c>
      <c r="D20" s="89">
        <v>134</v>
      </c>
      <c r="E20" s="78">
        <v>1</v>
      </c>
      <c r="F20" t="s">
        <v>604</v>
      </c>
      <c r="G20" t="s">
        <v>682</v>
      </c>
      <c r="H20" s="78" t="s">
        <v>578</v>
      </c>
      <c r="I20" s="10" t="s">
        <v>579</v>
      </c>
      <c r="J20" t="s">
        <v>915</v>
      </c>
      <c r="K20"/>
      <c r="L20" t="s">
        <v>856</v>
      </c>
      <c r="M20" s="145">
        <f>(30+4)/52</f>
        <v>0.65384615384615385</v>
      </c>
      <c r="N20" s="145">
        <f>70/52</f>
        <v>1.3461538461538463</v>
      </c>
      <c r="O20" s="145">
        <v>0</v>
      </c>
      <c r="P20" s="146">
        <v>0</v>
      </c>
      <c r="Q20" s="146">
        <f>3400</f>
        <v>3400</v>
      </c>
      <c r="R20" s="143">
        <v>42979</v>
      </c>
      <c r="T20" s="69" t="s">
        <v>1754</v>
      </c>
      <c r="V20">
        <v>1</v>
      </c>
      <c r="W20" s="77"/>
    </row>
    <row r="21" spans="1:23" ht="15" customHeight="1" x14ac:dyDescent="0.25">
      <c r="A21" s="2" t="s">
        <v>1142</v>
      </c>
      <c r="B21" s="2" t="s">
        <v>31</v>
      </c>
      <c r="C21" s="89">
        <v>11</v>
      </c>
      <c r="D21" s="89">
        <v>231</v>
      </c>
      <c r="E21" s="78">
        <v>1</v>
      </c>
      <c r="F21" t="s">
        <v>581</v>
      </c>
      <c r="G21" t="s">
        <v>943</v>
      </c>
      <c r="H21" s="78">
        <v>3520</v>
      </c>
      <c r="I21" t="s">
        <v>97</v>
      </c>
      <c r="J21" t="s">
        <v>1034</v>
      </c>
      <c r="K21"/>
      <c r="L21" t="s">
        <v>838</v>
      </c>
      <c r="M21" s="145">
        <f>(100+200+11)/52</f>
        <v>5.9807692307692308</v>
      </c>
      <c r="N21" s="145">
        <f>200/52</f>
        <v>3.8461538461538463</v>
      </c>
      <c r="O21" s="145">
        <v>0</v>
      </c>
      <c r="P21" s="146">
        <v>0</v>
      </c>
      <c r="Q21" s="146">
        <f>18360</f>
        <v>18360</v>
      </c>
      <c r="T21" s="69" t="s">
        <v>1754</v>
      </c>
      <c r="V21">
        <v>1</v>
      </c>
      <c r="W21" s="77"/>
    </row>
    <row r="22" spans="1:23" ht="15" customHeight="1" x14ac:dyDescent="0.25">
      <c r="A22" s="2" t="s">
        <v>1142</v>
      </c>
      <c r="B22" s="2" t="s">
        <v>31</v>
      </c>
      <c r="C22" s="89">
        <v>11</v>
      </c>
      <c r="D22" s="89">
        <v>271</v>
      </c>
      <c r="E22" s="78">
        <v>1</v>
      </c>
      <c r="G22" s="10" t="s">
        <v>944</v>
      </c>
      <c r="H22" s="78">
        <v>3400</v>
      </c>
      <c r="I22" s="10" t="s">
        <v>265</v>
      </c>
      <c r="J22" t="s">
        <v>1169</v>
      </c>
      <c r="K22"/>
      <c r="L22" t="s">
        <v>856</v>
      </c>
      <c r="M22" s="145">
        <f>(36+100+11)/52</f>
        <v>2.8269230769230771</v>
      </c>
      <c r="N22" s="145">
        <f>100/52</f>
        <v>1.9230769230769231</v>
      </c>
      <c r="O22" s="145">
        <f>4/52</f>
        <v>7.6923076923076927E-2</v>
      </c>
      <c r="P22" s="146">
        <v>0</v>
      </c>
      <c r="Q22" s="146">
        <f>6120</f>
        <v>6120</v>
      </c>
      <c r="R22" s="143">
        <v>42979</v>
      </c>
      <c r="T22" s="69" t="s">
        <v>1754</v>
      </c>
      <c r="V22">
        <v>1</v>
      </c>
      <c r="W22" s="77"/>
    </row>
    <row r="23" spans="1:23" ht="15" customHeight="1" x14ac:dyDescent="0.25">
      <c r="A23" s="2" t="s">
        <v>1142</v>
      </c>
      <c r="B23" s="2" t="s">
        <v>31</v>
      </c>
      <c r="C23" s="89">
        <v>11</v>
      </c>
      <c r="D23" s="89">
        <v>286</v>
      </c>
      <c r="E23" s="78">
        <v>1</v>
      </c>
      <c r="G23" s="10" t="s">
        <v>599</v>
      </c>
      <c r="H23" s="78" t="s">
        <v>264</v>
      </c>
      <c r="I23" s="10" t="s">
        <v>265</v>
      </c>
      <c r="J23" t="s">
        <v>1169</v>
      </c>
      <c r="K23"/>
      <c r="L23" t="s">
        <v>856</v>
      </c>
      <c r="M23" s="145">
        <f>(300+500+42)/52</f>
        <v>16.192307692307693</v>
      </c>
      <c r="N23" s="145">
        <f>500/52</f>
        <v>9.615384615384615</v>
      </c>
      <c r="O23" s="145">
        <f>6/52</f>
        <v>0.11538461538461539</v>
      </c>
      <c r="P23" s="146">
        <v>0</v>
      </c>
      <c r="Q23" s="146">
        <f>32640</f>
        <v>32640</v>
      </c>
      <c r="R23" s="143">
        <v>42979</v>
      </c>
      <c r="T23" s="69" t="s">
        <v>1754</v>
      </c>
      <c r="V23">
        <v>1</v>
      </c>
      <c r="W23" s="77"/>
    </row>
    <row r="24" spans="1:23" ht="15" customHeight="1" x14ac:dyDescent="0.25">
      <c r="A24" s="2" t="s">
        <v>1142</v>
      </c>
      <c r="B24" s="2" t="s">
        <v>31</v>
      </c>
      <c r="C24" s="89">
        <v>11</v>
      </c>
      <c r="D24" s="88">
        <v>313</v>
      </c>
      <c r="E24" s="78">
        <v>1</v>
      </c>
      <c r="F24" t="s">
        <v>946</v>
      </c>
      <c r="G24" s="10" t="s">
        <v>947</v>
      </c>
      <c r="H24" s="78">
        <v>3400</v>
      </c>
      <c r="I24" s="10" t="s">
        <v>265</v>
      </c>
      <c r="J24" t="s">
        <v>1169</v>
      </c>
      <c r="K24"/>
      <c r="L24" s="10" t="s">
        <v>856</v>
      </c>
      <c r="M24" s="145">
        <f>(300+600+4)/52</f>
        <v>17.384615384615383</v>
      </c>
      <c r="N24" s="145">
        <f>200/52</f>
        <v>3.8461538461538463</v>
      </c>
      <c r="O24" s="145">
        <v>0</v>
      </c>
      <c r="P24" s="146">
        <v>0</v>
      </c>
      <c r="Q24" s="146">
        <v>2380</v>
      </c>
      <c r="R24" s="144">
        <v>43617</v>
      </c>
      <c r="S24" s="10"/>
      <c r="T24" s="69" t="s">
        <v>1754</v>
      </c>
      <c r="U24" s="10"/>
      <c r="V24">
        <v>1</v>
      </c>
      <c r="W24" s="77"/>
    </row>
    <row r="25" spans="1:23" ht="15" customHeight="1" x14ac:dyDescent="0.25">
      <c r="A25" s="2" t="s">
        <v>1142</v>
      </c>
      <c r="B25" s="2" t="s">
        <v>31</v>
      </c>
      <c r="C25" s="89">
        <v>11</v>
      </c>
      <c r="D25" s="89">
        <v>319</v>
      </c>
      <c r="E25" s="78">
        <v>1</v>
      </c>
      <c r="F25" t="s">
        <v>600</v>
      </c>
      <c r="G25" s="10" t="s">
        <v>601</v>
      </c>
      <c r="H25" s="78" t="s">
        <v>264</v>
      </c>
      <c r="I25" s="10" t="s">
        <v>265</v>
      </c>
      <c r="J25" t="s">
        <v>1170</v>
      </c>
      <c r="K25"/>
      <c r="L25" t="s">
        <v>856</v>
      </c>
      <c r="M25" s="145">
        <f>(300+400+25)/52</f>
        <v>13.942307692307692</v>
      </c>
      <c r="N25" s="145">
        <f>200/52</f>
        <v>3.8461538461538463</v>
      </c>
      <c r="O25" s="145">
        <v>0</v>
      </c>
      <c r="P25" s="146">
        <v>0</v>
      </c>
      <c r="Q25" s="146">
        <f>24140</f>
        <v>24140</v>
      </c>
      <c r="R25" s="143">
        <v>43087</v>
      </c>
      <c r="T25" s="69" t="s">
        <v>1754</v>
      </c>
      <c r="V25">
        <v>1</v>
      </c>
      <c r="W25" s="77"/>
    </row>
    <row r="26" spans="1:23" ht="15" customHeight="1" x14ac:dyDescent="0.25">
      <c r="A26" s="2" t="s">
        <v>1142</v>
      </c>
      <c r="B26" s="2" t="s">
        <v>31</v>
      </c>
      <c r="C26" s="89">
        <v>11</v>
      </c>
      <c r="D26" s="89">
        <v>364</v>
      </c>
      <c r="E26" s="78">
        <v>1</v>
      </c>
      <c r="G26" s="10" t="s">
        <v>602</v>
      </c>
      <c r="H26" s="78" t="s">
        <v>264</v>
      </c>
      <c r="I26" s="10" t="s">
        <v>265</v>
      </c>
      <c r="J26" t="s">
        <v>1169</v>
      </c>
      <c r="K26"/>
      <c r="L26" t="s">
        <v>856</v>
      </c>
      <c r="M26" s="145">
        <f>(25+25+4)/52</f>
        <v>1.0384615384615385</v>
      </c>
      <c r="N26" s="145">
        <v>0</v>
      </c>
      <c r="O26" s="145">
        <v>0</v>
      </c>
      <c r="P26" s="146">
        <v>0</v>
      </c>
      <c r="Q26" s="146">
        <v>1020</v>
      </c>
      <c r="R26" s="143">
        <v>42979</v>
      </c>
      <c r="T26" s="69" t="s">
        <v>1754</v>
      </c>
      <c r="V26">
        <v>1</v>
      </c>
      <c r="W26" s="77"/>
    </row>
    <row r="27" spans="1:23" ht="15" customHeight="1" x14ac:dyDescent="0.25">
      <c r="A27" s="2" t="s">
        <v>1142</v>
      </c>
      <c r="B27" s="2" t="s">
        <v>31</v>
      </c>
      <c r="C27" s="89">
        <v>11</v>
      </c>
      <c r="D27" s="89">
        <v>392</v>
      </c>
      <c r="E27" s="78">
        <v>1</v>
      </c>
      <c r="G27" s="10" t="s">
        <v>582</v>
      </c>
      <c r="H27" s="78" t="s">
        <v>96</v>
      </c>
      <c r="I27" s="10" t="s">
        <v>97</v>
      </c>
      <c r="J27" t="s">
        <v>1034</v>
      </c>
      <c r="K27"/>
      <c r="L27" t="s">
        <v>838</v>
      </c>
      <c r="M27" s="145">
        <f>(80+4)/52</f>
        <v>1.6153846153846154</v>
      </c>
      <c r="N27" s="145">
        <v>0</v>
      </c>
      <c r="O27" s="145">
        <v>0</v>
      </c>
      <c r="P27" s="146">
        <v>0</v>
      </c>
      <c r="Q27" s="146">
        <v>340</v>
      </c>
      <c r="R27" s="146"/>
      <c r="T27" s="69" t="s">
        <v>1754</v>
      </c>
      <c r="V27">
        <v>1</v>
      </c>
      <c r="W27" s="77"/>
    </row>
    <row r="28" spans="1:23" ht="15" customHeight="1" x14ac:dyDescent="0.25">
      <c r="A28" s="2" t="s">
        <v>1142</v>
      </c>
      <c r="B28" s="2" t="s">
        <v>31</v>
      </c>
      <c r="C28" s="89">
        <v>11</v>
      </c>
      <c r="D28" s="89">
        <v>396</v>
      </c>
      <c r="E28" s="78">
        <v>1</v>
      </c>
      <c r="G28" t="s">
        <v>420</v>
      </c>
      <c r="H28" s="78" t="s">
        <v>100</v>
      </c>
      <c r="I28" s="10" t="s">
        <v>101</v>
      </c>
      <c r="J28" t="s">
        <v>1034</v>
      </c>
      <c r="K28"/>
      <c r="L28" t="s">
        <v>856</v>
      </c>
      <c r="M28" s="145">
        <f>(40+150+18)/52</f>
        <v>4</v>
      </c>
      <c r="N28" s="145">
        <v>0</v>
      </c>
      <c r="O28" s="145">
        <v>0</v>
      </c>
      <c r="P28" s="146">
        <v>0</v>
      </c>
      <c r="Q28" s="146">
        <f>5780</f>
        <v>5780</v>
      </c>
      <c r="T28" s="69" t="s">
        <v>1754</v>
      </c>
      <c r="V28">
        <v>1</v>
      </c>
      <c r="W28" s="77"/>
    </row>
    <row r="29" spans="1:23" ht="15" customHeight="1" x14ac:dyDescent="0.25">
      <c r="A29" s="78" t="s">
        <v>1142</v>
      </c>
      <c r="B29" s="78" t="s">
        <v>31</v>
      </c>
      <c r="C29" s="89">
        <v>11</v>
      </c>
      <c r="D29" s="89">
        <v>409</v>
      </c>
      <c r="E29" s="78">
        <v>1</v>
      </c>
      <c r="F29" t="s">
        <v>580</v>
      </c>
      <c r="G29" s="10" t="s">
        <v>580</v>
      </c>
      <c r="H29" s="78" t="s">
        <v>264</v>
      </c>
      <c r="I29" s="10" t="s">
        <v>265</v>
      </c>
      <c r="J29" t="s">
        <v>1169</v>
      </c>
      <c r="K29"/>
      <c r="L29" t="s">
        <v>856</v>
      </c>
      <c r="M29" s="145">
        <f>(25+4)/52</f>
        <v>0.55769230769230771</v>
      </c>
      <c r="N29" s="145">
        <v>0</v>
      </c>
      <c r="O29" s="145">
        <v>0</v>
      </c>
      <c r="P29" s="146">
        <v>0</v>
      </c>
      <c r="Q29" s="146">
        <v>4420</v>
      </c>
      <c r="R29" s="143">
        <v>42979</v>
      </c>
      <c r="T29" s="69" t="s">
        <v>1754</v>
      </c>
      <c r="V29">
        <v>1</v>
      </c>
      <c r="W29" s="77"/>
    </row>
    <row r="30" spans="1:23" ht="15" customHeight="1" x14ac:dyDescent="0.25">
      <c r="A30" s="2" t="s">
        <v>1142</v>
      </c>
      <c r="B30" s="2" t="s">
        <v>31</v>
      </c>
      <c r="C30" s="89">
        <v>11</v>
      </c>
      <c r="D30" s="89">
        <v>414</v>
      </c>
      <c r="E30" s="78">
        <v>2</v>
      </c>
      <c r="G30" t="s">
        <v>685</v>
      </c>
      <c r="H30" s="78" t="s">
        <v>578</v>
      </c>
      <c r="I30" s="10" t="s">
        <v>579</v>
      </c>
      <c r="J30" t="s">
        <v>1034</v>
      </c>
      <c r="K30"/>
      <c r="L30" t="s">
        <v>856</v>
      </c>
      <c r="M30" s="145">
        <f>(30+4)/52</f>
        <v>0.65384615384615385</v>
      </c>
      <c r="N30" s="145">
        <f>70/52</f>
        <v>1.3461538461538463</v>
      </c>
      <c r="O30" s="145">
        <v>0</v>
      </c>
      <c r="P30" s="146">
        <v>0</v>
      </c>
      <c r="Q30" s="146">
        <f>3400</f>
        <v>3400</v>
      </c>
      <c r="R30" s="143">
        <v>42979</v>
      </c>
      <c r="T30" s="69" t="s">
        <v>1754</v>
      </c>
      <c r="V30">
        <v>1</v>
      </c>
      <c r="W30" s="77"/>
    </row>
    <row r="31" spans="1:23" x14ac:dyDescent="0.25">
      <c r="A31" s="2" t="s">
        <v>1142</v>
      </c>
      <c r="B31" s="2" t="s">
        <v>31</v>
      </c>
      <c r="C31" s="89">
        <v>11</v>
      </c>
      <c r="D31" s="89">
        <v>454</v>
      </c>
      <c r="E31" s="78">
        <v>1</v>
      </c>
      <c r="G31" t="s">
        <v>419</v>
      </c>
      <c r="H31" s="2" t="s">
        <v>100</v>
      </c>
      <c r="I31" s="10" t="s">
        <v>101</v>
      </c>
      <c r="J31" t="s">
        <v>1034</v>
      </c>
      <c r="K31"/>
      <c r="L31" t="s">
        <v>856</v>
      </c>
      <c r="M31" s="145">
        <f>(4+70+4)/52</f>
        <v>1.5</v>
      </c>
      <c r="N31" s="145">
        <v>0</v>
      </c>
      <c r="O31" s="145">
        <v>0</v>
      </c>
      <c r="P31" s="146">
        <v>0</v>
      </c>
      <c r="Q31" s="146">
        <v>1700</v>
      </c>
      <c r="R31" s="146"/>
      <c r="T31" s="69" t="s">
        <v>1754</v>
      </c>
      <c r="V31">
        <v>1</v>
      </c>
      <c r="W31" s="77"/>
    </row>
    <row r="32" spans="1:23" ht="15" customHeight="1" x14ac:dyDescent="0.25">
      <c r="A32" s="2" t="s">
        <v>1142</v>
      </c>
      <c r="B32" s="2" t="s">
        <v>31</v>
      </c>
      <c r="C32" s="89">
        <v>11</v>
      </c>
      <c r="D32" s="89">
        <v>357</v>
      </c>
      <c r="E32" s="78">
        <v>1</v>
      </c>
      <c r="F32" s="140" t="s">
        <v>946</v>
      </c>
      <c r="G32" s="10" t="s">
        <v>1179</v>
      </c>
      <c r="H32" s="2">
        <v>3400</v>
      </c>
      <c r="I32" s="10" t="s">
        <v>265</v>
      </c>
      <c r="K32"/>
      <c r="L32" t="s">
        <v>856</v>
      </c>
      <c r="M32" s="145"/>
      <c r="N32" s="145"/>
      <c r="O32" s="145"/>
      <c r="P32" s="146"/>
      <c r="Q32" s="146"/>
      <c r="T32" s="78" t="s">
        <v>1755</v>
      </c>
      <c r="U32" t="s">
        <v>1734</v>
      </c>
      <c r="V32">
        <v>1</v>
      </c>
      <c r="W32" s="77"/>
    </row>
    <row r="33" spans="1:23" ht="15" customHeight="1" x14ac:dyDescent="0.25">
      <c r="A33" s="2" t="s">
        <v>1142</v>
      </c>
      <c r="B33" s="2" t="s">
        <v>31</v>
      </c>
      <c r="C33" s="94">
        <v>11</v>
      </c>
      <c r="D33" s="94">
        <v>304</v>
      </c>
      <c r="E33" s="78">
        <v>1</v>
      </c>
      <c r="F33" s="161"/>
      <c r="G33" s="68" t="s">
        <v>429</v>
      </c>
      <c r="H33" s="2" t="s">
        <v>369</v>
      </c>
      <c r="I33" s="10" t="s">
        <v>370</v>
      </c>
      <c r="J33" t="s">
        <v>891</v>
      </c>
      <c r="K33"/>
      <c r="L33" t="s">
        <v>856</v>
      </c>
      <c r="M33" s="145"/>
      <c r="N33" s="145"/>
      <c r="O33" s="145"/>
      <c r="P33" s="146"/>
      <c r="Q33" s="146"/>
      <c r="T33" s="78" t="s">
        <v>1755</v>
      </c>
      <c r="U33" t="s">
        <v>1760</v>
      </c>
      <c r="V33">
        <v>1</v>
      </c>
      <c r="W33" s="77" t="s">
        <v>1144</v>
      </c>
    </row>
    <row r="34" spans="1:23" x14ac:dyDescent="0.25">
      <c r="A34" s="2" t="s">
        <v>1142</v>
      </c>
      <c r="B34" s="2" t="s">
        <v>31</v>
      </c>
      <c r="C34" s="95">
        <v>11</v>
      </c>
      <c r="D34" s="95">
        <v>189</v>
      </c>
      <c r="E34" s="78">
        <v>1</v>
      </c>
      <c r="F34" s="140"/>
      <c r="G34" s="68" t="s">
        <v>45</v>
      </c>
      <c r="H34" s="78" t="s">
        <v>13</v>
      </c>
      <c r="I34" t="s">
        <v>14</v>
      </c>
      <c r="J34" t="s">
        <v>357</v>
      </c>
      <c r="K34"/>
      <c r="L34" t="s">
        <v>856</v>
      </c>
      <c r="M34" s="145"/>
      <c r="N34" s="145"/>
      <c r="O34" s="145"/>
      <c r="P34" s="146"/>
      <c r="Q34" s="146"/>
      <c r="T34" s="78" t="s">
        <v>1755</v>
      </c>
      <c r="U34" t="s">
        <v>1734</v>
      </c>
      <c r="V34">
        <v>1</v>
      </c>
      <c r="W34" s="77" t="s">
        <v>1144</v>
      </c>
    </row>
    <row r="35" spans="1:23" x14ac:dyDescent="0.25">
      <c r="A35" s="2" t="s">
        <v>1142</v>
      </c>
      <c r="B35" s="2" t="s">
        <v>31</v>
      </c>
      <c r="C35" s="95">
        <v>11</v>
      </c>
      <c r="D35" s="95">
        <v>425</v>
      </c>
      <c r="E35" s="78">
        <v>1</v>
      </c>
      <c r="F35" s="140"/>
      <c r="G35" s="68" t="s">
        <v>59</v>
      </c>
      <c r="H35" s="78" t="s">
        <v>13</v>
      </c>
      <c r="I35" t="s">
        <v>14</v>
      </c>
      <c r="J35" t="s">
        <v>357</v>
      </c>
      <c r="K35"/>
      <c r="L35" t="s">
        <v>856</v>
      </c>
      <c r="M35" s="145"/>
      <c r="N35" s="145"/>
      <c r="O35" s="145"/>
      <c r="P35" s="146"/>
      <c r="Q35" s="146"/>
      <c r="T35" s="78" t="s">
        <v>1755</v>
      </c>
      <c r="U35" t="s">
        <v>1734</v>
      </c>
      <c r="V35">
        <v>1</v>
      </c>
      <c r="W35" s="77"/>
    </row>
    <row r="36" spans="1:23" x14ac:dyDescent="0.25">
      <c r="A36" s="2" t="s">
        <v>1142</v>
      </c>
      <c r="B36" s="2" t="s">
        <v>31</v>
      </c>
      <c r="C36" s="93">
        <v>11</v>
      </c>
      <c r="D36" s="93">
        <v>154</v>
      </c>
      <c r="E36" s="78">
        <v>1</v>
      </c>
      <c r="F36" s="68"/>
      <c r="G36" s="68" t="s">
        <v>44</v>
      </c>
      <c r="H36" s="78" t="s">
        <v>11</v>
      </c>
      <c r="I36" t="s">
        <v>12</v>
      </c>
      <c r="J36" t="s">
        <v>356</v>
      </c>
      <c r="K36"/>
      <c r="L36" t="s">
        <v>838</v>
      </c>
      <c r="M36" s="145">
        <f>(100+150+4)/52</f>
        <v>4.884615384615385</v>
      </c>
      <c r="N36" s="145">
        <f>25/52</f>
        <v>0.48076923076923078</v>
      </c>
      <c r="O36" s="145">
        <v>0</v>
      </c>
      <c r="P36" s="146">
        <v>0</v>
      </c>
      <c r="Q36" s="146">
        <f>2380</f>
        <v>2380</v>
      </c>
      <c r="T36" s="78" t="s">
        <v>1754</v>
      </c>
      <c r="V36">
        <v>1</v>
      </c>
      <c r="W36" s="77"/>
    </row>
    <row r="37" spans="1:23" x14ac:dyDescent="0.25">
      <c r="A37" s="2" t="s">
        <v>1142</v>
      </c>
      <c r="B37" s="2" t="s">
        <v>31</v>
      </c>
      <c r="C37" s="93">
        <v>11</v>
      </c>
      <c r="D37" s="93">
        <v>191</v>
      </c>
      <c r="E37" s="78">
        <v>1</v>
      </c>
      <c r="F37" s="68"/>
      <c r="G37" s="68" t="s">
        <v>47</v>
      </c>
      <c r="H37" s="78" t="s">
        <v>15</v>
      </c>
      <c r="I37" t="s">
        <v>16</v>
      </c>
      <c r="J37" t="s">
        <v>355</v>
      </c>
      <c r="K37"/>
      <c r="L37" t="s">
        <v>856</v>
      </c>
      <c r="M37" s="145">
        <f>(100+50+21+100)/52</f>
        <v>5.2115384615384617</v>
      </c>
      <c r="N37" s="145">
        <f>100/52</f>
        <v>1.9230769230769231</v>
      </c>
      <c r="O37" s="145">
        <v>0</v>
      </c>
      <c r="P37" s="146">
        <v>0</v>
      </c>
      <c r="Q37" s="146">
        <f>7480</f>
        <v>7480</v>
      </c>
      <c r="T37" s="78" t="s">
        <v>1754</v>
      </c>
      <c r="V37">
        <v>1</v>
      </c>
      <c r="W37" s="77"/>
    </row>
    <row r="38" spans="1:23" x14ac:dyDescent="0.25">
      <c r="A38" s="2" t="s">
        <v>1142</v>
      </c>
      <c r="B38" s="2" t="s">
        <v>31</v>
      </c>
      <c r="C38" s="93">
        <v>11</v>
      </c>
      <c r="D38" s="93">
        <v>193</v>
      </c>
      <c r="E38" s="78">
        <v>1</v>
      </c>
      <c r="F38" s="68"/>
      <c r="G38" s="68" t="s">
        <v>48</v>
      </c>
      <c r="H38" s="78" t="s">
        <v>15</v>
      </c>
      <c r="I38" t="s">
        <v>16</v>
      </c>
      <c r="J38" t="s">
        <v>355</v>
      </c>
      <c r="K38"/>
      <c r="L38" t="s">
        <v>856</v>
      </c>
      <c r="M38" s="145">
        <f>(50+100+25+100)/52</f>
        <v>5.2884615384615383</v>
      </c>
      <c r="N38" s="145">
        <f>100/52</f>
        <v>1.9230769230769231</v>
      </c>
      <c r="O38" s="145">
        <v>0</v>
      </c>
      <c r="P38" s="146">
        <v>0</v>
      </c>
      <c r="Q38" s="146">
        <f>9180</f>
        <v>9180</v>
      </c>
      <c r="T38" s="78" t="s">
        <v>1754</v>
      </c>
      <c r="V38">
        <v>1</v>
      </c>
      <c r="W38" s="77"/>
    </row>
    <row r="39" spans="1:23" x14ac:dyDescent="0.25">
      <c r="A39" s="2" t="s">
        <v>1142</v>
      </c>
      <c r="B39" s="2" t="s">
        <v>31</v>
      </c>
      <c r="C39" s="93">
        <v>11</v>
      </c>
      <c r="D39" s="93">
        <v>198</v>
      </c>
      <c r="E39" s="78">
        <v>1</v>
      </c>
      <c r="F39" s="68"/>
      <c r="G39" s="68" t="s">
        <v>49</v>
      </c>
      <c r="H39" s="78" t="s">
        <v>15</v>
      </c>
      <c r="I39" t="s">
        <v>16</v>
      </c>
      <c r="J39" t="s">
        <v>355</v>
      </c>
      <c r="K39"/>
      <c r="L39" t="s">
        <v>856</v>
      </c>
      <c r="M39" s="145">
        <f>(50+100+11)/52</f>
        <v>3.0961538461538463</v>
      </c>
      <c r="N39" s="145">
        <f>110/52</f>
        <v>2.1153846153846154</v>
      </c>
      <c r="O39" s="145">
        <v>0</v>
      </c>
      <c r="P39" s="146">
        <v>0</v>
      </c>
      <c r="Q39" s="146">
        <f>3060</f>
        <v>3060</v>
      </c>
      <c r="T39" s="78" t="s">
        <v>1754</v>
      </c>
      <c r="V39">
        <v>1</v>
      </c>
      <c r="W39" s="77"/>
    </row>
    <row r="40" spans="1:23" x14ac:dyDescent="0.25">
      <c r="A40" s="2" t="s">
        <v>1142</v>
      </c>
      <c r="B40" s="2" t="s">
        <v>31</v>
      </c>
      <c r="C40" s="93">
        <v>11</v>
      </c>
      <c r="D40" s="93">
        <v>199</v>
      </c>
      <c r="E40" s="78">
        <v>1</v>
      </c>
      <c r="F40" s="68"/>
      <c r="G40" s="68" t="s">
        <v>50</v>
      </c>
      <c r="H40" s="78" t="s">
        <v>15</v>
      </c>
      <c r="I40" t="s">
        <v>16</v>
      </c>
      <c r="J40" t="s">
        <v>355</v>
      </c>
      <c r="K40"/>
      <c r="L40" t="s">
        <v>856</v>
      </c>
      <c r="M40" s="145">
        <f>(50+100+18)/52</f>
        <v>3.2307692307692308</v>
      </c>
      <c r="N40" s="145">
        <f>110/52</f>
        <v>2.1153846153846154</v>
      </c>
      <c r="O40" s="145">
        <v>0</v>
      </c>
      <c r="P40" s="146">
        <v>0</v>
      </c>
      <c r="Q40" s="146">
        <f>4080</f>
        <v>4080</v>
      </c>
      <c r="T40" s="78" t="s">
        <v>1754</v>
      </c>
      <c r="V40">
        <v>1</v>
      </c>
      <c r="W40" s="77"/>
    </row>
    <row r="41" spans="1:23" x14ac:dyDescent="0.25">
      <c r="A41" s="2" t="s">
        <v>1142</v>
      </c>
      <c r="B41" s="2" t="s">
        <v>31</v>
      </c>
      <c r="C41" s="93">
        <v>11</v>
      </c>
      <c r="D41" s="93">
        <v>404</v>
      </c>
      <c r="E41" s="78">
        <v>1</v>
      </c>
      <c r="F41" s="68"/>
      <c r="G41" s="68" t="s">
        <v>58</v>
      </c>
      <c r="H41" s="78" t="s">
        <v>11</v>
      </c>
      <c r="I41" t="s">
        <v>12</v>
      </c>
      <c r="J41" t="s">
        <v>356</v>
      </c>
      <c r="K41"/>
      <c r="L41" t="s">
        <v>856</v>
      </c>
      <c r="M41" s="145">
        <f>(150+250+63)/52</f>
        <v>8.9038461538461533</v>
      </c>
      <c r="N41" s="145">
        <f>150/52</f>
        <v>2.8846153846153846</v>
      </c>
      <c r="O41" s="145">
        <v>0</v>
      </c>
      <c r="P41" s="146">
        <v>0</v>
      </c>
      <c r="Q41" s="146">
        <f>31960</f>
        <v>31960</v>
      </c>
      <c r="T41" s="78" t="s">
        <v>1754</v>
      </c>
      <c r="V41">
        <v>1</v>
      </c>
      <c r="W41" s="77"/>
    </row>
    <row r="42" spans="1:23" x14ac:dyDescent="0.25">
      <c r="A42" s="2" t="s">
        <v>1142</v>
      </c>
      <c r="B42" s="2" t="s">
        <v>31</v>
      </c>
      <c r="C42" s="93">
        <v>11</v>
      </c>
      <c r="D42" s="93">
        <v>490</v>
      </c>
      <c r="E42" s="78">
        <v>1</v>
      </c>
      <c r="F42" s="68"/>
      <c r="G42" s="68" t="s">
        <v>62</v>
      </c>
      <c r="H42" s="78" t="s">
        <v>25</v>
      </c>
      <c r="I42" t="s">
        <v>26</v>
      </c>
      <c r="J42" t="s">
        <v>355</v>
      </c>
      <c r="K42"/>
      <c r="L42" t="s">
        <v>856</v>
      </c>
      <c r="M42" s="145">
        <f>(350+400+56+150)/52</f>
        <v>18.384615384615383</v>
      </c>
      <c r="N42" s="145">
        <f>250/52</f>
        <v>4.8076923076923075</v>
      </c>
      <c r="O42" s="145">
        <v>0</v>
      </c>
      <c r="P42" s="146">
        <v>0</v>
      </c>
      <c r="Q42" s="146">
        <f>44540</f>
        <v>44540</v>
      </c>
      <c r="T42" s="78" t="s">
        <v>1754</v>
      </c>
      <c r="V42">
        <v>1</v>
      </c>
      <c r="W42" s="77"/>
    </row>
    <row r="43" spans="1:23" x14ac:dyDescent="0.25">
      <c r="A43" s="78" t="s">
        <v>1142</v>
      </c>
      <c r="B43" s="78" t="s">
        <v>31</v>
      </c>
      <c r="C43" s="78">
        <v>11</v>
      </c>
      <c r="D43" s="78">
        <v>160</v>
      </c>
      <c r="E43" s="78">
        <v>1</v>
      </c>
      <c r="F43" t="s">
        <v>216</v>
      </c>
      <c r="G43" t="s">
        <v>211</v>
      </c>
      <c r="H43" s="78" t="s">
        <v>17</v>
      </c>
      <c r="I43" t="s">
        <v>18</v>
      </c>
      <c r="J43" t="s">
        <v>926</v>
      </c>
      <c r="K43"/>
      <c r="L43" t="s">
        <v>838</v>
      </c>
      <c r="M43" s="145">
        <f>39+17.9</f>
        <v>56.9</v>
      </c>
      <c r="N43" s="145">
        <v>11</v>
      </c>
      <c r="O43" s="145">
        <f>16/52</f>
        <v>0.30769230769230771</v>
      </c>
      <c r="P43" s="146">
        <v>0</v>
      </c>
      <c r="Q43" s="146">
        <v>0</v>
      </c>
      <c r="R43" s="143">
        <v>43952</v>
      </c>
      <c r="T43" s="78" t="s">
        <v>1755</v>
      </c>
    </row>
  </sheetData>
  <mergeCells count="4">
    <mergeCell ref="A2:D2"/>
    <mergeCell ref="A3:B3"/>
    <mergeCell ref="M8:O8"/>
    <mergeCell ref="P8:Q8"/>
  </mergeCells>
  <phoneticPr fontId="16" type="noConversion"/>
  <hyperlinks>
    <hyperlink ref="D27" r:id="rId1" display="392_x000a_i" xr:uid="{00000000-0004-0000-0300-000000000000}"/>
    <hyperlink ref="D30" r:id="rId2" display="414_x000a_i" xr:uid="{00000000-0004-0000-0300-000001000000}"/>
    <hyperlink ref="F25" r:id="rId3" xr:uid="{00000000-0004-0000-0300-000002000000}"/>
    <hyperlink ref="F29" r:id="rId4" xr:uid="{00000000-0004-0000-0300-000003000000}"/>
    <hyperlink ref="D28" r:id="rId5" display="396_x000a_i" xr:uid="{00000000-0004-0000-0300-000004000000}"/>
    <hyperlink ref="D31" r:id="rId6" display="454_x000a_i" xr:uid="{00000000-0004-0000-0300-000005000000}"/>
    <hyperlink ref="F20" r:id="rId7" display="Rådyrvænget_x000a_Rådyrvænget 1,Rådyrvænget 10-14_x000a_Rådyrvænget 10-14 Rådyrvænget 24-28 Rådyrvænget 36-40" xr:uid="{00000000-0004-0000-0300-000006000000}"/>
  </hyperlinks>
  <pageMargins left="0.7" right="0.7" top="0.75" bottom="0.75" header="0.3" footer="0.3"/>
  <pageSetup paperSize="8" scale="49" fitToHeight="0" orientation="landscape" r:id="rId8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W37"/>
  <sheetViews>
    <sheetView zoomScale="70" zoomScaleNormal="70" workbookViewId="0">
      <selection activeCell="G21" sqref="G21"/>
    </sheetView>
  </sheetViews>
  <sheetFormatPr defaultRowHeight="15" x14ac:dyDescent="0.25"/>
  <cols>
    <col min="1" max="1" width="12.140625" style="2" bestFit="1" customWidth="1"/>
    <col min="2" max="2" width="16.140625" style="2" bestFit="1" customWidth="1"/>
    <col min="3" max="3" width="9.85546875" style="2" customWidth="1"/>
    <col min="4" max="4" width="14.140625" style="22" customWidth="1"/>
    <col min="5" max="5" width="9.85546875" customWidth="1"/>
    <col min="6" max="6" width="34.5703125" bestFit="1" customWidth="1"/>
    <col min="7" max="7" width="81.28515625" style="2" bestFit="1" customWidth="1"/>
    <col min="8" max="8" width="9.28515625" style="2" customWidth="1"/>
    <col min="9" max="9" width="14.28515625" style="78" customWidth="1"/>
    <col min="10" max="10" width="41.140625" style="10" bestFit="1" customWidth="1"/>
    <col min="11" max="11" width="13.7109375" style="2" customWidth="1"/>
    <col min="12" max="12" width="10.5703125" customWidth="1"/>
    <col min="13" max="13" width="11.140625" customWidth="1"/>
    <col min="14" max="15" width="10" customWidth="1"/>
    <col min="16" max="16" width="13.42578125" bestFit="1" customWidth="1"/>
    <col min="17" max="17" width="13.85546875" bestFit="1" customWidth="1"/>
    <col min="18" max="18" width="14.5703125" customWidth="1"/>
    <col min="19" max="19" width="14.5703125" bestFit="1" customWidth="1"/>
    <col min="20" max="20" width="10.5703125" style="164" customWidth="1"/>
    <col min="21" max="21" width="13.5703125" customWidth="1"/>
  </cols>
  <sheetData>
    <row r="1" spans="1:23" ht="18.75" x14ac:dyDescent="0.3">
      <c r="A1" s="187" t="s">
        <v>839</v>
      </c>
      <c r="B1" s="187"/>
      <c r="C1" s="7"/>
      <c r="G1"/>
    </row>
    <row r="2" spans="1:23" ht="15.75" thickBot="1" x14ac:dyDescent="0.3">
      <c r="A2" s="183" t="s">
        <v>177</v>
      </c>
      <c r="B2" s="183"/>
      <c r="C2" s="183"/>
      <c r="D2" s="183"/>
      <c r="G2"/>
    </row>
    <row r="3" spans="1:23" x14ac:dyDescent="0.25">
      <c r="A3" s="183" t="s">
        <v>178</v>
      </c>
      <c r="B3" s="183"/>
      <c r="C3" s="20">
        <f>K7</f>
        <v>28</v>
      </c>
      <c r="G3"/>
      <c r="J3" s="40" t="s">
        <v>838</v>
      </c>
      <c r="K3" s="41">
        <f>COUNTIFS(L:L,J3)</f>
        <v>3</v>
      </c>
    </row>
    <row r="4" spans="1:23" x14ac:dyDescent="0.25">
      <c r="A4" s="14" t="s">
        <v>311</v>
      </c>
      <c r="C4" s="12"/>
      <c r="G4"/>
      <c r="J4" s="42" t="s">
        <v>856</v>
      </c>
      <c r="K4" s="43">
        <f>COUNTIFS(L:L,J4)</f>
        <v>25</v>
      </c>
    </row>
    <row r="5" spans="1:23" x14ac:dyDescent="0.25">
      <c r="A5" s="183" t="s">
        <v>262</v>
      </c>
      <c r="B5" s="183"/>
      <c r="C5" s="11"/>
      <c r="D5" s="24"/>
      <c r="E5" s="12"/>
      <c r="F5" s="13"/>
      <c r="G5"/>
      <c r="J5" s="42" t="s">
        <v>860</v>
      </c>
      <c r="K5" s="43">
        <f>COUNTIFS(L:L,J5)</f>
        <v>0</v>
      </c>
    </row>
    <row r="6" spans="1:23" ht="15.75" thickBot="1" x14ac:dyDescent="0.3">
      <c r="A6" s="8" t="s">
        <v>179</v>
      </c>
      <c r="B6"/>
      <c r="C6"/>
      <c r="D6"/>
      <c r="G6"/>
      <c r="J6" s="44" t="s">
        <v>864</v>
      </c>
      <c r="K6" s="45">
        <f>COUNTIFS(L:L,J6)</f>
        <v>0</v>
      </c>
    </row>
    <row r="7" spans="1:23" x14ac:dyDescent="0.25">
      <c r="A7" s="8"/>
      <c r="B7"/>
      <c r="C7"/>
      <c r="D7"/>
      <c r="G7"/>
      <c r="H7" s="78"/>
      <c r="J7" s="78"/>
      <c r="K7" s="78">
        <f>SUM(K3:K6)</f>
        <v>28</v>
      </c>
    </row>
    <row r="8" spans="1:23" x14ac:dyDescent="0.25">
      <c r="A8" s="78"/>
      <c r="B8" s="78"/>
      <c r="C8" s="78"/>
      <c r="D8" s="78"/>
      <c r="G8" s="78"/>
      <c r="H8"/>
      <c r="I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132" t="s">
        <v>1222</v>
      </c>
      <c r="B9" s="132" t="s">
        <v>1</v>
      </c>
      <c r="C9" s="132" t="s">
        <v>46</v>
      </c>
      <c r="D9" s="133" t="s">
        <v>2</v>
      </c>
      <c r="E9" s="133" t="s">
        <v>0</v>
      </c>
      <c r="F9" s="134" t="s">
        <v>32</v>
      </c>
      <c r="G9" s="135" t="s">
        <v>28</v>
      </c>
      <c r="H9" s="132" t="s">
        <v>29</v>
      </c>
      <c r="I9" s="132" t="s">
        <v>30</v>
      </c>
      <c r="J9" s="135" t="s">
        <v>358</v>
      </c>
      <c r="K9" s="136" t="s">
        <v>1146</v>
      </c>
      <c r="L9" s="134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38" t="s">
        <v>1224</v>
      </c>
      <c r="S9" s="138" t="s">
        <v>1225</v>
      </c>
      <c r="T9" s="138" t="s">
        <v>1752</v>
      </c>
      <c r="U9" s="13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1360</v>
      </c>
      <c r="B10" s="2" t="s">
        <v>31</v>
      </c>
      <c r="C10" s="100">
        <v>11</v>
      </c>
      <c r="D10" s="100">
        <v>103</v>
      </c>
      <c r="E10" s="78">
        <v>1</v>
      </c>
      <c r="G10" t="s">
        <v>718</v>
      </c>
      <c r="H10" s="2" t="s">
        <v>88</v>
      </c>
      <c r="I10" t="s">
        <v>89</v>
      </c>
      <c r="J10" t="s">
        <v>923</v>
      </c>
      <c r="L10" t="s">
        <v>856</v>
      </c>
      <c r="M10" s="154">
        <f>(100+40+18)/52</f>
        <v>3.0384615384615383</v>
      </c>
      <c r="N10" s="154">
        <f>15/52</f>
        <v>0.28846153846153844</v>
      </c>
      <c r="O10" s="154">
        <v>0</v>
      </c>
      <c r="P10" s="155">
        <v>0</v>
      </c>
      <c r="Q10" s="155">
        <f>7650</f>
        <v>7650</v>
      </c>
      <c r="R10" s="143">
        <v>41518</v>
      </c>
      <c r="T10" s="78" t="s">
        <v>1754</v>
      </c>
      <c r="V10">
        <v>1</v>
      </c>
      <c r="W10" s="77"/>
    </row>
    <row r="11" spans="1:23" ht="15" customHeight="1" x14ac:dyDescent="0.25">
      <c r="A11" s="2" t="s">
        <v>1360</v>
      </c>
      <c r="B11" s="2" t="s">
        <v>31</v>
      </c>
      <c r="C11" s="100">
        <v>11</v>
      </c>
      <c r="D11" s="100">
        <v>104</v>
      </c>
      <c r="E11" s="78">
        <v>1</v>
      </c>
      <c r="G11" t="s">
        <v>719</v>
      </c>
      <c r="H11" s="2" t="s">
        <v>88</v>
      </c>
      <c r="I11" t="s">
        <v>89</v>
      </c>
      <c r="J11" t="s">
        <v>923</v>
      </c>
      <c r="L11" t="s">
        <v>856</v>
      </c>
      <c r="M11" s="154">
        <f>(125+350+21)/52</f>
        <v>9.5384615384615383</v>
      </c>
      <c r="N11" s="154">
        <f>136/52</f>
        <v>2.6153846153846154</v>
      </c>
      <c r="O11" s="154">
        <v>0</v>
      </c>
      <c r="P11" s="155">
        <f>2961.4</f>
        <v>2961.4</v>
      </c>
      <c r="Q11" s="155">
        <f>4250</f>
        <v>4250</v>
      </c>
      <c r="R11" s="143">
        <v>41518</v>
      </c>
      <c r="T11" s="78" t="s">
        <v>1754</v>
      </c>
      <c r="V11">
        <v>1</v>
      </c>
      <c r="W11" s="77"/>
    </row>
    <row r="12" spans="1:23" ht="15" customHeight="1" x14ac:dyDescent="0.25">
      <c r="A12" s="2" t="s">
        <v>1360</v>
      </c>
      <c r="B12" s="2" t="s">
        <v>31</v>
      </c>
      <c r="C12" s="100">
        <v>11</v>
      </c>
      <c r="D12" s="100">
        <v>114</v>
      </c>
      <c r="E12" s="78">
        <v>1</v>
      </c>
      <c r="G12" t="s">
        <v>664</v>
      </c>
      <c r="H12" s="2" t="s">
        <v>381</v>
      </c>
      <c r="I12" t="s">
        <v>382</v>
      </c>
      <c r="J12" t="s">
        <v>923</v>
      </c>
      <c r="L12" t="s">
        <v>856</v>
      </c>
      <c r="M12" s="154">
        <f>0.971153846153846+5.05769230769231+0.0576923076923077</f>
        <v>6.0865384615384635</v>
      </c>
      <c r="N12" s="154">
        <v>2.25</v>
      </c>
      <c r="O12" s="154">
        <v>3.8461538461538464E-2</v>
      </c>
      <c r="P12" s="155">
        <v>0</v>
      </c>
      <c r="Q12" s="155">
        <f>22400</f>
        <v>22400</v>
      </c>
      <c r="R12" s="143">
        <v>43009</v>
      </c>
      <c r="T12" s="78" t="s">
        <v>1754</v>
      </c>
      <c r="V12">
        <v>1</v>
      </c>
      <c r="W12" s="77"/>
    </row>
    <row r="13" spans="1:23" ht="15" customHeight="1" x14ac:dyDescent="0.25">
      <c r="A13" s="2" t="s">
        <v>1360</v>
      </c>
      <c r="B13" s="78" t="s">
        <v>31</v>
      </c>
      <c r="C13" s="100">
        <v>11</v>
      </c>
      <c r="D13" s="100">
        <v>350</v>
      </c>
      <c r="E13" s="78">
        <v>1</v>
      </c>
      <c r="F13" s="165" t="s">
        <v>665</v>
      </c>
      <c r="G13" t="s">
        <v>666</v>
      </c>
      <c r="H13" s="2" t="s">
        <v>381</v>
      </c>
      <c r="I13" t="s">
        <v>382</v>
      </c>
      <c r="J13" t="s">
        <v>883</v>
      </c>
      <c r="L13" t="s">
        <v>856</v>
      </c>
      <c r="M13" s="170">
        <v>37</v>
      </c>
      <c r="N13" s="154">
        <v>0</v>
      </c>
      <c r="O13" s="154">
        <v>0</v>
      </c>
      <c r="P13" s="155">
        <v>0</v>
      </c>
      <c r="Q13" s="155">
        <f>30275</f>
        <v>30275</v>
      </c>
      <c r="R13" s="143">
        <v>43344</v>
      </c>
      <c r="S13" s="166">
        <v>43708</v>
      </c>
      <c r="T13" s="78" t="s">
        <v>1754</v>
      </c>
      <c r="U13" t="s">
        <v>1744</v>
      </c>
      <c r="V13">
        <v>1</v>
      </c>
      <c r="W13" s="77"/>
    </row>
    <row r="14" spans="1:23" s="164" customFormat="1" ht="15" customHeight="1" x14ac:dyDescent="0.25">
      <c r="A14" s="78" t="s">
        <v>1360</v>
      </c>
      <c r="B14" s="78" t="s">
        <v>31</v>
      </c>
      <c r="C14" s="100">
        <v>11</v>
      </c>
      <c r="D14" s="100">
        <v>350</v>
      </c>
      <c r="E14" s="78">
        <v>1</v>
      </c>
      <c r="F14" s="165"/>
      <c r="G14" s="165"/>
      <c r="H14" s="78"/>
      <c r="K14" s="78"/>
      <c r="L14" s="164" t="s">
        <v>856</v>
      </c>
      <c r="M14" s="170">
        <v>32</v>
      </c>
      <c r="N14" s="154">
        <v>0</v>
      </c>
      <c r="O14" s="154">
        <v>0</v>
      </c>
      <c r="P14" s="155">
        <v>0</v>
      </c>
      <c r="Q14" s="155">
        <f>30275</f>
        <v>30275</v>
      </c>
      <c r="R14" s="144">
        <v>43709</v>
      </c>
      <c r="S14" s="144">
        <v>44074</v>
      </c>
      <c r="T14" s="78" t="s">
        <v>1761</v>
      </c>
      <c r="U14" s="10" t="s">
        <v>1771</v>
      </c>
      <c r="W14" s="77"/>
    </row>
    <row r="15" spans="1:23" s="164" customFormat="1" ht="15" customHeight="1" x14ac:dyDescent="0.25">
      <c r="A15" s="78" t="s">
        <v>1360</v>
      </c>
      <c r="B15" s="78" t="s">
        <v>31</v>
      </c>
      <c r="C15" s="100">
        <v>11</v>
      </c>
      <c r="D15" s="100">
        <v>350</v>
      </c>
      <c r="E15" s="78">
        <v>1</v>
      </c>
      <c r="F15" s="165"/>
      <c r="G15" s="165"/>
      <c r="H15" s="78"/>
      <c r="K15" s="78"/>
      <c r="L15" s="164" t="s">
        <v>856</v>
      </c>
      <c r="M15" s="170">
        <v>27.5</v>
      </c>
      <c r="N15" s="154">
        <v>0</v>
      </c>
      <c r="O15" s="154">
        <v>0</v>
      </c>
      <c r="P15" s="155">
        <v>0</v>
      </c>
      <c r="Q15" s="155">
        <f>30275</f>
        <v>30275</v>
      </c>
      <c r="R15" s="144">
        <v>44075</v>
      </c>
      <c r="S15" s="10"/>
      <c r="T15" s="78" t="s">
        <v>1754</v>
      </c>
      <c r="U15" s="10" t="s">
        <v>1772</v>
      </c>
      <c r="W15" s="77"/>
    </row>
    <row r="16" spans="1:23" ht="15" customHeight="1" x14ac:dyDescent="0.25">
      <c r="A16" s="78" t="s">
        <v>1360</v>
      </c>
      <c r="B16" s="78" t="s">
        <v>31</v>
      </c>
      <c r="C16" s="100">
        <v>11</v>
      </c>
      <c r="D16" s="100">
        <v>448</v>
      </c>
      <c r="E16" s="78">
        <v>1</v>
      </c>
      <c r="G16" t="s">
        <v>667</v>
      </c>
      <c r="H16" s="78" t="s">
        <v>381</v>
      </c>
      <c r="I16" t="s">
        <v>382</v>
      </c>
      <c r="J16" t="s">
        <v>923</v>
      </c>
      <c r="L16" t="s">
        <v>856</v>
      </c>
      <c r="M16" s="154">
        <f>1.5+6.7+0.1</f>
        <v>8.2999999999999989</v>
      </c>
      <c r="N16" s="154">
        <v>4.4000000000000004</v>
      </c>
      <c r="O16" s="154">
        <f>10/52</f>
        <v>0.19230769230769232</v>
      </c>
      <c r="P16" s="155">
        <v>0</v>
      </c>
      <c r="Q16" s="155">
        <f>32900</f>
        <v>32900</v>
      </c>
      <c r="R16" s="143">
        <v>43009</v>
      </c>
      <c r="T16" s="78" t="s">
        <v>1754</v>
      </c>
      <c r="V16">
        <v>1</v>
      </c>
      <c r="W16" s="77"/>
    </row>
    <row r="17" spans="1:23" ht="15" customHeight="1" x14ac:dyDescent="0.25">
      <c r="A17" s="78" t="s">
        <v>1360</v>
      </c>
      <c r="B17" s="78" t="s">
        <v>31</v>
      </c>
      <c r="C17" s="100">
        <v>11</v>
      </c>
      <c r="D17" s="100">
        <v>449</v>
      </c>
      <c r="E17" s="78">
        <v>1</v>
      </c>
      <c r="G17" t="s">
        <v>723</v>
      </c>
      <c r="H17" s="78" t="s">
        <v>88</v>
      </c>
      <c r="I17" t="s">
        <v>89</v>
      </c>
      <c r="J17" t="s">
        <v>923</v>
      </c>
      <c r="L17" t="s">
        <v>856</v>
      </c>
      <c r="M17" s="154">
        <f>(150+150+14)/52</f>
        <v>6.0384615384615383</v>
      </c>
      <c r="N17" s="154">
        <f>61/52</f>
        <v>1.1730769230769231</v>
      </c>
      <c r="O17" s="154">
        <v>0</v>
      </c>
      <c r="P17" s="155">
        <v>0</v>
      </c>
      <c r="Q17" s="155">
        <v>14450</v>
      </c>
      <c r="R17" s="143">
        <v>41518</v>
      </c>
      <c r="T17" s="78" t="s">
        <v>1754</v>
      </c>
      <c r="V17" s="98">
        <v>1</v>
      </c>
      <c r="W17" s="77"/>
    </row>
    <row r="18" spans="1:23" ht="15" customHeight="1" x14ac:dyDescent="0.25">
      <c r="A18" s="78" t="s">
        <v>1360</v>
      </c>
      <c r="B18" s="78" t="s">
        <v>31</v>
      </c>
      <c r="C18" s="100">
        <v>11</v>
      </c>
      <c r="D18" s="100">
        <v>450</v>
      </c>
      <c r="E18" s="78">
        <v>1</v>
      </c>
      <c r="F18" s="68" t="s">
        <v>213</v>
      </c>
      <c r="G18" t="s">
        <v>724</v>
      </c>
      <c r="H18" s="78" t="s">
        <v>88</v>
      </c>
      <c r="I18" t="s">
        <v>89</v>
      </c>
      <c r="J18" t="s">
        <v>923</v>
      </c>
      <c r="L18" t="s">
        <v>856</v>
      </c>
      <c r="M18" s="154">
        <f>(100+150+35)/52</f>
        <v>5.4807692307692308</v>
      </c>
      <c r="N18" s="154">
        <f>76/52</f>
        <v>1.4615384615384615</v>
      </c>
      <c r="O18" s="154">
        <v>0</v>
      </c>
      <c r="P18" s="155">
        <v>0</v>
      </c>
      <c r="Q18" s="155">
        <v>18700</v>
      </c>
      <c r="R18" s="143">
        <v>41518</v>
      </c>
      <c r="T18" s="78" t="s">
        <v>1754</v>
      </c>
      <c r="V18" s="98">
        <v>1</v>
      </c>
      <c r="W18" s="77"/>
    </row>
    <row r="19" spans="1:23" ht="15" customHeight="1" x14ac:dyDescent="0.25">
      <c r="A19" s="78" t="s">
        <v>1360</v>
      </c>
      <c r="B19" s="78" t="s">
        <v>1190</v>
      </c>
      <c r="C19" s="100">
        <v>183</v>
      </c>
      <c r="D19" s="100">
        <v>100</v>
      </c>
      <c r="E19" s="78">
        <v>1</v>
      </c>
      <c r="F19" s="140" t="s">
        <v>1188</v>
      </c>
      <c r="G19" t="s">
        <v>1189</v>
      </c>
      <c r="H19" s="2">
        <v>2150</v>
      </c>
      <c r="I19" t="s">
        <v>703</v>
      </c>
      <c r="J19" t="s">
        <v>927</v>
      </c>
      <c r="L19" t="s">
        <v>838</v>
      </c>
      <c r="M19" s="154"/>
      <c r="N19" s="154"/>
      <c r="O19" s="154"/>
      <c r="P19" s="155"/>
      <c r="Q19" s="155"/>
      <c r="T19" s="78" t="s">
        <v>1755</v>
      </c>
      <c r="U19" t="s">
        <v>1762</v>
      </c>
      <c r="V19">
        <v>1</v>
      </c>
      <c r="W19" s="77"/>
    </row>
    <row r="20" spans="1:23" ht="15" customHeight="1" x14ac:dyDescent="0.25">
      <c r="A20" s="78" t="s">
        <v>1360</v>
      </c>
      <c r="B20" s="2" t="s">
        <v>31</v>
      </c>
      <c r="C20" s="87">
        <v>11</v>
      </c>
      <c r="D20" s="87">
        <v>101</v>
      </c>
      <c r="E20" s="78">
        <v>1</v>
      </c>
      <c r="F20" t="s">
        <v>33</v>
      </c>
      <c r="G20" s="68" t="s">
        <v>34</v>
      </c>
      <c r="H20" s="2" t="s">
        <v>3</v>
      </c>
      <c r="I20" t="s">
        <v>4</v>
      </c>
      <c r="J20" t="s">
        <v>1148</v>
      </c>
      <c r="L20" t="s">
        <v>856</v>
      </c>
      <c r="M20" s="154">
        <f>(525+700+42)/52</f>
        <v>24.365384615384617</v>
      </c>
      <c r="N20" s="154">
        <v>0.86538461538461542</v>
      </c>
      <c r="O20" s="154">
        <v>0</v>
      </c>
      <c r="P20" s="155">
        <v>0</v>
      </c>
      <c r="Q20" s="155">
        <f>55760</f>
        <v>55760</v>
      </c>
      <c r="T20" s="78" t="s">
        <v>1754</v>
      </c>
      <c r="V20">
        <v>1</v>
      </c>
      <c r="W20" s="77"/>
    </row>
    <row r="21" spans="1:23" ht="15" customHeight="1" x14ac:dyDescent="0.25">
      <c r="A21" s="78" t="s">
        <v>1360</v>
      </c>
      <c r="B21" s="2" t="s">
        <v>31</v>
      </c>
      <c r="C21" s="87">
        <v>11</v>
      </c>
      <c r="D21" s="87">
        <v>115</v>
      </c>
      <c r="E21" s="78">
        <v>1</v>
      </c>
      <c r="G21" s="68" t="s">
        <v>36</v>
      </c>
      <c r="H21" s="2" t="s">
        <v>3</v>
      </c>
      <c r="I21" t="s">
        <v>4</v>
      </c>
      <c r="J21" t="s">
        <v>1148</v>
      </c>
      <c r="L21" t="s">
        <v>856</v>
      </c>
      <c r="M21" s="154">
        <f>(300+200+35)/52</f>
        <v>10.288461538461538</v>
      </c>
      <c r="N21" s="154">
        <f>100/52</f>
        <v>1.9230769230769231</v>
      </c>
      <c r="O21" s="154">
        <v>0</v>
      </c>
      <c r="P21" s="155">
        <v>0</v>
      </c>
      <c r="Q21" s="155">
        <f>27540</f>
        <v>27540</v>
      </c>
      <c r="T21" s="78" t="s">
        <v>1754</v>
      </c>
      <c r="V21">
        <v>1</v>
      </c>
      <c r="W21" s="77"/>
    </row>
    <row r="22" spans="1:23" ht="15" customHeight="1" x14ac:dyDescent="0.25">
      <c r="A22" s="78" t="s">
        <v>1360</v>
      </c>
      <c r="B22" s="2" t="s">
        <v>31</v>
      </c>
      <c r="C22" s="87">
        <v>11</v>
      </c>
      <c r="D22" s="87">
        <v>141</v>
      </c>
      <c r="E22" s="78">
        <v>1</v>
      </c>
      <c r="F22" t="s">
        <v>40</v>
      </c>
      <c r="G22" t="s">
        <v>41</v>
      </c>
      <c r="H22" s="2" t="s">
        <v>3</v>
      </c>
      <c r="I22" t="s">
        <v>4</v>
      </c>
      <c r="J22" t="s">
        <v>1148</v>
      </c>
      <c r="L22" t="s">
        <v>856</v>
      </c>
      <c r="M22" s="154">
        <f>(500+633+35)/52</f>
        <v>22.46153846153846</v>
      </c>
      <c r="N22" s="154">
        <f>192/52</f>
        <v>3.6923076923076925</v>
      </c>
      <c r="O22" s="154">
        <v>0</v>
      </c>
      <c r="P22" s="155">
        <v>0</v>
      </c>
      <c r="Q22" s="155">
        <f>45220</f>
        <v>45220</v>
      </c>
      <c r="T22" s="78" t="s">
        <v>1754</v>
      </c>
      <c r="V22">
        <v>1</v>
      </c>
      <c r="W22" s="77"/>
    </row>
    <row r="23" spans="1:23" ht="15" customHeight="1" x14ac:dyDescent="0.25">
      <c r="A23" s="78" t="s">
        <v>1360</v>
      </c>
      <c r="B23" s="2" t="s">
        <v>31</v>
      </c>
      <c r="C23" s="87">
        <v>11</v>
      </c>
      <c r="D23" s="87">
        <v>165</v>
      </c>
      <c r="E23" s="78">
        <v>1</v>
      </c>
      <c r="G23" t="s">
        <v>212</v>
      </c>
      <c r="H23" s="78" t="s">
        <v>181</v>
      </c>
      <c r="I23" t="s">
        <v>182</v>
      </c>
      <c r="J23" t="s">
        <v>1148</v>
      </c>
      <c r="L23" t="s">
        <v>856</v>
      </c>
      <c r="M23" s="154">
        <f>(50+175+7)/52</f>
        <v>4.4615384615384617</v>
      </c>
      <c r="N23" s="154">
        <v>0</v>
      </c>
      <c r="O23" s="154">
        <v>0</v>
      </c>
      <c r="P23" s="155">
        <v>0</v>
      </c>
      <c r="Q23" s="155">
        <f>5780</f>
        <v>5780</v>
      </c>
      <c r="T23" s="78" t="s">
        <v>1754</v>
      </c>
      <c r="V23">
        <v>1</v>
      </c>
      <c r="W23" s="77"/>
    </row>
    <row r="24" spans="1:23" x14ac:dyDescent="0.25">
      <c r="A24" s="78" t="s">
        <v>1360</v>
      </c>
      <c r="B24" s="2" t="s">
        <v>31</v>
      </c>
      <c r="C24" s="87">
        <v>11</v>
      </c>
      <c r="D24" s="87">
        <v>367</v>
      </c>
      <c r="E24" s="78">
        <v>1</v>
      </c>
      <c r="G24" s="68" t="s">
        <v>56</v>
      </c>
      <c r="H24" s="2" t="s">
        <v>7</v>
      </c>
      <c r="I24" t="s">
        <v>8</v>
      </c>
      <c r="J24" t="s">
        <v>1148</v>
      </c>
      <c r="L24" t="s">
        <v>856</v>
      </c>
      <c r="M24" s="154">
        <f>(250+100+35+100+12)/52</f>
        <v>9.5576923076923084</v>
      </c>
      <c r="N24" s="154">
        <f>200/52</f>
        <v>3.8461538461538463</v>
      </c>
      <c r="O24" s="154">
        <v>0</v>
      </c>
      <c r="P24" s="155">
        <v>0</v>
      </c>
      <c r="Q24" s="155">
        <f>13260</f>
        <v>13260</v>
      </c>
      <c r="T24" s="78" t="s">
        <v>1754</v>
      </c>
      <c r="V24">
        <v>1</v>
      </c>
      <c r="W24" s="77"/>
    </row>
    <row r="25" spans="1:23" x14ac:dyDescent="0.25">
      <c r="A25" s="78" t="s">
        <v>1360</v>
      </c>
      <c r="B25" s="2" t="s">
        <v>31</v>
      </c>
      <c r="C25" s="87">
        <v>11</v>
      </c>
      <c r="D25" s="87">
        <v>430</v>
      </c>
      <c r="E25" s="78">
        <v>1</v>
      </c>
      <c r="G25" s="68" t="s">
        <v>60</v>
      </c>
      <c r="H25" s="2" t="s">
        <v>3</v>
      </c>
      <c r="I25" t="s">
        <v>4</v>
      </c>
      <c r="J25" t="s">
        <v>1148</v>
      </c>
      <c r="L25" t="s">
        <v>856</v>
      </c>
      <c r="M25" s="154">
        <f>(70+70)/52</f>
        <v>2.6923076923076925</v>
      </c>
      <c r="N25" s="154">
        <v>0</v>
      </c>
      <c r="O25" s="154">
        <v>0</v>
      </c>
      <c r="P25" s="155">
        <v>0</v>
      </c>
      <c r="Q25" s="155">
        <f>8160</f>
        <v>8160</v>
      </c>
      <c r="T25" s="78" t="s">
        <v>1754</v>
      </c>
      <c r="V25">
        <v>1</v>
      </c>
      <c r="W25" s="77"/>
    </row>
    <row r="26" spans="1:23" x14ac:dyDescent="0.25">
      <c r="A26" s="78" t="s">
        <v>1360</v>
      </c>
      <c r="B26" s="2" t="s">
        <v>31</v>
      </c>
      <c r="C26" s="87">
        <v>11</v>
      </c>
      <c r="D26" s="87">
        <v>786</v>
      </c>
      <c r="E26" s="78">
        <v>1</v>
      </c>
      <c r="F26" t="s">
        <v>939</v>
      </c>
      <c r="G26" t="s">
        <v>940</v>
      </c>
      <c r="H26" s="2" t="s">
        <v>941</v>
      </c>
      <c r="I26" t="s">
        <v>8</v>
      </c>
      <c r="J26" t="s">
        <v>1148</v>
      </c>
      <c r="L26" t="s">
        <v>856</v>
      </c>
      <c r="M26" s="154">
        <f>(312+425+53)/52</f>
        <v>15.192307692307692</v>
      </c>
      <c r="N26" s="154">
        <f>117/52</f>
        <v>2.25</v>
      </c>
      <c r="O26" s="154">
        <v>0</v>
      </c>
      <c r="P26" s="155">
        <v>0</v>
      </c>
      <c r="Q26" s="155">
        <f>37400</f>
        <v>37400</v>
      </c>
      <c r="T26" s="78" t="s">
        <v>1754</v>
      </c>
      <c r="V26">
        <v>1</v>
      </c>
      <c r="W26" s="77"/>
    </row>
    <row r="27" spans="1:23" ht="15" customHeight="1" x14ac:dyDescent="0.25">
      <c r="A27" s="78" t="s">
        <v>1360</v>
      </c>
      <c r="B27" s="2" t="s">
        <v>176</v>
      </c>
      <c r="C27" s="101">
        <v>8</v>
      </c>
      <c r="D27" s="101">
        <v>249</v>
      </c>
      <c r="E27" s="78">
        <v>1</v>
      </c>
      <c r="F27" t="s">
        <v>937</v>
      </c>
      <c r="G27" t="s">
        <v>938</v>
      </c>
      <c r="H27" s="2">
        <v>2150</v>
      </c>
      <c r="I27" t="s">
        <v>703</v>
      </c>
      <c r="J27" t="s">
        <v>927</v>
      </c>
      <c r="L27" s="10" t="s">
        <v>856</v>
      </c>
      <c r="M27" s="154">
        <f>5.53846153846154+4.48076923076923</f>
        <v>10.01923076923077</v>
      </c>
      <c r="N27" s="154">
        <v>0</v>
      </c>
      <c r="O27" s="154">
        <v>0</v>
      </c>
      <c r="P27" s="155">
        <f>(30000+21600)</f>
        <v>51600</v>
      </c>
      <c r="Q27" s="155">
        <v>0</v>
      </c>
      <c r="R27" s="144">
        <v>43497</v>
      </c>
      <c r="S27" s="10"/>
      <c r="T27" s="78" t="s">
        <v>1754</v>
      </c>
      <c r="U27" s="10"/>
      <c r="V27">
        <v>1</v>
      </c>
      <c r="W27" s="77"/>
    </row>
    <row r="28" spans="1:23" ht="15" customHeight="1" x14ac:dyDescent="0.25">
      <c r="A28" s="78" t="s">
        <v>1360</v>
      </c>
      <c r="B28" s="2" t="s">
        <v>176</v>
      </c>
      <c r="C28" s="101">
        <v>8</v>
      </c>
      <c r="D28" s="103">
        <v>613</v>
      </c>
      <c r="E28" s="78">
        <v>1</v>
      </c>
      <c r="F28" s="68" t="s">
        <v>712</v>
      </c>
      <c r="G28" t="s">
        <v>713</v>
      </c>
      <c r="H28" s="2" t="s">
        <v>702</v>
      </c>
      <c r="I28" s="10" t="s">
        <v>703</v>
      </c>
      <c r="J28" t="s">
        <v>927</v>
      </c>
      <c r="L28" s="10" t="s">
        <v>856</v>
      </c>
      <c r="M28" s="154">
        <f>0.9+1.7+0.2</f>
        <v>2.8000000000000003</v>
      </c>
      <c r="N28" s="154">
        <v>0</v>
      </c>
      <c r="O28" s="154">
        <v>0</v>
      </c>
      <c r="P28" s="155">
        <v>0</v>
      </c>
      <c r="Q28" s="155">
        <f>8750</f>
        <v>8750</v>
      </c>
      <c r="R28" s="144">
        <v>43466</v>
      </c>
      <c r="S28" s="10"/>
      <c r="T28" s="78" t="s">
        <v>1754</v>
      </c>
      <c r="U28" s="10"/>
      <c r="V28" s="98">
        <v>1</v>
      </c>
      <c r="W28" s="77"/>
    </row>
    <row r="29" spans="1:23" ht="15" customHeight="1" thickBot="1" x14ac:dyDescent="0.3">
      <c r="A29" s="78" t="s">
        <v>1360</v>
      </c>
      <c r="B29" s="78" t="s">
        <v>31</v>
      </c>
      <c r="C29" s="101">
        <v>11</v>
      </c>
      <c r="D29" s="101">
        <v>133</v>
      </c>
      <c r="E29" s="78">
        <v>1</v>
      </c>
      <c r="F29" s="68" t="s">
        <v>37</v>
      </c>
      <c r="G29" s="68" t="s">
        <v>39</v>
      </c>
      <c r="H29" s="2" t="s">
        <v>7</v>
      </c>
      <c r="I29" t="s">
        <v>8</v>
      </c>
      <c r="J29" t="s">
        <v>927</v>
      </c>
      <c r="L29" t="s">
        <v>856</v>
      </c>
      <c r="M29" s="154">
        <f>(1031+2356+70+36)/52</f>
        <v>67.17307692307692</v>
      </c>
      <c r="N29" s="154">
        <f>82/52</f>
        <v>1.5769230769230769</v>
      </c>
      <c r="O29" s="154">
        <v>0</v>
      </c>
      <c r="P29" s="155">
        <v>0</v>
      </c>
      <c r="Q29" s="162">
        <f>32300</f>
        <v>32300</v>
      </c>
      <c r="R29" s="58"/>
      <c r="T29" s="78" t="s">
        <v>1754</v>
      </c>
      <c r="V29">
        <v>1</v>
      </c>
      <c r="W29" s="77"/>
    </row>
    <row r="30" spans="1:23" ht="15.75" thickBot="1" x14ac:dyDescent="0.3">
      <c r="A30" s="2" t="s">
        <v>1360</v>
      </c>
      <c r="B30" s="2" t="s">
        <v>31</v>
      </c>
      <c r="C30" s="101">
        <v>11</v>
      </c>
      <c r="D30" s="101">
        <v>308</v>
      </c>
      <c r="E30" s="78">
        <v>1</v>
      </c>
      <c r="F30" s="68" t="s">
        <v>721</v>
      </c>
      <c r="G30" t="s">
        <v>722</v>
      </c>
      <c r="H30" s="2" t="s">
        <v>702</v>
      </c>
      <c r="I30" t="s">
        <v>703</v>
      </c>
      <c r="J30" t="s">
        <v>927</v>
      </c>
      <c r="L30" t="s">
        <v>856</v>
      </c>
      <c r="M30" s="154">
        <f>13.4+11+0.3</f>
        <v>24.7</v>
      </c>
      <c r="N30" s="154">
        <v>1</v>
      </c>
      <c r="O30" s="154">
        <v>0</v>
      </c>
      <c r="P30" s="155">
        <f>21600</f>
        <v>21600</v>
      </c>
      <c r="Q30" s="155">
        <f>35350</f>
        <v>35350</v>
      </c>
      <c r="R30" s="144">
        <v>42917</v>
      </c>
      <c r="T30" s="78" t="s">
        <v>1754</v>
      </c>
      <c r="V30" s="105">
        <v>1</v>
      </c>
      <c r="W30" s="77"/>
    </row>
    <row r="31" spans="1:23" ht="15" customHeight="1" x14ac:dyDescent="0.25">
      <c r="A31" s="2" t="s">
        <v>1360</v>
      </c>
      <c r="B31" s="2" t="s">
        <v>31</v>
      </c>
      <c r="C31" s="101">
        <v>11</v>
      </c>
      <c r="D31" s="101">
        <v>507</v>
      </c>
      <c r="E31" s="78">
        <v>1</v>
      </c>
      <c r="F31" s="68"/>
      <c r="G31" t="s">
        <v>260</v>
      </c>
      <c r="H31" s="2" t="s">
        <v>7</v>
      </c>
      <c r="I31" t="s">
        <v>8</v>
      </c>
      <c r="J31" t="s">
        <v>927</v>
      </c>
      <c r="L31" t="s">
        <v>856</v>
      </c>
      <c r="M31" s="154">
        <f>(36+62+11)/52</f>
        <v>2.0961538461538463</v>
      </c>
      <c r="N31" s="154">
        <v>0</v>
      </c>
      <c r="O31" s="154">
        <v>0</v>
      </c>
      <c r="P31" s="155">
        <v>0</v>
      </c>
      <c r="Q31" s="162">
        <f>2125</f>
        <v>2125</v>
      </c>
      <c r="R31" s="58"/>
      <c r="T31" s="78" t="s">
        <v>1754</v>
      </c>
      <c r="V31">
        <v>1</v>
      </c>
      <c r="W31" s="77"/>
    </row>
    <row r="32" spans="1:23" ht="15" customHeight="1" x14ac:dyDescent="0.25">
      <c r="A32" s="2" t="s">
        <v>1360</v>
      </c>
      <c r="B32" s="78" t="s">
        <v>31</v>
      </c>
      <c r="C32" s="101">
        <v>11</v>
      </c>
      <c r="D32" s="101">
        <v>773</v>
      </c>
      <c r="E32" s="78">
        <v>1</v>
      </c>
      <c r="F32" s="68"/>
      <c r="G32" t="s">
        <v>814</v>
      </c>
      <c r="H32" s="2" t="s">
        <v>7</v>
      </c>
      <c r="I32" t="s">
        <v>8</v>
      </c>
      <c r="J32" t="s">
        <v>927</v>
      </c>
      <c r="L32" t="s">
        <v>856</v>
      </c>
      <c r="M32" s="154">
        <f>(61+125+18)/52</f>
        <v>3.9230769230769229</v>
      </c>
      <c r="N32" s="154">
        <v>0</v>
      </c>
      <c r="O32" s="154">
        <v>0</v>
      </c>
      <c r="P32" s="155">
        <v>0</v>
      </c>
      <c r="Q32" s="162">
        <f>5950</f>
        <v>5950</v>
      </c>
      <c r="R32" s="58"/>
      <c r="T32" s="78" t="s">
        <v>1754</v>
      </c>
      <c r="V32" s="98">
        <v>1</v>
      </c>
      <c r="W32" s="77"/>
    </row>
    <row r="33" spans="1:23" ht="15" customHeight="1" x14ac:dyDescent="0.25">
      <c r="A33" s="2" t="s">
        <v>1360</v>
      </c>
      <c r="B33" s="68" t="s">
        <v>625</v>
      </c>
      <c r="C33" s="78">
        <v>87</v>
      </c>
      <c r="D33" s="78">
        <v>507</v>
      </c>
      <c r="E33" s="78">
        <v>1</v>
      </c>
      <c r="F33" s="68" t="s">
        <v>729</v>
      </c>
      <c r="G33" t="s">
        <v>730</v>
      </c>
      <c r="H33" s="2" t="s">
        <v>191</v>
      </c>
      <c r="I33" t="s">
        <v>192</v>
      </c>
      <c r="J33" t="s">
        <v>1196</v>
      </c>
      <c r="L33" t="s">
        <v>838</v>
      </c>
      <c r="M33" s="154">
        <f>1.2+1.8+0.3</f>
        <v>3.3</v>
      </c>
      <c r="N33" s="154">
        <v>2.2999999999999998</v>
      </c>
      <c r="O33" s="154">
        <v>0</v>
      </c>
      <c r="P33" s="155">
        <v>0</v>
      </c>
      <c r="Q33" s="155">
        <f>9450</f>
        <v>9450</v>
      </c>
      <c r="R33" s="144">
        <v>43983</v>
      </c>
      <c r="T33" s="78" t="s">
        <v>1754</v>
      </c>
      <c r="V33">
        <v>1</v>
      </c>
      <c r="W33" s="77"/>
    </row>
    <row r="34" spans="1:23" ht="15" customHeight="1" x14ac:dyDescent="0.25">
      <c r="A34" s="2" t="s">
        <v>1360</v>
      </c>
      <c r="B34" s="2" t="s">
        <v>176</v>
      </c>
      <c r="C34" s="97">
        <v>8</v>
      </c>
      <c r="D34" s="102">
        <v>661</v>
      </c>
      <c r="E34" s="78">
        <v>1</v>
      </c>
      <c r="F34" s="68" t="s">
        <v>203</v>
      </c>
      <c r="G34" s="68" t="s">
        <v>202</v>
      </c>
      <c r="H34" s="2" t="s">
        <v>21</v>
      </c>
      <c r="I34" t="s">
        <v>22</v>
      </c>
      <c r="J34" s="10" t="s">
        <v>1227</v>
      </c>
      <c r="L34" s="10" t="s">
        <v>856</v>
      </c>
      <c r="M34" s="154">
        <f>2+5.2+0.6</f>
        <v>7.8</v>
      </c>
      <c r="N34" s="154">
        <v>2.2000000000000002</v>
      </c>
      <c r="O34" s="154">
        <f>(14+24)/52</f>
        <v>0.73076923076923073</v>
      </c>
      <c r="P34" s="155">
        <v>0</v>
      </c>
      <c r="Q34" s="155">
        <f>11600</f>
        <v>11600</v>
      </c>
      <c r="R34" s="144">
        <v>43709</v>
      </c>
      <c r="S34" s="10"/>
      <c r="T34" s="78" t="s">
        <v>1754</v>
      </c>
      <c r="U34" s="10"/>
      <c r="V34">
        <v>1</v>
      </c>
    </row>
    <row r="35" spans="1:23" x14ac:dyDescent="0.25">
      <c r="A35" s="2" t="s">
        <v>1360</v>
      </c>
      <c r="C35" s="97">
        <v>11</v>
      </c>
      <c r="D35" s="97">
        <v>155</v>
      </c>
      <c r="E35" s="78"/>
      <c r="F35" s="165"/>
      <c r="G35" s="68" t="s">
        <v>1152</v>
      </c>
      <c r="H35" s="78" t="s">
        <v>21</v>
      </c>
      <c r="I35" t="s">
        <v>22</v>
      </c>
      <c r="J35" s="10" t="s">
        <v>1227</v>
      </c>
      <c r="L35" s="10" t="s">
        <v>838</v>
      </c>
      <c r="M35" s="154">
        <f>(13+150+11)/52</f>
        <v>3.3461538461538463</v>
      </c>
      <c r="N35" s="154">
        <v>0</v>
      </c>
      <c r="O35" s="154">
        <v>0</v>
      </c>
      <c r="P35" s="155">
        <v>0</v>
      </c>
      <c r="Q35" s="162">
        <v>4250</v>
      </c>
      <c r="R35" s="58"/>
      <c r="S35" s="10"/>
      <c r="T35" s="78" t="s">
        <v>1754</v>
      </c>
      <c r="V35">
        <v>1</v>
      </c>
    </row>
    <row r="36" spans="1:23" x14ac:dyDescent="0.25">
      <c r="A36" s="2" t="s">
        <v>1360</v>
      </c>
      <c r="C36" s="97">
        <v>11</v>
      </c>
      <c r="D36" s="102">
        <v>159</v>
      </c>
      <c r="E36" s="78"/>
      <c r="G36" s="68" t="s">
        <v>1153</v>
      </c>
      <c r="H36" s="78" t="s">
        <v>21</v>
      </c>
      <c r="I36" t="s">
        <v>22</v>
      </c>
      <c r="J36" s="10" t="s">
        <v>1156</v>
      </c>
      <c r="L36" s="10" t="s">
        <v>856</v>
      </c>
      <c r="M36" s="154">
        <f>93/52</f>
        <v>1.7884615384615385</v>
      </c>
      <c r="N36" s="154">
        <v>0</v>
      </c>
      <c r="O36" s="154">
        <v>0</v>
      </c>
      <c r="P36" s="155">
        <v>0</v>
      </c>
      <c r="Q36" s="155">
        <f>6317.5</f>
        <v>6317.5</v>
      </c>
      <c r="R36" s="144">
        <v>42036</v>
      </c>
      <c r="S36" s="10"/>
      <c r="T36" s="78" t="s">
        <v>1754</v>
      </c>
      <c r="U36" s="10"/>
      <c r="V36">
        <v>1</v>
      </c>
    </row>
    <row r="37" spans="1:23" x14ac:dyDescent="0.25">
      <c r="A37" s="2" t="s">
        <v>1360</v>
      </c>
      <c r="C37" s="97">
        <v>11</v>
      </c>
      <c r="D37" s="102">
        <v>395</v>
      </c>
      <c r="E37" s="78"/>
      <c r="F37" s="165" t="s">
        <v>1154</v>
      </c>
      <c r="G37" s="68" t="s">
        <v>1155</v>
      </c>
      <c r="H37" s="78" t="s">
        <v>21</v>
      </c>
      <c r="I37" t="s">
        <v>22</v>
      </c>
      <c r="J37" s="10" t="s">
        <v>1156</v>
      </c>
      <c r="L37" s="10" t="s">
        <v>856</v>
      </c>
      <c r="M37" s="154">
        <f>(7+4)/52</f>
        <v>0.21153846153846154</v>
      </c>
      <c r="N37" s="154">
        <v>0</v>
      </c>
      <c r="O37" s="154">
        <v>0</v>
      </c>
      <c r="P37" s="155">
        <v>0</v>
      </c>
      <c r="Q37" s="162">
        <v>850</v>
      </c>
      <c r="R37" s="58"/>
      <c r="S37" s="10"/>
      <c r="T37" s="78" t="s">
        <v>1754</v>
      </c>
      <c r="V37">
        <v>1</v>
      </c>
    </row>
  </sheetData>
  <mergeCells count="6">
    <mergeCell ref="P8:Q8"/>
    <mergeCell ref="A2:D2"/>
    <mergeCell ref="A3:B3"/>
    <mergeCell ref="A1:B1"/>
    <mergeCell ref="A5:B5"/>
    <mergeCell ref="M8:O8"/>
  </mergeCells>
  <phoneticPr fontId="16" type="noConversion"/>
  <pageMargins left="0.7" right="0.7" top="0.75" bottom="0.75" header="0.3" footer="0.3"/>
  <pageSetup paperSize="8" scale="48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W54"/>
  <sheetViews>
    <sheetView zoomScale="60" zoomScaleNormal="60" workbookViewId="0">
      <selection activeCell="F53" sqref="F53"/>
    </sheetView>
  </sheetViews>
  <sheetFormatPr defaultRowHeight="15" x14ac:dyDescent="0.25"/>
  <cols>
    <col min="1" max="1" width="9.140625" style="2" customWidth="1"/>
    <col min="2" max="2" width="22.140625" style="2" bestFit="1" customWidth="1"/>
    <col min="3" max="3" width="10.85546875" style="2" customWidth="1"/>
    <col min="4" max="4" width="14.7109375" style="2" customWidth="1"/>
    <col min="5" max="5" width="10.42578125" customWidth="1"/>
    <col min="6" max="6" width="36" bestFit="1" customWidth="1"/>
    <col min="7" max="7" width="56.28515625" style="2" customWidth="1"/>
    <col min="8" max="8" width="9.85546875" style="10" customWidth="1"/>
    <col min="9" max="9" width="15" style="10" bestFit="1" customWidth="1"/>
    <col min="10" max="10" width="29.85546875" style="2" bestFit="1" customWidth="1"/>
    <col min="11" max="11" width="14.140625" customWidth="1"/>
    <col min="12" max="12" width="11.28515625" customWidth="1"/>
    <col min="13" max="13" width="11.5703125" customWidth="1"/>
    <col min="14" max="14" width="10.42578125" customWidth="1"/>
    <col min="15" max="15" width="12.7109375" customWidth="1"/>
    <col min="16" max="16" width="8.28515625" bestFit="1" customWidth="1"/>
    <col min="17" max="17" width="13.42578125" bestFit="1" customWidth="1"/>
    <col min="18" max="18" width="15.5703125" customWidth="1"/>
    <col min="19" max="19" width="11.28515625" customWidth="1"/>
    <col min="20" max="20" width="14.140625" style="164" customWidth="1"/>
    <col min="21" max="21" width="50.28515625" customWidth="1"/>
    <col min="22" max="22" width="8.7109375" customWidth="1"/>
    <col min="23" max="23" width="9.5703125" customWidth="1"/>
  </cols>
  <sheetData>
    <row r="1" spans="1:23" ht="18.75" x14ac:dyDescent="0.3">
      <c r="A1" s="5" t="s">
        <v>841</v>
      </c>
      <c r="B1" s="6"/>
      <c r="C1" s="7"/>
    </row>
    <row r="2" spans="1:23" ht="15.75" thickBot="1" x14ac:dyDescent="0.3">
      <c r="A2" s="183" t="s">
        <v>241</v>
      </c>
      <c r="B2" s="183"/>
      <c r="C2" s="183"/>
      <c r="D2" s="183"/>
    </row>
    <row r="3" spans="1:23" x14ac:dyDescent="0.25">
      <c r="A3" s="183" t="s">
        <v>178</v>
      </c>
      <c r="B3" s="183"/>
      <c r="C3" s="20">
        <f>K7</f>
        <v>45</v>
      </c>
      <c r="J3" s="40" t="s">
        <v>838</v>
      </c>
      <c r="K3" s="41">
        <f>COUNTIFS(L:L,J3)</f>
        <v>12</v>
      </c>
    </row>
    <row r="4" spans="1:23" x14ac:dyDescent="0.25">
      <c r="A4" s="14" t="s">
        <v>311</v>
      </c>
      <c r="B4" s="14"/>
      <c r="J4" s="42" t="s">
        <v>856</v>
      </c>
      <c r="K4" s="43">
        <f>COUNTIFS(L:L,J4)</f>
        <v>29</v>
      </c>
    </row>
    <row r="5" spans="1:23" x14ac:dyDescent="0.25">
      <c r="A5" s="8" t="s">
        <v>179</v>
      </c>
      <c r="B5"/>
      <c r="C5"/>
      <c r="D5"/>
      <c r="J5" s="42" t="s">
        <v>860</v>
      </c>
      <c r="K5" s="43">
        <f>COUNTIFS(L:L,J5)</f>
        <v>0</v>
      </c>
    </row>
    <row r="6" spans="1:23" ht="15.75" thickBot="1" x14ac:dyDescent="0.3">
      <c r="A6" s="8"/>
      <c r="B6" s="10"/>
      <c r="C6"/>
      <c r="J6" s="44" t="s">
        <v>864</v>
      </c>
      <c r="K6" s="45">
        <f>COUNTIFS(L:L,J6)</f>
        <v>4</v>
      </c>
    </row>
    <row r="7" spans="1:23" x14ac:dyDescent="0.25">
      <c r="J7" s="78"/>
      <c r="K7" s="78">
        <f>SUM(K3:K6)</f>
        <v>45</v>
      </c>
    </row>
    <row r="8" spans="1:23" x14ac:dyDescent="0.25">
      <c r="A8" s="78"/>
      <c r="B8" s="78"/>
      <c r="C8" s="78"/>
      <c r="D8" s="78"/>
      <c r="G8" s="78"/>
      <c r="H8"/>
      <c r="I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1685</v>
      </c>
      <c r="B10" s="2" t="s">
        <v>176</v>
      </c>
      <c r="C10" s="2">
        <v>8</v>
      </c>
      <c r="D10" s="2">
        <v>150</v>
      </c>
      <c r="E10" s="2">
        <v>2</v>
      </c>
      <c r="F10" s="176" t="s">
        <v>276</v>
      </c>
      <c r="G10" t="s">
        <v>275</v>
      </c>
      <c r="H10" s="2" t="s">
        <v>86</v>
      </c>
      <c r="I10" s="10" t="s">
        <v>87</v>
      </c>
      <c r="J10" s="22" t="s">
        <v>806</v>
      </c>
      <c r="K10" s="22"/>
      <c r="L10" s="10" t="s">
        <v>856</v>
      </c>
      <c r="M10" s="154"/>
      <c r="N10" s="154"/>
      <c r="O10" s="154"/>
      <c r="P10" s="155"/>
      <c r="Q10" s="155"/>
      <c r="R10" s="144"/>
      <c r="S10" s="10"/>
      <c r="T10" s="78" t="s">
        <v>1755</v>
      </c>
      <c r="U10" s="68" t="s">
        <v>1712</v>
      </c>
      <c r="V10">
        <v>1</v>
      </c>
      <c r="W10" s="77"/>
    </row>
    <row r="11" spans="1:23" ht="15" customHeight="1" x14ac:dyDescent="0.25">
      <c r="A11" s="2" t="s">
        <v>1685</v>
      </c>
      <c r="B11" s="2" t="s">
        <v>176</v>
      </c>
      <c r="C11" s="2">
        <v>8</v>
      </c>
      <c r="D11" s="2">
        <v>291</v>
      </c>
      <c r="E11" s="2">
        <v>2</v>
      </c>
      <c r="F11" s="1" t="s">
        <v>950</v>
      </c>
      <c r="G11" t="s">
        <v>951</v>
      </c>
      <c r="H11" s="2">
        <v>3000</v>
      </c>
      <c r="I11" s="10" t="s">
        <v>12</v>
      </c>
      <c r="J11" t="s">
        <v>955</v>
      </c>
      <c r="L11" s="10" t="s">
        <v>856</v>
      </c>
      <c r="M11" s="154">
        <f>0.980769230769231+0.269230769230769</f>
        <v>1.25</v>
      </c>
      <c r="N11" s="154">
        <v>0</v>
      </c>
      <c r="O11" s="154">
        <v>0</v>
      </c>
      <c r="P11" s="155">
        <v>0</v>
      </c>
      <c r="Q11" s="155">
        <f>7350</f>
        <v>7350</v>
      </c>
      <c r="R11" s="144">
        <v>43770</v>
      </c>
      <c r="S11" s="10"/>
      <c r="T11" s="78" t="s">
        <v>1754</v>
      </c>
      <c r="U11" s="10"/>
      <c r="V11">
        <v>1</v>
      </c>
      <c r="W11" s="77"/>
    </row>
    <row r="12" spans="1:23" ht="15" customHeight="1" x14ac:dyDescent="0.25">
      <c r="A12" s="2" t="s">
        <v>1685</v>
      </c>
      <c r="B12" s="2" t="s">
        <v>176</v>
      </c>
      <c r="C12" s="2">
        <v>8</v>
      </c>
      <c r="D12" s="2">
        <v>293</v>
      </c>
      <c r="E12" s="2">
        <v>2</v>
      </c>
      <c r="F12" s="1" t="s">
        <v>952</v>
      </c>
      <c r="G12" t="s">
        <v>953</v>
      </c>
      <c r="H12" s="2">
        <v>3000</v>
      </c>
      <c r="I12" s="10" t="s">
        <v>12</v>
      </c>
      <c r="J12" t="s">
        <v>955</v>
      </c>
      <c r="L12" s="10" t="s">
        <v>864</v>
      </c>
      <c r="M12" s="154">
        <v>5.4230769230769198</v>
      </c>
      <c r="N12" s="154">
        <v>0</v>
      </c>
      <c r="O12" s="154">
        <v>0</v>
      </c>
      <c r="P12" s="155">
        <v>0</v>
      </c>
      <c r="Q12" s="155">
        <f>9100</f>
        <v>9100</v>
      </c>
      <c r="R12" s="144">
        <v>43770</v>
      </c>
      <c r="S12" s="10"/>
      <c r="T12" s="78" t="s">
        <v>1754</v>
      </c>
      <c r="U12" s="10"/>
      <c r="V12">
        <v>1</v>
      </c>
      <c r="W12" s="77"/>
    </row>
    <row r="13" spans="1:23" ht="15" customHeight="1" x14ac:dyDescent="0.25">
      <c r="A13" s="2" t="s">
        <v>1685</v>
      </c>
      <c r="B13" s="2" t="s">
        <v>176</v>
      </c>
      <c r="C13" s="2">
        <v>8</v>
      </c>
      <c r="D13" s="2">
        <v>351</v>
      </c>
      <c r="E13" s="2">
        <v>2</v>
      </c>
      <c r="F13" s="1" t="s">
        <v>959</v>
      </c>
      <c r="G13" t="s">
        <v>954</v>
      </c>
      <c r="H13" s="2">
        <v>4300</v>
      </c>
      <c r="I13" s="10" t="s">
        <v>250</v>
      </c>
      <c r="J13" t="s">
        <v>955</v>
      </c>
      <c r="L13" s="10" t="s">
        <v>856</v>
      </c>
      <c r="M13" s="154">
        <f>1.68307692307692+4.20192307692308</f>
        <v>5.8849999999999998</v>
      </c>
      <c r="N13" s="154">
        <v>0</v>
      </c>
      <c r="O13" s="154">
        <v>0</v>
      </c>
      <c r="P13" s="155">
        <v>0</v>
      </c>
      <c r="Q13" s="155">
        <f>15050</f>
        <v>15050</v>
      </c>
      <c r="R13" s="144">
        <v>43794</v>
      </c>
      <c r="S13" s="10"/>
      <c r="T13" s="78" t="s">
        <v>1754</v>
      </c>
      <c r="U13" s="10"/>
      <c r="V13">
        <v>1</v>
      </c>
      <c r="W13" s="77"/>
    </row>
    <row r="14" spans="1:23" ht="15" customHeight="1" x14ac:dyDescent="0.25">
      <c r="A14" s="2" t="s">
        <v>1685</v>
      </c>
      <c r="B14" s="2" t="s">
        <v>176</v>
      </c>
      <c r="C14" s="2">
        <v>8</v>
      </c>
      <c r="D14" s="2">
        <v>359</v>
      </c>
      <c r="E14" s="2">
        <v>2</v>
      </c>
      <c r="F14" t="s">
        <v>762</v>
      </c>
      <c r="G14" t="s">
        <v>763</v>
      </c>
      <c r="H14" s="2" t="s">
        <v>9</v>
      </c>
      <c r="I14" t="s">
        <v>10</v>
      </c>
      <c r="J14" t="s">
        <v>881</v>
      </c>
      <c r="L14" t="s">
        <v>856</v>
      </c>
      <c r="M14" s="154">
        <f>1.44230769230769+6.57692307692308</f>
        <v>8.0192307692307701</v>
      </c>
      <c r="N14" s="154">
        <v>3.8365384615384599</v>
      </c>
      <c r="O14" s="154">
        <v>0</v>
      </c>
      <c r="P14" s="155">
        <v>0</v>
      </c>
      <c r="Q14" s="155">
        <f>15050</f>
        <v>15050</v>
      </c>
      <c r="R14" s="144">
        <v>43040</v>
      </c>
      <c r="T14" s="78" t="s">
        <v>1754</v>
      </c>
      <c r="V14">
        <v>1</v>
      </c>
      <c r="W14" s="77"/>
    </row>
    <row r="15" spans="1:23" ht="15" customHeight="1" x14ac:dyDescent="0.25">
      <c r="A15" s="2" t="s">
        <v>1685</v>
      </c>
      <c r="B15" s="2" t="s">
        <v>176</v>
      </c>
      <c r="C15" s="2">
        <v>8</v>
      </c>
      <c r="D15" s="2">
        <v>404</v>
      </c>
      <c r="E15" s="2">
        <v>2</v>
      </c>
      <c r="F15" s="179" t="s">
        <v>201</v>
      </c>
      <c r="G15" t="s">
        <v>200</v>
      </c>
      <c r="H15" s="2" t="s">
        <v>75</v>
      </c>
      <c r="I15" t="s">
        <v>76</v>
      </c>
      <c r="J15" t="s">
        <v>889</v>
      </c>
      <c r="L15" t="s">
        <v>856</v>
      </c>
      <c r="M15" s="154"/>
      <c r="N15" s="154"/>
      <c r="O15" s="154"/>
      <c r="P15" s="155"/>
      <c r="Q15" s="172"/>
      <c r="R15" s="144"/>
      <c r="T15" s="78" t="s">
        <v>1755</v>
      </c>
      <c r="U15" s="68" t="s">
        <v>1712</v>
      </c>
      <c r="V15">
        <v>1</v>
      </c>
      <c r="W15" s="77"/>
    </row>
    <row r="16" spans="1:23" ht="15" customHeight="1" x14ac:dyDescent="0.25">
      <c r="A16" s="2" t="s">
        <v>1685</v>
      </c>
      <c r="B16" s="2" t="s">
        <v>176</v>
      </c>
      <c r="C16" s="2">
        <v>8</v>
      </c>
      <c r="D16" s="2">
        <v>603</v>
      </c>
      <c r="E16" s="2">
        <v>2</v>
      </c>
      <c r="F16" s="68" t="s">
        <v>764</v>
      </c>
      <c r="G16" t="s">
        <v>765</v>
      </c>
      <c r="H16" s="2" t="s">
        <v>9</v>
      </c>
      <c r="I16" t="s">
        <v>10</v>
      </c>
      <c r="J16" t="s">
        <v>881</v>
      </c>
      <c r="L16" t="s">
        <v>856</v>
      </c>
      <c r="M16" s="154">
        <f>436.25/52</f>
        <v>8.3894230769230766</v>
      </c>
      <c r="N16" s="154">
        <f>205.5/52</f>
        <v>3.9519230769230771</v>
      </c>
      <c r="O16" s="154">
        <f>8/52</f>
        <v>0.15384615384615385</v>
      </c>
      <c r="P16" s="155">
        <v>0</v>
      </c>
      <c r="Q16" s="155">
        <f>13095</f>
        <v>13095</v>
      </c>
      <c r="R16" s="144">
        <v>41988</v>
      </c>
      <c r="T16" s="78" t="s">
        <v>1755</v>
      </c>
      <c r="V16">
        <v>1</v>
      </c>
      <c r="W16" s="77"/>
    </row>
    <row r="17" spans="1:23" ht="15" customHeight="1" x14ac:dyDescent="0.25">
      <c r="A17" s="2" t="s">
        <v>1685</v>
      </c>
      <c r="B17" s="2" t="s">
        <v>672</v>
      </c>
      <c r="C17" s="2">
        <v>9</v>
      </c>
      <c r="D17" s="2">
        <v>140</v>
      </c>
      <c r="E17" s="2">
        <v>2</v>
      </c>
      <c r="F17" s="175" t="s">
        <v>205</v>
      </c>
      <c r="G17" t="s">
        <v>204</v>
      </c>
      <c r="H17" s="2" t="s">
        <v>21</v>
      </c>
      <c r="I17" t="s">
        <v>22</v>
      </c>
      <c r="J17" s="51" t="s">
        <v>894</v>
      </c>
      <c r="K17" s="51"/>
      <c r="L17" t="s">
        <v>864</v>
      </c>
      <c r="M17" s="154"/>
      <c r="N17" s="154"/>
      <c r="O17" s="154"/>
      <c r="P17" s="155"/>
      <c r="Q17" s="155"/>
      <c r="R17" s="58"/>
      <c r="T17" s="78" t="s">
        <v>1755</v>
      </c>
      <c r="U17" t="s">
        <v>1741</v>
      </c>
      <c r="V17">
        <v>1</v>
      </c>
      <c r="W17" s="77"/>
    </row>
    <row r="18" spans="1:23" ht="15" customHeight="1" x14ac:dyDescent="0.25">
      <c r="A18" s="2" t="s">
        <v>1685</v>
      </c>
      <c r="B18" s="2" t="s">
        <v>672</v>
      </c>
      <c r="C18" s="2">
        <v>9</v>
      </c>
      <c r="D18" s="2">
        <v>141</v>
      </c>
      <c r="E18" s="2">
        <v>2</v>
      </c>
      <c r="F18" s="175" t="s">
        <v>857</v>
      </c>
      <c r="G18" t="s">
        <v>277</v>
      </c>
      <c r="H18" s="2" t="s">
        <v>195</v>
      </c>
      <c r="I18" t="s">
        <v>196</v>
      </c>
      <c r="J18" t="s">
        <v>807</v>
      </c>
      <c r="L18" t="s">
        <v>856</v>
      </c>
      <c r="M18" s="154"/>
      <c r="N18" s="154"/>
      <c r="O18" s="154"/>
      <c r="P18" s="155"/>
      <c r="Q18" s="155"/>
      <c r="R18" s="58"/>
      <c r="T18" s="78" t="s">
        <v>1755</v>
      </c>
      <c r="U18" s="164" t="s">
        <v>1741</v>
      </c>
      <c r="V18">
        <v>1</v>
      </c>
      <c r="W18" s="77"/>
    </row>
    <row r="19" spans="1:23" ht="15" customHeight="1" x14ac:dyDescent="0.25">
      <c r="A19" s="2" t="s">
        <v>1685</v>
      </c>
      <c r="B19" s="2" t="s">
        <v>672</v>
      </c>
      <c r="C19" s="2">
        <v>9</v>
      </c>
      <c r="D19" s="2">
        <v>142</v>
      </c>
      <c r="E19" s="2">
        <v>2</v>
      </c>
      <c r="F19" s="175" t="s">
        <v>857</v>
      </c>
      <c r="G19" t="s">
        <v>278</v>
      </c>
      <c r="H19" s="2" t="s">
        <v>195</v>
      </c>
      <c r="I19" t="s">
        <v>196</v>
      </c>
      <c r="J19" t="s">
        <v>807</v>
      </c>
      <c r="L19" t="s">
        <v>856</v>
      </c>
      <c r="M19" s="154"/>
      <c r="N19" s="154"/>
      <c r="O19" s="154"/>
      <c r="P19" s="155"/>
      <c r="Q19" s="155"/>
      <c r="R19" s="58"/>
      <c r="T19" s="78" t="s">
        <v>1755</v>
      </c>
      <c r="U19" s="164" t="s">
        <v>1741</v>
      </c>
      <c r="V19">
        <v>1</v>
      </c>
      <c r="W19" s="77"/>
    </row>
    <row r="20" spans="1:23" ht="15" customHeight="1" x14ac:dyDescent="0.25">
      <c r="A20" s="2" t="s">
        <v>1685</v>
      </c>
      <c r="B20" s="2" t="s">
        <v>672</v>
      </c>
      <c r="C20" s="2">
        <v>9</v>
      </c>
      <c r="D20" s="2">
        <v>143</v>
      </c>
      <c r="E20" s="2">
        <v>2</v>
      </c>
      <c r="F20" s="175" t="s">
        <v>857</v>
      </c>
      <c r="G20" t="s">
        <v>279</v>
      </c>
      <c r="H20" s="2" t="s">
        <v>195</v>
      </c>
      <c r="I20" t="s">
        <v>196</v>
      </c>
      <c r="J20" t="s">
        <v>807</v>
      </c>
      <c r="L20" t="s">
        <v>856</v>
      </c>
      <c r="M20" s="154"/>
      <c r="N20" s="154"/>
      <c r="O20" s="154"/>
      <c r="P20" s="155"/>
      <c r="Q20" s="155"/>
      <c r="R20" s="58"/>
      <c r="T20" s="78" t="s">
        <v>1755</v>
      </c>
      <c r="U20" s="164" t="s">
        <v>1741</v>
      </c>
      <c r="V20">
        <v>1</v>
      </c>
      <c r="W20" s="77"/>
    </row>
    <row r="21" spans="1:23" ht="15" customHeight="1" x14ac:dyDescent="0.25">
      <c r="A21" s="2" t="s">
        <v>1685</v>
      </c>
      <c r="B21" s="2" t="s">
        <v>672</v>
      </c>
      <c r="C21" s="2">
        <v>9</v>
      </c>
      <c r="D21" s="2">
        <v>144</v>
      </c>
      <c r="E21" s="2">
        <v>2</v>
      </c>
      <c r="F21" t="s">
        <v>857</v>
      </c>
      <c r="G21" t="s">
        <v>280</v>
      </c>
      <c r="H21" s="2" t="s">
        <v>195</v>
      </c>
      <c r="I21" t="s">
        <v>196</v>
      </c>
      <c r="J21" t="s">
        <v>807</v>
      </c>
      <c r="L21" t="s">
        <v>856</v>
      </c>
      <c r="M21" s="154">
        <f>(10+6.5+2.5)/52</f>
        <v>0.36538461538461536</v>
      </c>
      <c r="N21" s="154">
        <v>0</v>
      </c>
      <c r="O21" s="154">
        <v>0</v>
      </c>
      <c r="P21" s="155">
        <v>0</v>
      </c>
      <c r="Q21" s="155">
        <v>0</v>
      </c>
      <c r="R21" s="144">
        <v>43891</v>
      </c>
      <c r="T21" s="78" t="s">
        <v>1755</v>
      </c>
      <c r="V21">
        <v>1</v>
      </c>
      <c r="W21" s="77"/>
    </row>
    <row r="22" spans="1:23" ht="15" customHeight="1" x14ac:dyDescent="0.25">
      <c r="A22" s="2" t="s">
        <v>1685</v>
      </c>
      <c r="B22" s="2" t="s">
        <v>672</v>
      </c>
      <c r="C22" s="2">
        <v>9</v>
      </c>
      <c r="D22" s="2">
        <v>145</v>
      </c>
      <c r="E22" s="2">
        <v>2</v>
      </c>
      <c r="F22" t="s">
        <v>857</v>
      </c>
      <c r="G22" t="s">
        <v>281</v>
      </c>
      <c r="H22" s="2" t="s">
        <v>195</v>
      </c>
      <c r="I22" t="s">
        <v>196</v>
      </c>
      <c r="J22" t="s">
        <v>807</v>
      </c>
      <c r="L22" t="s">
        <v>856</v>
      </c>
      <c r="M22" s="154">
        <v>0.36538461538461497</v>
      </c>
      <c r="N22" s="154">
        <v>0</v>
      </c>
      <c r="O22" s="154">
        <v>0</v>
      </c>
      <c r="P22" s="155">
        <v>0</v>
      </c>
      <c r="Q22" s="155">
        <v>0</v>
      </c>
      <c r="R22" s="144">
        <v>43891</v>
      </c>
      <c r="T22" s="78" t="s">
        <v>1755</v>
      </c>
      <c r="V22">
        <v>1</v>
      </c>
      <c r="W22" s="77"/>
    </row>
    <row r="23" spans="1:23" ht="15" customHeight="1" x14ac:dyDescent="0.25">
      <c r="A23" s="2" t="s">
        <v>1685</v>
      </c>
      <c r="B23" s="2" t="s">
        <v>672</v>
      </c>
      <c r="C23" s="2">
        <v>9</v>
      </c>
      <c r="D23" s="2">
        <v>146</v>
      </c>
      <c r="E23" s="2">
        <v>2</v>
      </c>
      <c r="F23" s="175" t="s">
        <v>207</v>
      </c>
      <c r="G23" t="s">
        <v>206</v>
      </c>
      <c r="H23" s="2" t="s">
        <v>21</v>
      </c>
      <c r="I23" t="s">
        <v>22</v>
      </c>
      <c r="J23" s="51" t="s">
        <v>894</v>
      </c>
      <c r="K23" s="51"/>
      <c r="L23" t="s">
        <v>864</v>
      </c>
      <c r="M23" s="154"/>
      <c r="N23" s="154"/>
      <c r="O23" s="154"/>
      <c r="P23" s="155"/>
      <c r="Q23" s="155"/>
      <c r="R23" s="58"/>
      <c r="T23" s="78" t="s">
        <v>1755</v>
      </c>
      <c r="U23" s="164" t="s">
        <v>1741</v>
      </c>
      <c r="V23">
        <v>1</v>
      </c>
      <c r="W23" s="77"/>
    </row>
    <row r="24" spans="1:23" ht="15" customHeight="1" x14ac:dyDescent="0.25">
      <c r="A24" s="2" t="s">
        <v>1685</v>
      </c>
      <c r="B24" s="2" t="s">
        <v>672</v>
      </c>
      <c r="C24" s="2">
        <v>9</v>
      </c>
      <c r="D24" s="2">
        <v>553</v>
      </c>
      <c r="E24" s="2">
        <v>2</v>
      </c>
      <c r="F24" t="s">
        <v>282</v>
      </c>
      <c r="G24" t="s">
        <v>204</v>
      </c>
      <c r="H24" s="2" t="s">
        <v>21</v>
      </c>
      <c r="I24" t="s">
        <v>22</v>
      </c>
      <c r="J24" t="s">
        <v>900</v>
      </c>
      <c r="L24" t="s">
        <v>856</v>
      </c>
      <c r="M24" s="154">
        <v>0.85576923076923095</v>
      </c>
      <c r="N24" s="154">
        <v>0</v>
      </c>
      <c r="O24" s="154">
        <v>0</v>
      </c>
      <c r="P24" s="155">
        <v>0</v>
      </c>
      <c r="Q24" s="155">
        <v>0</v>
      </c>
      <c r="R24" s="144">
        <v>43891</v>
      </c>
      <c r="T24" s="78" t="s">
        <v>1755</v>
      </c>
      <c r="V24">
        <v>1</v>
      </c>
      <c r="W24" s="77"/>
    </row>
    <row r="25" spans="1:23" ht="15" customHeight="1" x14ac:dyDescent="0.25">
      <c r="A25" s="2" t="s">
        <v>1685</v>
      </c>
      <c r="B25" s="2" t="s">
        <v>672</v>
      </c>
      <c r="C25" s="2">
        <v>9</v>
      </c>
      <c r="D25" s="2">
        <v>555</v>
      </c>
      <c r="E25" s="2">
        <v>2</v>
      </c>
      <c r="F25" s="175" t="s">
        <v>284</v>
      </c>
      <c r="G25" t="s">
        <v>283</v>
      </c>
      <c r="H25" s="2" t="s">
        <v>21</v>
      </c>
      <c r="I25" t="s">
        <v>22</v>
      </c>
      <c r="J25" s="51" t="s">
        <v>894</v>
      </c>
      <c r="K25" s="51"/>
      <c r="L25" t="s">
        <v>838</v>
      </c>
      <c r="M25" s="154"/>
      <c r="N25" s="154"/>
      <c r="O25" s="154"/>
      <c r="P25" s="155"/>
      <c r="Q25" s="155"/>
      <c r="R25" s="58"/>
      <c r="T25" s="78" t="s">
        <v>1755</v>
      </c>
      <c r="U25" s="164" t="s">
        <v>1741</v>
      </c>
      <c r="V25">
        <v>1</v>
      </c>
      <c r="W25" s="77"/>
    </row>
    <row r="26" spans="1:23" ht="15" customHeight="1" x14ac:dyDescent="0.25">
      <c r="A26" s="2" t="s">
        <v>1685</v>
      </c>
      <c r="B26" s="2" t="s">
        <v>672</v>
      </c>
      <c r="C26" s="2">
        <v>9</v>
      </c>
      <c r="D26" s="2">
        <v>556</v>
      </c>
      <c r="E26" s="2">
        <v>2</v>
      </c>
      <c r="F26" s="175" t="s">
        <v>285</v>
      </c>
      <c r="G26" t="s">
        <v>283</v>
      </c>
      <c r="H26" s="2" t="s">
        <v>21</v>
      </c>
      <c r="I26" t="s">
        <v>22</v>
      </c>
      <c r="J26" s="51" t="s">
        <v>894</v>
      </c>
      <c r="K26" s="51"/>
      <c r="L26" t="s">
        <v>838</v>
      </c>
      <c r="M26" s="154"/>
      <c r="N26" s="154"/>
      <c r="O26" s="154"/>
      <c r="P26" s="155"/>
      <c r="Q26" s="155"/>
      <c r="R26" s="58"/>
      <c r="T26" s="78" t="s">
        <v>1755</v>
      </c>
      <c r="U26" s="164" t="s">
        <v>1741</v>
      </c>
      <c r="V26">
        <v>1</v>
      </c>
      <c r="W26" s="77"/>
    </row>
    <row r="27" spans="1:23" ht="15" customHeight="1" x14ac:dyDescent="0.25">
      <c r="A27" s="2" t="s">
        <v>1685</v>
      </c>
      <c r="B27" s="2" t="s">
        <v>672</v>
      </c>
      <c r="C27" s="2">
        <v>9</v>
      </c>
      <c r="D27" s="2">
        <v>559</v>
      </c>
      <c r="E27" s="2">
        <v>2</v>
      </c>
      <c r="F27" t="s">
        <v>286</v>
      </c>
      <c r="G27" t="s">
        <v>287</v>
      </c>
      <c r="H27" s="2" t="s">
        <v>263</v>
      </c>
      <c r="I27" t="s">
        <v>92</v>
      </c>
      <c r="J27" t="s">
        <v>900</v>
      </c>
      <c r="L27" t="s">
        <v>856</v>
      </c>
      <c r="M27" s="154">
        <v>0.52884615384615397</v>
      </c>
      <c r="N27" s="154">
        <v>0</v>
      </c>
      <c r="O27" s="154">
        <v>0</v>
      </c>
      <c r="P27" s="155">
        <v>0</v>
      </c>
      <c r="Q27" s="155">
        <v>0</v>
      </c>
      <c r="R27" s="144">
        <v>43891</v>
      </c>
      <c r="T27" s="78" t="s">
        <v>1755</v>
      </c>
      <c r="V27">
        <v>1</v>
      </c>
      <c r="W27" s="77"/>
    </row>
    <row r="28" spans="1:23" ht="15" customHeight="1" x14ac:dyDescent="0.25">
      <c r="A28" s="2" t="s">
        <v>1685</v>
      </c>
      <c r="B28" s="2" t="s">
        <v>368</v>
      </c>
      <c r="C28" s="2">
        <v>13</v>
      </c>
      <c r="D28" s="2">
        <v>404</v>
      </c>
      <c r="E28" s="2">
        <v>2</v>
      </c>
      <c r="F28" s="175"/>
      <c r="G28" t="s">
        <v>200</v>
      </c>
      <c r="H28" s="2" t="s">
        <v>75</v>
      </c>
      <c r="I28" s="10" t="s">
        <v>76</v>
      </c>
      <c r="J28" s="59" t="s">
        <v>894</v>
      </c>
      <c r="K28" s="59"/>
      <c r="L28" t="s">
        <v>856</v>
      </c>
      <c r="M28" s="154">
        <v>0</v>
      </c>
      <c r="N28" s="154">
        <v>0</v>
      </c>
      <c r="O28" s="154">
        <v>0</v>
      </c>
      <c r="P28" s="155">
        <v>0</v>
      </c>
      <c r="Q28" s="155">
        <f>3850</f>
        <v>3850</v>
      </c>
      <c r="R28" s="171">
        <v>42552</v>
      </c>
      <c r="T28" s="78" t="s">
        <v>1754</v>
      </c>
      <c r="U28" t="s">
        <v>1773</v>
      </c>
      <c r="V28">
        <v>1</v>
      </c>
      <c r="W28" s="77"/>
    </row>
    <row r="29" spans="1:23" ht="15" customHeight="1" x14ac:dyDescent="0.25">
      <c r="A29" s="2" t="s">
        <v>1685</v>
      </c>
      <c r="B29" s="2" t="s">
        <v>368</v>
      </c>
      <c r="C29" s="2">
        <v>13</v>
      </c>
      <c r="D29" s="2">
        <v>410</v>
      </c>
      <c r="E29" s="2">
        <v>2</v>
      </c>
      <c r="F29" s="140"/>
      <c r="G29" t="s">
        <v>443</v>
      </c>
      <c r="H29" s="2" t="s">
        <v>371</v>
      </c>
      <c r="I29" t="s">
        <v>372</v>
      </c>
      <c r="J29" s="51" t="s">
        <v>894</v>
      </c>
      <c r="K29" s="51"/>
      <c r="L29" t="s">
        <v>856</v>
      </c>
      <c r="M29" s="154"/>
      <c r="N29" s="154"/>
      <c r="O29" s="154"/>
      <c r="P29" s="155"/>
      <c r="Q29" s="155"/>
      <c r="R29" s="58"/>
      <c r="T29" s="78" t="s">
        <v>1755</v>
      </c>
      <c r="U29" t="s">
        <v>1734</v>
      </c>
      <c r="V29">
        <v>1</v>
      </c>
      <c r="W29" s="77"/>
    </row>
    <row r="30" spans="1:23" ht="15" customHeight="1" x14ac:dyDescent="0.25">
      <c r="A30" s="2" t="s">
        <v>1685</v>
      </c>
      <c r="B30" s="2" t="s">
        <v>368</v>
      </c>
      <c r="C30" s="2">
        <v>13</v>
      </c>
      <c r="D30" s="2">
        <v>516</v>
      </c>
      <c r="E30" s="2">
        <v>2</v>
      </c>
      <c r="F30" s="140" t="s">
        <v>240</v>
      </c>
      <c r="G30" t="s">
        <v>239</v>
      </c>
      <c r="H30" s="2" t="s">
        <v>5</v>
      </c>
      <c r="I30" t="s">
        <v>6</v>
      </c>
      <c r="J30" t="s">
        <v>895</v>
      </c>
      <c r="L30" t="s">
        <v>856</v>
      </c>
      <c r="M30" s="154"/>
      <c r="N30" s="154"/>
      <c r="O30" s="154"/>
      <c r="P30" s="155"/>
      <c r="Q30" s="155"/>
      <c r="R30" s="58"/>
      <c r="T30" s="78" t="s">
        <v>1755</v>
      </c>
      <c r="U30" t="s">
        <v>1734</v>
      </c>
      <c r="V30">
        <v>1</v>
      </c>
      <c r="W30" s="77"/>
    </row>
    <row r="31" spans="1:23" ht="15" customHeight="1" x14ac:dyDescent="0.25">
      <c r="A31" s="2" t="s">
        <v>1685</v>
      </c>
      <c r="B31" s="2" t="s">
        <v>368</v>
      </c>
      <c r="C31" s="2">
        <v>13</v>
      </c>
      <c r="D31" s="2">
        <v>520</v>
      </c>
      <c r="E31" s="2">
        <v>2</v>
      </c>
      <c r="F31" s="141"/>
      <c r="G31" t="s">
        <v>461</v>
      </c>
      <c r="H31" s="2" t="s">
        <v>7</v>
      </c>
      <c r="I31" s="10" t="s">
        <v>8</v>
      </c>
      <c r="J31" s="22" t="s">
        <v>408</v>
      </c>
      <c r="K31" s="22"/>
      <c r="L31" t="s">
        <v>838</v>
      </c>
      <c r="M31" s="154"/>
      <c r="N31" s="154"/>
      <c r="O31" s="154"/>
      <c r="P31" s="155"/>
      <c r="Q31" s="155"/>
      <c r="R31" s="58"/>
      <c r="T31" s="78" t="s">
        <v>1755</v>
      </c>
      <c r="U31" t="s">
        <v>1734</v>
      </c>
      <c r="V31">
        <v>1</v>
      </c>
      <c r="W31" s="77"/>
    </row>
    <row r="32" spans="1:23" ht="15" customHeight="1" x14ac:dyDescent="0.25">
      <c r="A32" s="2" t="s">
        <v>1685</v>
      </c>
      <c r="B32" s="2" t="s">
        <v>368</v>
      </c>
      <c r="C32" s="2">
        <v>13</v>
      </c>
      <c r="D32" s="2">
        <v>522</v>
      </c>
      <c r="E32" s="2">
        <v>2</v>
      </c>
      <c r="F32" s="140"/>
      <c r="G32" t="s">
        <v>441</v>
      </c>
      <c r="H32" s="2" t="s">
        <v>371</v>
      </c>
      <c r="I32" t="s">
        <v>372</v>
      </c>
      <c r="J32" s="51" t="s">
        <v>894</v>
      </c>
      <c r="K32" s="51"/>
      <c r="L32" t="s">
        <v>838</v>
      </c>
      <c r="M32" s="154"/>
      <c r="N32" s="154"/>
      <c r="O32" s="154"/>
      <c r="P32" s="155"/>
      <c r="Q32" s="155"/>
      <c r="R32" s="58"/>
      <c r="T32" s="78" t="s">
        <v>1755</v>
      </c>
      <c r="U32" t="s">
        <v>1734</v>
      </c>
      <c r="V32">
        <v>1</v>
      </c>
      <c r="W32" s="77"/>
    </row>
    <row r="33" spans="1:23" ht="15" customHeight="1" x14ac:dyDescent="0.25">
      <c r="A33" s="2" t="s">
        <v>1685</v>
      </c>
      <c r="B33" s="2" t="s">
        <v>368</v>
      </c>
      <c r="C33" s="2">
        <v>13</v>
      </c>
      <c r="D33" s="2">
        <v>523</v>
      </c>
      <c r="E33" s="2">
        <v>2</v>
      </c>
      <c r="F33" s="140" t="s">
        <v>433</v>
      </c>
      <c r="G33" t="s">
        <v>434</v>
      </c>
      <c r="H33" s="2" t="s">
        <v>11</v>
      </c>
      <c r="I33" s="10" t="s">
        <v>12</v>
      </c>
      <c r="J33" s="22" t="s">
        <v>409</v>
      </c>
      <c r="K33" s="22"/>
      <c r="L33" s="10" t="s">
        <v>838</v>
      </c>
      <c r="M33" s="154"/>
      <c r="N33" s="154"/>
      <c r="O33" s="154"/>
      <c r="P33" s="155"/>
      <c r="Q33" s="155"/>
      <c r="R33" s="58"/>
      <c r="S33" s="10"/>
      <c r="T33" s="78" t="s">
        <v>1755</v>
      </c>
      <c r="U33" s="10" t="s">
        <v>1734</v>
      </c>
      <c r="V33">
        <v>1</v>
      </c>
      <c r="W33" s="77"/>
    </row>
    <row r="34" spans="1:23" ht="15" customHeight="1" x14ac:dyDescent="0.25">
      <c r="A34" s="2" t="s">
        <v>1685</v>
      </c>
      <c r="B34" s="2" t="s">
        <v>368</v>
      </c>
      <c r="C34" s="2">
        <v>13</v>
      </c>
      <c r="D34" s="2">
        <v>524</v>
      </c>
      <c r="E34" s="2">
        <v>2</v>
      </c>
      <c r="F34" s="140" t="s">
        <v>413</v>
      </c>
      <c r="G34" t="s">
        <v>414</v>
      </c>
      <c r="H34" s="2" t="s">
        <v>186</v>
      </c>
      <c r="I34" s="10" t="s">
        <v>187</v>
      </c>
      <c r="J34" s="22" t="s">
        <v>861</v>
      </c>
      <c r="K34" s="22"/>
      <c r="L34" s="10" t="s">
        <v>838</v>
      </c>
      <c r="M34" s="154"/>
      <c r="N34" s="154"/>
      <c r="O34" s="154"/>
      <c r="P34" s="155"/>
      <c r="Q34" s="155"/>
      <c r="R34" s="58"/>
      <c r="S34" s="10"/>
      <c r="T34" s="78" t="s">
        <v>1755</v>
      </c>
      <c r="U34" s="10" t="s">
        <v>1734</v>
      </c>
      <c r="V34">
        <v>1</v>
      </c>
      <c r="W34" s="77"/>
    </row>
    <row r="35" spans="1:23" ht="15" customHeight="1" x14ac:dyDescent="0.25">
      <c r="A35" s="2" t="s">
        <v>1685</v>
      </c>
      <c r="B35" s="2" t="s">
        <v>368</v>
      </c>
      <c r="C35" s="2">
        <v>13</v>
      </c>
      <c r="D35" s="2">
        <v>525</v>
      </c>
      <c r="E35" s="2">
        <v>2</v>
      </c>
      <c r="F35" s="141"/>
      <c r="G35" t="s">
        <v>444</v>
      </c>
      <c r="H35" s="2" t="s">
        <v>79</v>
      </c>
      <c r="I35" s="10" t="s">
        <v>80</v>
      </c>
      <c r="J35" s="22" t="s">
        <v>896</v>
      </c>
      <c r="K35" s="22"/>
      <c r="L35" s="10" t="s">
        <v>838</v>
      </c>
      <c r="M35" s="154"/>
      <c r="N35" s="154"/>
      <c r="O35" s="154"/>
      <c r="P35" s="155"/>
      <c r="Q35" s="155"/>
      <c r="R35" s="58"/>
      <c r="S35" s="10"/>
      <c r="T35" s="78" t="s">
        <v>1755</v>
      </c>
      <c r="U35" s="10" t="s">
        <v>1734</v>
      </c>
      <c r="V35">
        <v>1</v>
      </c>
      <c r="W35" s="77"/>
    </row>
    <row r="36" spans="1:23" ht="15" customHeight="1" x14ac:dyDescent="0.25">
      <c r="A36" s="2" t="s">
        <v>1685</v>
      </c>
      <c r="B36" s="2" t="s">
        <v>368</v>
      </c>
      <c r="C36" s="2">
        <v>13</v>
      </c>
      <c r="D36" s="2">
        <v>535</v>
      </c>
      <c r="E36" s="2">
        <v>2</v>
      </c>
      <c r="F36" s="140"/>
      <c r="G36" t="s">
        <v>462</v>
      </c>
      <c r="H36" s="2" t="s">
        <v>7</v>
      </c>
      <c r="I36" s="10" t="s">
        <v>8</v>
      </c>
      <c r="J36" s="59" t="s">
        <v>894</v>
      </c>
      <c r="K36" s="59"/>
      <c r="L36" s="10" t="s">
        <v>838</v>
      </c>
      <c r="M36" s="154"/>
      <c r="N36" s="154"/>
      <c r="O36" s="154"/>
      <c r="P36" s="155"/>
      <c r="Q36" s="155"/>
      <c r="R36" s="58"/>
      <c r="S36" s="10"/>
      <c r="T36" s="78" t="s">
        <v>1755</v>
      </c>
      <c r="U36" s="10" t="s">
        <v>1734</v>
      </c>
      <c r="V36">
        <v>1</v>
      </c>
      <c r="W36" s="77"/>
    </row>
    <row r="37" spans="1:23" ht="15" customHeight="1" x14ac:dyDescent="0.25">
      <c r="A37" s="2" t="s">
        <v>1685</v>
      </c>
      <c r="B37" s="2" t="s">
        <v>368</v>
      </c>
      <c r="C37" s="2">
        <v>13</v>
      </c>
      <c r="D37" s="2">
        <v>536</v>
      </c>
      <c r="E37" s="2">
        <v>2</v>
      </c>
      <c r="F37" s="140"/>
      <c r="G37" t="s">
        <v>440</v>
      </c>
      <c r="H37" s="2" t="s">
        <v>373</v>
      </c>
      <c r="I37" s="10" t="s">
        <v>374</v>
      </c>
      <c r="J37" s="59" t="s">
        <v>894</v>
      </c>
      <c r="K37" s="59"/>
      <c r="L37" s="10" t="s">
        <v>838</v>
      </c>
      <c r="M37" s="154"/>
      <c r="N37" s="154"/>
      <c r="O37" s="154"/>
      <c r="P37" s="155"/>
      <c r="Q37" s="155"/>
      <c r="R37" s="58"/>
      <c r="S37" s="10"/>
      <c r="T37" s="78" t="s">
        <v>1755</v>
      </c>
      <c r="U37" s="10" t="s">
        <v>1734</v>
      </c>
      <c r="V37">
        <v>1</v>
      </c>
      <c r="W37" s="77"/>
    </row>
    <row r="38" spans="1:23" ht="15" customHeight="1" x14ac:dyDescent="0.25">
      <c r="A38" s="2" t="s">
        <v>1685</v>
      </c>
      <c r="B38" s="2" t="s">
        <v>368</v>
      </c>
      <c r="C38" s="2">
        <v>13</v>
      </c>
      <c r="D38" s="2">
        <v>540</v>
      </c>
      <c r="E38" s="2">
        <v>2</v>
      </c>
      <c r="F38" s="140"/>
      <c r="G38" t="s">
        <v>435</v>
      </c>
      <c r="H38" s="2" t="s">
        <v>266</v>
      </c>
      <c r="I38" s="10" t="s">
        <v>267</v>
      </c>
      <c r="J38" s="10" t="s">
        <v>897</v>
      </c>
      <c r="K38" s="10"/>
      <c r="L38" s="10" t="s">
        <v>838</v>
      </c>
      <c r="M38" s="154"/>
      <c r="N38" s="154"/>
      <c r="O38" s="154"/>
      <c r="P38" s="155"/>
      <c r="Q38" s="155"/>
      <c r="R38" s="58"/>
      <c r="S38" s="10"/>
      <c r="T38" s="78" t="s">
        <v>1755</v>
      </c>
      <c r="U38" s="10" t="s">
        <v>1734</v>
      </c>
      <c r="V38">
        <v>1</v>
      </c>
      <c r="W38" s="77"/>
    </row>
    <row r="39" spans="1:23" ht="15" customHeight="1" x14ac:dyDescent="0.25">
      <c r="A39" s="2" t="s">
        <v>1685</v>
      </c>
      <c r="B39" s="2" t="s">
        <v>368</v>
      </c>
      <c r="C39" s="2">
        <v>13</v>
      </c>
      <c r="D39" s="2">
        <v>552</v>
      </c>
      <c r="E39" s="2">
        <v>2</v>
      </c>
      <c r="F39" s="140"/>
      <c r="G39" s="1" t="s">
        <v>466</v>
      </c>
      <c r="H39" s="2" t="s">
        <v>188</v>
      </c>
      <c r="I39" s="10" t="s">
        <v>189</v>
      </c>
      <c r="J39" s="59" t="s">
        <v>894</v>
      </c>
      <c r="K39" s="59"/>
      <c r="L39" s="10" t="s">
        <v>838</v>
      </c>
      <c r="M39" s="154"/>
      <c r="N39" s="154"/>
      <c r="O39" s="154"/>
      <c r="P39" s="155"/>
      <c r="Q39" s="155"/>
      <c r="R39" s="58"/>
      <c r="S39" s="10"/>
      <c r="T39" s="78" t="s">
        <v>1755</v>
      </c>
      <c r="U39" s="10" t="s">
        <v>1734</v>
      </c>
      <c r="V39">
        <v>1</v>
      </c>
      <c r="W39" s="77"/>
    </row>
    <row r="40" spans="1:23" ht="15" customHeight="1" x14ac:dyDescent="0.25">
      <c r="A40" s="2" t="s">
        <v>1685</v>
      </c>
      <c r="B40" s="2" t="s">
        <v>368</v>
      </c>
      <c r="C40" s="2">
        <v>13</v>
      </c>
      <c r="D40" s="2">
        <v>560</v>
      </c>
      <c r="E40" s="2">
        <v>2</v>
      </c>
      <c r="F40" s="140" t="s">
        <v>436</v>
      </c>
      <c r="G40" t="s">
        <v>437</v>
      </c>
      <c r="H40" s="2" t="s">
        <v>375</v>
      </c>
      <c r="I40" s="10" t="s">
        <v>376</v>
      </c>
      <c r="J40" s="22" t="s">
        <v>862</v>
      </c>
      <c r="K40" s="22"/>
      <c r="L40" s="10" t="s">
        <v>838</v>
      </c>
      <c r="M40" s="154"/>
      <c r="N40" s="154"/>
      <c r="O40" s="154"/>
      <c r="P40" s="155"/>
      <c r="Q40" s="155"/>
      <c r="R40" s="58"/>
      <c r="S40" s="10"/>
      <c r="T40" s="78" t="s">
        <v>1755</v>
      </c>
      <c r="U40" s="10" t="s">
        <v>1734</v>
      </c>
      <c r="V40">
        <v>1</v>
      </c>
      <c r="W40" s="77"/>
    </row>
    <row r="41" spans="1:23" ht="15" customHeight="1" x14ac:dyDescent="0.25">
      <c r="A41" s="2" t="s">
        <v>1685</v>
      </c>
      <c r="B41" s="2" t="s">
        <v>368</v>
      </c>
      <c r="C41" s="2">
        <v>13</v>
      </c>
      <c r="D41" s="2">
        <v>810</v>
      </c>
      <c r="E41" s="2">
        <v>2</v>
      </c>
      <c r="F41" t="s">
        <v>958</v>
      </c>
      <c r="G41" t="s">
        <v>954</v>
      </c>
      <c r="H41" s="2">
        <v>4300</v>
      </c>
      <c r="I41" s="10" t="s">
        <v>250</v>
      </c>
      <c r="J41" t="s">
        <v>955</v>
      </c>
      <c r="L41" s="10" t="s">
        <v>856</v>
      </c>
      <c r="M41" s="154">
        <v>0.46153846153846201</v>
      </c>
      <c r="N41" s="154">
        <v>0</v>
      </c>
      <c r="O41" s="154">
        <v>0</v>
      </c>
      <c r="P41" s="155">
        <v>0</v>
      </c>
      <c r="Q41" s="155">
        <f>7350</f>
        <v>7350</v>
      </c>
      <c r="R41" s="144">
        <v>43794</v>
      </c>
      <c r="S41" s="10"/>
      <c r="T41" s="78" t="s">
        <v>1754</v>
      </c>
      <c r="U41" s="10"/>
      <c r="V41">
        <v>1</v>
      </c>
      <c r="W41" s="77"/>
    </row>
    <row r="42" spans="1:23" ht="15" customHeight="1" x14ac:dyDescent="0.25">
      <c r="A42" s="2" t="s">
        <v>1685</v>
      </c>
      <c r="B42" s="2" t="s">
        <v>739</v>
      </c>
      <c r="C42" s="2">
        <v>30</v>
      </c>
      <c r="D42" s="2">
        <v>137</v>
      </c>
      <c r="E42" s="2">
        <v>2</v>
      </c>
      <c r="F42" s="140" t="s">
        <v>288</v>
      </c>
      <c r="G42" t="s">
        <v>289</v>
      </c>
      <c r="H42" s="2" t="s">
        <v>86</v>
      </c>
      <c r="I42" s="10" t="s">
        <v>87</v>
      </c>
      <c r="J42" s="22" t="s">
        <v>808</v>
      </c>
      <c r="K42" s="22"/>
      <c r="L42" s="10" t="s">
        <v>856</v>
      </c>
      <c r="M42" s="154"/>
      <c r="N42" s="154"/>
      <c r="O42" s="154"/>
      <c r="P42" s="155"/>
      <c r="Q42" s="155"/>
      <c r="R42" s="58"/>
      <c r="S42" s="10"/>
      <c r="T42" s="78" t="s">
        <v>1755</v>
      </c>
      <c r="U42" s="10" t="s">
        <v>1734</v>
      </c>
      <c r="V42">
        <v>1</v>
      </c>
      <c r="W42" s="77"/>
    </row>
    <row r="43" spans="1:23" ht="15" customHeight="1" x14ac:dyDescent="0.25">
      <c r="A43" s="2" t="s">
        <v>1685</v>
      </c>
      <c r="B43" s="2" t="s">
        <v>739</v>
      </c>
      <c r="C43" s="2">
        <v>30</v>
      </c>
      <c r="D43" s="2">
        <v>143</v>
      </c>
      <c r="E43" s="2">
        <v>2</v>
      </c>
      <c r="F43" s="140" t="s">
        <v>290</v>
      </c>
      <c r="G43" t="s">
        <v>291</v>
      </c>
      <c r="H43" s="2" t="s">
        <v>88</v>
      </c>
      <c r="I43" s="10" t="s">
        <v>89</v>
      </c>
      <c r="J43" s="22" t="s">
        <v>809</v>
      </c>
      <c r="K43" s="22"/>
      <c r="L43" s="10" t="s">
        <v>856</v>
      </c>
      <c r="M43" s="154"/>
      <c r="N43" s="154"/>
      <c r="O43" s="154"/>
      <c r="P43" s="155"/>
      <c r="Q43" s="155"/>
      <c r="R43" s="58"/>
      <c r="S43" s="10"/>
      <c r="T43" s="78" t="s">
        <v>1755</v>
      </c>
      <c r="U43" s="10" t="s">
        <v>1734</v>
      </c>
      <c r="V43">
        <v>1</v>
      </c>
      <c r="W43" s="77"/>
    </row>
    <row r="44" spans="1:23" ht="15" customHeight="1" x14ac:dyDescent="0.25">
      <c r="A44" s="2" t="s">
        <v>1685</v>
      </c>
      <c r="B44" s="2" t="s">
        <v>739</v>
      </c>
      <c r="C44" s="2">
        <v>30</v>
      </c>
      <c r="D44" s="2">
        <v>150</v>
      </c>
      <c r="E44" s="2">
        <v>2</v>
      </c>
      <c r="F44" s="175" t="s">
        <v>292</v>
      </c>
      <c r="G44" t="s">
        <v>275</v>
      </c>
      <c r="H44" s="2" t="s">
        <v>86</v>
      </c>
      <c r="I44" s="10" t="s">
        <v>87</v>
      </c>
      <c r="J44" s="22" t="s">
        <v>806</v>
      </c>
      <c r="K44" s="22"/>
      <c r="L44" s="10" t="s">
        <v>856</v>
      </c>
      <c r="M44" s="154">
        <v>3</v>
      </c>
      <c r="N44" s="154">
        <v>0</v>
      </c>
      <c r="O44" s="154">
        <v>0</v>
      </c>
      <c r="P44" s="155">
        <v>0</v>
      </c>
      <c r="Q44" s="155">
        <v>24500</v>
      </c>
      <c r="R44" s="144">
        <v>43160</v>
      </c>
      <c r="S44" s="10"/>
      <c r="T44" s="78" t="s">
        <v>1755</v>
      </c>
      <c r="U44" s="68" t="s">
        <v>1712</v>
      </c>
      <c r="V44">
        <v>1</v>
      </c>
      <c r="W44" s="77"/>
    </row>
    <row r="45" spans="1:23" ht="15" customHeight="1" x14ac:dyDescent="0.25">
      <c r="A45" s="2" t="s">
        <v>1685</v>
      </c>
      <c r="B45" s="2" t="s">
        <v>739</v>
      </c>
      <c r="C45" s="2">
        <v>30</v>
      </c>
      <c r="D45" s="2">
        <v>151</v>
      </c>
      <c r="E45" s="2">
        <v>2</v>
      </c>
      <c r="F45" s="176"/>
      <c r="G45" t="s">
        <v>293</v>
      </c>
      <c r="H45" s="2" t="s">
        <v>268</v>
      </c>
      <c r="I45" s="10" t="s">
        <v>269</v>
      </c>
      <c r="J45" s="22" t="s">
        <v>810</v>
      </c>
      <c r="K45" s="22"/>
      <c r="L45" s="10" t="s">
        <v>856</v>
      </c>
      <c r="M45" s="154"/>
      <c r="N45" s="154"/>
      <c r="O45" s="154"/>
      <c r="P45" s="155"/>
      <c r="Q45" s="155"/>
      <c r="R45" s="58"/>
      <c r="S45" s="10"/>
      <c r="T45" s="78" t="s">
        <v>1755</v>
      </c>
      <c r="U45" s="10" t="s">
        <v>1714</v>
      </c>
      <c r="V45">
        <v>1</v>
      </c>
      <c r="W45" s="77"/>
    </row>
    <row r="46" spans="1:23" ht="15" customHeight="1" x14ac:dyDescent="0.25">
      <c r="A46" s="2" t="s">
        <v>1685</v>
      </c>
      <c r="B46" s="2" t="s">
        <v>739</v>
      </c>
      <c r="C46" s="2">
        <v>30</v>
      </c>
      <c r="D46" s="2">
        <v>201</v>
      </c>
      <c r="E46" s="2">
        <v>2</v>
      </c>
      <c r="F46" t="s">
        <v>774</v>
      </c>
      <c r="G46" t="s">
        <v>775</v>
      </c>
      <c r="H46" s="2" t="s">
        <v>9</v>
      </c>
      <c r="I46" t="s">
        <v>10</v>
      </c>
      <c r="J46" t="s">
        <v>881</v>
      </c>
      <c r="L46" t="s">
        <v>856</v>
      </c>
      <c r="M46" s="154">
        <v>2.5</v>
      </c>
      <c r="N46" s="154">
        <v>0</v>
      </c>
      <c r="O46" s="154">
        <v>0</v>
      </c>
      <c r="P46" s="155">
        <v>0</v>
      </c>
      <c r="Q46" s="155">
        <f>24500</f>
        <v>24500</v>
      </c>
      <c r="R46" s="144">
        <v>43040</v>
      </c>
      <c r="T46" s="78" t="s">
        <v>1754</v>
      </c>
      <c r="V46">
        <v>1</v>
      </c>
      <c r="W46" s="77"/>
    </row>
    <row r="47" spans="1:23" ht="15" customHeight="1" x14ac:dyDescent="0.25">
      <c r="A47" s="2" t="s">
        <v>1685</v>
      </c>
      <c r="B47" s="2" t="s">
        <v>739</v>
      </c>
      <c r="C47" s="2">
        <v>30</v>
      </c>
      <c r="D47" s="2">
        <v>205</v>
      </c>
      <c r="E47" s="2">
        <v>2</v>
      </c>
      <c r="F47" t="s">
        <v>956</v>
      </c>
      <c r="G47" t="s">
        <v>957</v>
      </c>
      <c r="H47" s="2">
        <v>3000</v>
      </c>
      <c r="I47" s="10" t="s">
        <v>12</v>
      </c>
      <c r="J47" t="s">
        <v>881</v>
      </c>
      <c r="L47" s="10" t="s">
        <v>856</v>
      </c>
      <c r="M47" s="154">
        <f>11.5+9.32692307692308+1.73076923076923</f>
        <v>22.55769230769231</v>
      </c>
      <c r="N47" s="154">
        <v>0</v>
      </c>
      <c r="O47" s="154">
        <v>0</v>
      </c>
      <c r="P47" s="155">
        <v>0</v>
      </c>
      <c r="Q47" s="155">
        <f>43050</f>
        <v>43050</v>
      </c>
      <c r="R47" s="144">
        <v>43770</v>
      </c>
      <c r="S47" s="10"/>
      <c r="T47" s="78" t="s">
        <v>1754</v>
      </c>
      <c r="U47" s="10"/>
      <c r="V47">
        <v>1</v>
      </c>
      <c r="W47" s="77"/>
    </row>
    <row r="48" spans="1:23" ht="15" customHeight="1" x14ac:dyDescent="0.25">
      <c r="A48" s="2" t="s">
        <v>1685</v>
      </c>
      <c r="B48" s="2" t="s">
        <v>739</v>
      </c>
      <c r="C48" s="2">
        <v>30</v>
      </c>
      <c r="D48" s="2">
        <v>209</v>
      </c>
      <c r="E48" s="2">
        <v>2</v>
      </c>
      <c r="F48" s="140" t="s">
        <v>960</v>
      </c>
      <c r="G48" t="s">
        <v>961</v>
      </c>
      <c r="H48" s="2">
        <v>2620</v>
      </c>
      <c r="I48" s="10" t="s">
        <v>962</v>
      </c>
      <c r="J48" s="51" t="s">
        <v>894</v>
      </c>
      <c r="K48" s="51"/>
      <c r="L48" s="10" t="s">
        <v>864</v>
      </c>
      <c r="M48" s="154"/>
      <c r="N48" s="154"/>
      <c r="O48" s="154"/>
      <c r="P48" s="155"/>
      <c r="Q48" s="155"/>
      <c r="R48" s="58"/>
      <c r="S48" s="10"/>
      <c r="T48" s="78" t="s">
        <v>1755</v>
      </c>
      <c r="U48" s="164" t="s">
        <v>1734</v>
      </c>
      <c r="V48">
        <v>1</v>
      </c>
      <c r="W48" s="77"/>
    </row>
    <row r="49" spans="1:23" ht="15" customHeight="1" x14ac:dyDescent="0.25">
      <c r="A49" s="2" t="s">
        <v>1685</v>
      </c>
      <c r="B49" s="78" t="s">
        <v>625</v>
      </c>
      <c r="C49" s="78">
        <v>87</v>
      </c>
      <c r="D49" s="78">
        <v>701</v>
      </c>
      <c r="E49" s="78">
        <v>2</v>
      </c>
      <c r="F49" t="s">
        <v>1133</v>
      </c>
      <c r="G49" t="s">
        <v>1134</v>
      </c>
      <c r="H49" s="78">
        <v>4600</v>
      </c>
      <c r="I49" s="10" t="s">
        <v>1135</v>
      </c>
      <c r="J49" s="51"/>
      <c r="K49" s="51"/>
      <c r="L49" s="10" t="s">
        <v>856</v>
      </c>
      <c r="M49" s="154">
        <f>7.36538461538461+3.76923076923077+0.230769230769231</f>
        <v>11.365384615384611</v>
      </c>
      <c r="N49" s="154">
        <v>5.375</v>
      </c>
      <c r="O49" s="154">
        <v>0</v>
      </c>
      <c r="P49" s="155">
        <v>0</v>
      </c>
      <c r="Q49" s="155">
        <f>30772</f>
        <v>30772</v>
      </c>
      <c r="R49" s="144">
        <v>43905</v>
      </c>
      <c r="S49" s="10"/>
      <c r="T49" s="78" t="s">
        <v>1754</v>
      </c>
      <c r="U49" s="10"/>
      <c r="V49">
        <v>1</v>
      </c>
      <c r="W49" s="77"/>
    </row>
    <row r="50" spans="1:23" x14ac:dyDescent="0.25">
      <c r="A50" s="2" t="s">
        <v>1685</v>
      </c>
      <c r="B50" s="2" t="s">
        <v>273</v>
      </c>
      <c r="C50" s="2">
        <v>134</v>
      </c>
      <c r="D50" s="2">
        <v>110</v>
      </c>
      <c r="E50" s="2">
        <v>2</v>
      </c>
      <c r="F50" s="140" t="s">
        <v>302</v>
      </c>
      <c r="G50" t="s">
        <v>303</v>
      </c>
      <c r="H50" s="2" t="s">
        <v>7</v>
      </c>
      <c r="I50" t="s">
        <v>8</v>
      </c>
      <c r="J50" t="s">
        <v>900</v>
      </c>
      <c r="L50" t="s">
        <v>856</v>
      </c>
      <c r="M50" s="154"/>
      <c r="N50" s="154"/>
      <c r="O50" s="154"/>
      <c r="P50" s="155"/>
      <c r="Q50" s="155"/>
      <c r="R50" s="58"/>
      <c r="T50" s="78" t="s">
        <v>1755</v>
      </c>
      <c r="U50" t="s">
        <v>1734</v>
      </c>
      <c r="V50">
        <v>1</v>
      </c>
      <c r="W50" s="77"/>
    </row>
    <row r="51" spans="1:23" x14ac:dyDescent="0.25">
      <c r="A51" s="2" t="s">
        <v>1685</v>
      </c>
      <c r="B51" s="2" t="s">
        <v>273</v>
      </c>
      <c r="C51" s="2">
        <v>134</v>
      </c>
      <c r="D51" s="2">
        <v>111</v>
      </c>
      <c r="E51" s="2">
        <v>2</v>
      </c>
      <c r="F51" s="140" t="s">
        <v>301</v>
      </c>
      <c r="G51" t="s">
        <v>300</v>
      </c>
      <c r="H51" s="2" t="s">
        <v>271</v>
      </c>
      <c r="I51" t="s">
        <v>24</v>
      </c>
      <c r="J51" t="s">
        <v>812</v>
      </c>
      <c r="L51" t="s">
        <v>856</v>
      </c>
      <c r="M51" s="154"/>
      <c r="N51" s="154"/>
      <c r="O51" s="154"/>
      <c r="P51" s="155"/>
      <c r="Q51" s="155"/>
      <c r="R51" s="58"/>
      <c r="T51" s="78" t="s">
        <v>1755</v>
      </c>
      <c r="U51" t="s">
        <v>1734</v>
      </c>
      <c r="V51">
        <v>1</v>
      </c>
      <c r="W51" s="77"/>
    </row>
    <row r="52" spans="1:23" x14ac:dyDescent="0.25">
      <c r="A52" s="2" t="s">
        <v>1685</v>
      </c>
      <c r="B52" s="78" t="s">
        <v>606</v>
      </c>
      <c r="C52" s="78">
        <v>152</v>
      </c>
      <c r="D52" s="78">
        <v>117</v>
      </c>
      <c r="E52" s="78">
        <v>2</v>
      </c>
      <c r="F52" t="s">
        <v>1181</v>
      </c>
      <c r="G52" t="s">
        <v>1182</v>
      </c>
      <c r="H52" s="78">
        <v>4600</v>
      </c>
      <c r="I52" s="10" t="s">
        <v>1135</v>
      </c>
      <c r="J52"/>
      <c r="L52" t="s">
        <v>856</v>
      </c>
      <c r="M52" s="154">
        <f>5.61538461538461+3.46153846153846+0.346153846153846</f>
        <v>9.4230769230769162</v>
      </c>
      <c r="N52" s="154">
        <v>4.25</v>
      </c>
      <c r="O52" s="154">
        <v>0</v>
      </c>
      <c r="P52" s="155">
        <v>0</v>
      </c>
      <c r="Q52" s="155">
        <f>30772</f>
        <v>30772</v>
      </c>
      <c r="R52" s="144">
        <v>43891</v>
      </c>
      <c r="T52" s="78" t="s">
        <v>1754</v>
      </c>
      <c r="V52">
        <v>1</v>
      </c>
      <c r="W52" s="77"/>
    </row>
    <row r="53" spans="1:23" x14ac:dyDescent="0.25">
      <c r="A53" s="2" t="s">
        <v>1685</v>
      </c>
      <c r="B53" s="2" t="s">
        <v>274</v>
      </c>
      <c r="C53" s="2">
        <v>170</v>
      </c>
      <c r="D53" s="2">
        <v>101</v>
      </c>
      <c r="E53" s="2">
        <v>2</v>
      </c>
      <c r="F53" s="175" t="s">
        <v>298</v>
      </c>
      <c r="G53" t="s">
        <v>299</v>
      </c>
      <c r="H53" s="2" t="s">
        <v>188</v>
      </c>
      <c r="I53" t="s">
        <v>189</v>
      </c>
      <c r="J53" t="s">
        <v>807</v>
      </c>
      <c r="L53" t="s">
        <v>856</v>
      </c>
      <c r="M53" s="154"/>
      <c r="N53" s="154"/>
      <c r="O53" s="154"/>
      <c r="P53" s="155"/>
      <c r="Q53" s="155"/>
      <c r="R53" s="144">
        <v>42339</v>
      </c>
      <c r="T53" s="78" t="s">
        <v>1755</v>
      </c>
      <c r="U53" t="s">
        <v>1722</v>
      </c>
      <c r="V53">
        <v>1</v>
      </c>
      <c r="W53" s="77"/>
    </row>
    <row r="54" spans="1:23" x14ac:dyDescent="0.25">
      <c r="A54" s="2" t="s">
        <v>1685</v>
      </c>
      <c r="B54" s="2" t="s">
        <v>1136</v>
      </c>
      <c r="C54" s="2">
        <v>800</v>
      </c>
      <c r="D54" s="2">
        <v>97</v>
      </c>
      <c r="E54" s="2">
        <v>2</v>
      </c>
      <c r="F54" s="140" t="s">
        <v>963</v>
      </c>
      <c r="G54" t="s">
        <v>964</v>
      </c>
      <c r="H54" s="2">
        <v>2450</v>
      </c>
      <c r="I54" t="s">
        <v>189</v>
      </c>
      <c r="J54" t="s">
        <v>807</v>
      </c>
      <c r="L54" t="s">
        <v>856</v>
      </c>
      <c r="M54" s="154"/>
      <c r="N54" s="154"/>
      <c r="O54" s="154"/>
      <c r="P54" s="155"/>
      <c r="Q54" s="155"/>
      <c r="R54" s="58"/>
      <c r="T54" s="78" t="s">
        <v>1755</v>
      </c>
      <c r="V54">
        <v>1</v>
      </c>
      <c r="W54" s="77"/>
    </row>
  </sheetData>
  <mergeCells count="4">
    <mergeCell ref="A2:D2"/>
    <mergeCell ref="A3:B3"/>
    <mergeCell ref="M8:O8"/>
    <mergeCell ref="P8:Q8"/>
  </mergeCells>
  <hyperlinks>
    <hyperlink ref="F50" r:id="rId1" xr:uid="{00000000-0004-0000-0500-000000000000}"/>
    <hyperlink ref="F51" r:id="rId2" xr:uid="{00000000-0004-0000-0500-000001000000}"/>
    <hyperlink ref="F53" r:id="rId3" xr:uid="{00000000-0004-0000-0500-000002000000}"/>
    <hyperlink ref="F15" r:id="rId4" xr:uid="{00000000-0004-0000-0500-000003000000}"/>
    <hyperlink ref="G28" r:id="rId5" xr:uid="{00000000-0004-0000-0500-000004000000}"/>
    <hyperlink ref="F30" r:id="rId6" xr:uid="{00000000-0004-0000-0500-000005000000}"/>
    <hyperlink ref="G29" r:id="rId7" xr:uid="{00000000-0004-0000-0500-000006000000}"/>
    <hyperlink ref="F33" r:id="rId8" xr:uid="{00000000-0004-0000-0500-000007000000}"/>
    <hyperlink ref="F34" r:id="rId9" xr:uid="{00000000-0004-0000-0500-000008000000}"/>
    <hyperlink ref="G36" r:id="rId10" xr:uid="{00000000-0004-0000-0500-000009000000}"/>
    <hyperlink ref="G37" r:id="rId11" xr:uid="{00000000-0004-0000-0500-00000A000000}"/>
    <hyperlink ref="G39" r:id="rId12" xr:uid="{00000000-0004-0000-0500-00000B000000}"/>
    <hyperlink ref="F40" r:id="rId13" xr:uid="{00000000-0004-0000-0500-00000C000000}"/>
    <hyperlink ref="F16" r:id="rId14" display="E/F Revyhaven_x000a_Dirch Passers Allé 3-15_x000a_Elga Olgas Vej 1-3" xr:uid="{00000000-0004-0000-0500-00000D000000}"/>
    <hyperlink ref="F14" r:id="rId15" display="E/F Flintholm Have_x000a_Preben Kaas Vænge 2-8, Flintholm Allé 20_x000a_Dirch Passers Allé 17-27 Flintholm Allé 20-26" xr:uid="{00000000-0004-0000-0500-00000E000000}"/>
    <hyperlink ref="F17" r:id="rId16" xr:uid="{00000000-0004-0000-0500-00000F000000}"/>
    <hyperlink ref="F27" r:id="rId17" xr:uid="{00000000-0004-0000-0500-000010000000}"/>
    <hyperlink ref="F26" r:id="rId18" xr:uid="{00000000-0004-0000-0500-000011000000}"/>
    <hyperlink ref="F25" r:id="rId19" xr:uid="{00000000-0004-0000-0500-000012000000}"/>
    <hyperlink ref="F24" r:id="rId20" xr:uid="{00000000-0004-0000-0500-000013000000}"/>
    <hyperlink ref="G22" r:id="rId21" xr:uid="{00000000-0004-0000-0500-000014000000}"/>
    <hyperlink ref="G21" r:id="rId22" xr:uid="{00000000-0004-0000-0500-000015000000}"/>
    <hyperlink ref="F20" r:id="rId23" xr:uid="{00000000-0004-0000-0500-000016000000}"/>
    <hyperlink ref="F19" r:id="rId24" xr:uid="{00000000-0004-0000-0500-000017000000}"/>
    <hyperlink ref="F18" r:id="rId25" xr:uid="{00000000-0004-0000-0500-000018000000}"/>
    <hyperlink ref="F10" r:id="rId26" xr:uid="{00000000-0004-0000-0500-000019000000}"/>
  </hyperlinks>
  <pageMargins left="0.7" right="0.7" top="0.75" bottom="0.75" header="0.3" footer="0.3"/>
  <pageSetup paperSize="8" scale="47" fitToHeight="0" orientation="landscape" r:id="rId27"/>
  <tableParts count="1">
    <tablePart r:id="rId2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W1048576"/>
  <sheetViews>
    <sheetView topLeftCell="C1" zoomScale="70" zoomScaleNormal="70" workbookViewId="0">
      <selection activeCell="P26" sqref="P26"/>
    </sheetView>
  </sheetViews>
  <sheetFormatPr defaultRowHeight="15" x14ac:dyDescent="0.25"/>
  <cols>
    <col min="1" max="1" width="9.140625" style="2" customWidth="1"/>
    <col min="2" max="2" width="30.140625" style="2" customWidth="1"/>
    <col min="3" max="3" width="10.85546875" style="2" customWidth="1"/>
    <col min="4" max="4" width="14.7109375" style="2" customWidth="1"/>
    <col min="5" max="5" width="10.42578125" customWidth="1"/>
    <col min="6" max="6" width="37.5703125" style="10" bestFit="1" customWidth="1"/>
    <col min="7" max="7" width="68.7109375" bestFit="1" customWidth="1"/>
    <col min="8" max="8" width="9.85546875" customWidth="1"/>
    <col min="9" max="9" width="15" bestFit="1" customWidth="1"/>
    <col min="10" max="10" width="30.5703125" bestFit="1" customWidth="1"/>
    <col min="11" max="11" width="14.140625" customWidth="1"/>
    <col min="12" max="12" width="11.28515625" customWidth="1"/>
    <col min="13" max="13" width="11.5703125" customWidth="1"/>
    <col min="14" max="14" width="10.42578125" customWidth="1"/>
    <col min="15" max="15" width="12.7109375" customWidth="1"/>
    <col min="16" max="16" width="8.28515625" bestFit="1" customWidth="1"/>
    <col min="17" max="17" width="15" bestFit="1" customWidth="1"/>
    <col min="18" max="18" width="15.5703125" customWidth="1"/>
    <col min="19" max="19" width="12.42578125" bestFit="1" customWidth="1"/>
    <col min="20" max="20" width="12.42578125" style="164" customWidth="1"/>
    <col min="21" max="21" width="14.140625" customWidth="1"/>
    <col min="23" max="23" width="9.5703125" customWidth="1"/>
  </cols>
  <sheetData>
    <row r="1" spans="1:23" ht="18.75" x14ac:dyDescent="0.3">
      <c r="A1" s="19" t="s">
        <v>843</v>
      </c>
      <c r="B1" s="6"/>
      <c r="C1" s="7"/>
    </row>
    <row r="2" spans="1:23" ht="15.75" thickBot="1" x14ac:dyDescent="0.3">
      <c r="A2" s="184" t="s">
        <v>241</v>
      </c>
      <c r="B2" s="184"/>
      <c r="C2" s="184"/>
      <c r="D2" s="184"/>
    </row>
    <row r="3" spans="1:23" x14ac:dyDescent="0.25">
      <c r="A3" s="184" t="s">
        <v>178</v>
      </c>
      <c r="B3" s="184"/>
      <c r="C3" s="47">
        <f>K7</f>
        <v>37</v>
      </c>
      <c r="J3" s="40" t="s">
        <v>838</v>
      </c>
      <c r="K3" s="41">
        <f>COUNTIFS(L:L,J3)</f>
        <v>0</v>
      </c>
    </row>
    <row r="4" spans="1:23" x14ac:dyDescent="0.25">
      <c r="A4" s="23" t="s">
        <v>311</v>
      </c>
      <c r="B4" s="20"/>
      <c r="C4" s="24"/>
      <c r="J4" s="42" t="s">
        <v>856</v>
      </c>
      <c r="K4" s="43">
        <f>COUNTIFS(L:L,J4)</f>
        <v>35</v>
      </c>
    </row>
    <row r="5" spans="1:23" x14ac:dyDescent="0.25">
      <c r="A5" s="25" t="s">
        <v>179</v>
      </c>
      <c r="B5"/>
      <c r="C5"/>
      <c r="D5"/>
      <c r="J5" s="42" t="s">
        <v>860</v>
      </c>
      <c r="K5" s="43">
        <f>COUNTIFS(L:L,J5)</f>
        <v>0</v>
      </c>
    </row>
    <row r="6" spans="1:23" ht="15.75" thickBot="1" x14ac:dyDescent="0.3">
      <c r="A6" s="25"/>
      <c r="C6"/>
      <c r="D6"/>
      <c r="J6" s="44" t="s">
        <v>864</v>
      </c>
      <c r="K6" s="45">
        <f>COUNTIFS(L:L,J6)</f>
        <v>2</v>
      </c>
    </row>
    <row r="7" spans="1:23" x14ac:dyDescent="0.25">
      <c r="J7" s="78"/>
      <c r="K7" s="78">
        <f>SUM(K3:K6)</f>
        <v>37</v>
      </c>
    </row>
    <row r="8" spans="1:23" x14ac:dyDescent="0.25">
      <c r="A8" s="78"/>
      <c r="B8" s="78"/>
      <c r="C8" s="78"/>
      <c r="D8" s="78"/>
      <c r="F8"/>
      <c r="G8" s="7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1132</v>
      </c>
      <c r="B10" s="78" t="s">
        <v>351</v>
      </c>
      <c r="C10" s="2">
        <v>20</v>
      </c>
      <c r="D10" s="2">
        <v>214</v>
      </c>
      <c r="E10">
        <v>2</v>
      </c>
      <c r="F10" s="175" t="s">
        <v>591</v>
      </c>
      <c r="G10" s="10" t="s">
        <v>592</v>
      </c>
      <c r="H10" s="2" t="s">
        <v>9</v>
      </c>
      <c r="I10" s="10" t="s">
        <v>10</v>
      </c>
      <c r="J10" t="s">
        <v>868</v>
      </c>
      <c r="L10" t="s">
        <v>856</v>
      </c>
      <c r="M10" s="154"/>
      <c r="N10" s="154"/>
      <c r="O10" s="154"/>
      <c r="P10" s="155"/>
      <c r="Q10" s="155"/>
      <c r="S10" t="s">
        <v>1700</v>
      </c>
      <c r="T10" s="164" t="s">
        <v>1754</v>
      </c>
      <c r="U10" t="s">
        <v>1721</v>
      </c>
      <c r="V10">
        <v>1</v>
      </c>
      <c r="W10" s="77"/>
    </row>
    <row r="11" spans="1:23" ht="15" customHeight="1" x14ac:dyDescent="0.25">
      <c r="A11" s="2" t="s">
        <v>1132</v>
      </c>
      <c r="B11" s="2" t="s">
        <v>272</v>
      </c>
      <c r="C11" s="2">
        <v>39</v>
      </c>
      <c r="D11" s="2">
        <v>851</v>
      </c>
      <c r="E11">
        <v>2</v>
      </c>
      <c r="F11" s="140"/>
      <c r="G11" t="s">
        <v>294</v>
      </c>
      <c r="H11" s="2" t="s">
        <v>7</v>
      </c>
      <c r="I11" t="s">
        <v>8</v>
      </c>
      <c r="J11" t="s">
        <v>811</v>
      </c>
      <c r="L11" t="s">
        <v>856</v>
      </c>
      <c r="M11" s="154"/>
      <c r="N11" s="154"/>
      <c r="O11" s="154"/>
      <c r="P11" s="155"/>
      <c r="Q11" s="155"/>
      <c r="T11" s="164" t="s">
        <v>1755</v>
      </c>
      <c r="U11" t="s">
        <v>1698</v>
      </c>
      <c r="V11">
        <v>1</v>
      </c>
      <c r="W11" s="77"/>
    </row>
    <row r="12" spans="1:23" ht="15" customHeight="1" x14ac:dyDescent="0.25">
      <c r="A12" s="2" t="s">
        <v>1132</v>
      </c>
      <c r="B12" s="2" t="s">
        <v>272</v>
      </c>
      <c r="C12" s="2">
        <v>39</v>
      </c>
      <c r="D12" s="2">
        <v>852</v>
      </c>
      <c r="E12">
        <v>2</v>
      </c>
      <c r="F12" s="140"/>
      <c r="G12" t="s">
        <v>295</v>
      </c>
      <c r="H12" s="2" t="s">
        <v>270</v>
      </c>
      <c r="I12" s="22" t="s">
        <v>76</v>
      </c>
      <c r="J12" t="s">
        <v>909</v>
      </c>
      <c r="L12" t="s">
        <v>856</v>
      </c>
      <c r="M12" s="154"/>
      <c r="N12" s="154"/>
      <c r="O12" s="154"/>
      <c r="P12" s="155"/>
      <c r="Q12" s="155"/>
      <c r="T12" s="164" t="s">
        <v>1755</v>
      </c>
      <c r="U12" t="s">
        <v>1698</v>
      </c>
      <c r="V12">
        <v>1</v>
      </c>
      <c r="W12" s="77"/>
    </row>
    <row r="13" spans="1:23" ht="15" customHeight="1" x14ac:dyDescent="0.25">
      <c r="A13" s="2" t="s">
        <v>1132</v>
      </c>
      <c r="B13" s="2" t="s">
        <v>272</v>
      </c>
      <c r="C13" s="2">
        <v>39</v>
      </c>
      <c r="D13" s="2">
        <v>853</v>
      </c>
      <c r="E13">
        <v>2</v>
      </c>
      <c r="F13" s="140" t="s">
        <v>297</v>
      </c>
      <c r="G13" t="s">
        <v>296</v>
      </c>
      <c r="H13" s="2" t="s">
        <v>86</v>
      </c>
      <c r="I13" t="s">
        <v>87</v>
      </c>
      <c r="J13" t="s">
        <v>811</v>
      </c>
      <c r="L13" t="s">
        <v>856</v>
      </c>
      <c r="M13" s="154"/>
      <c r="N13" s="154"/>
      <c r="O13" s="154"/>
      <c r="P13" s="155"/>
      <c r="Q13" s="155"/>
      <c r="T13" s="164" t="s">
        <v>1755</v>
      </c>
      <c r="U13" t="s">
        <v>1698</v>
      </c>
      <c r="V13">
        <v>1</v>
      </c>
      <c r="W13" s="77"/>
    </row>
    <row r="14" spans="1:23" ht="15" customHeight="1" x14ac:dyDescent="0.25">
      <c r="A14" s="2" t="s">
        <v>1132</v>
      </c>
      <c r="B14" s="2" t="s">
        <v>272</v>
      </c>
      <c r="C14" s="2">
        <v>39</v>
      </c>
      <c r="D14" s="2">
        <v>854</v>
      </c>
      <c r="E14">
        <v>2</v>
      </c>
      <c r="F14" s="140" t="s">
        <v>309</v>
      </c>
      <c r="G14" t="s">
        <v>310</v>
      </c>
      <c r="H14" s="2" t="s">
        <v>3</v>
      </c>
      <c r="I14" t="s">
        <v>4</v>
      </c>
      <c r="J14" t="s">
        <v>811</v>
      </c>
      <c r="L14" t="s">
        <v>856</v>
      </c>
      <c r="M14" s="154"/>
      <c r="N14" s="154"/>
      <c r="O14" s="154"/>
      <c r="P14" s="155"/>
      <c r="Q14" s="155"/>
      <c r="T14" s="164" t="s">
        <v>1755</v>
      </c>
      <c r="U14" t="s">
        <v>1698</v>
      </c>
      <c r="V14">
        <v>1</v>
      </c>
      <c r="W14" s="77"/>
    </row>
    <row r="15" spans="1:23" ht="15" customHeight="1" x14ac:dyDescent="0.25">
      <c r="A15" s="2" t="s">
        <v>1132</v>
      </c>
      <c r="B15" s="2" t="s">
        <v>272</v>
      </c>
      <c r="C15" s="2">
        <v>39</v>
      </c>
      <c r="D15" s="2">
        <v>855</v>
      </c>
      <c r="E15">
        <v>2</v>
      </c>
      <c r="F15" s="140"/>
      <c r="G15" t="s">
        <v>308</v>
      </c>
      <c r="H15" s="2" t="s">
        <v>86</v>
      </c>
      <c r="I15" t="s">
        <v>87</v>
      </c>
      <c r="J15" t="s">
        <v>811</v>
      </c>
      <c r="L15" t="s">
        <v>856</v>
      </c>
      <c r="M15" s="154"/>
      <c r="N15" s="154"/>
      <c r="O15" s="154"/>
      <c r="P15" s="155"/>
      <c r="Q15" s="155"/>
      <c r="T15" s="164" t="s">
        <v>1755</v>
      </c>
      <c r="U15" t="s">
        <v>1698</v>
      </c>
      <c r="V15">
        <v>1</v>
      </c>
      <c r="W15" s="77"/>
    </row>
    <row r="16" spans="1:23" ht="15" customHeight="1" x14ac:dyDescent="0.25">
      <c r="A16" s="2" t="s">
        <v>1132</v>
      </c>
      <c r="B16" s="2" t="s">
        <v>352</v>
      </c>
      <c r="C16" s="2">
        <v>41</v>
      </c>
      <c r="D16" s="2">
        <v>891</v>
      </c>
      <c r="E16">
        <v>2</v>
      </c>
      <c r="F16" t="s">
        <v>341</v>
      </c>
      <c r="G16" t="s">
        <v>340</v>
      </c>
      <c r="H16" s="2" t="s">
        <v>86</v>
      </c>
      <c r="I16" t="s">
        <v>87</v>
      </c>
      <c r="J16" t="s">
        <v>966</v>
      </c>
      <c r="L16" t="s">
        <v>856</v>
      </c>
      <c r="M16" s="154">
        <v>0</v>
      </c>
      <c r="N16" s="154">
        <v>0</v>
      </c>
      <c r="O16" s="154">
        <v>0</v>
      </c>
      <c r="P16" s="155">
        <v>0</v>
      </c>
      <c r="Q16" s="155">
        <f>(1147.53*12)</f>
        <v>13770.36</v>
      </c>
      <c r="T16" s="164" t="s">
        <v>1754</v>
      </c>
      <c r="U16" t="s">
        <v>1699</v>
      </c>
      <c r="V16">
        <v>1</v>
      </c>
      <c r="W16" s="77"/>
    </row>
    <row r="17" spans="1:23" ht="15" customHeight="1" x14ac:dyDescent="0.25">
      <c r="A17" s="2" t="s">
        <v>1132</v>
      </c>
      <c r="B17" s="2" t="s">
        <v>352</v>
      </c>
      <c r="C17" s="2">
        <v>41</v>
      </c>
      <c r="D17" s="2">
        <v>893</v>
      </c>
      <c r="E17">
        <v>2</v>
      </c>
      <c r="F17"/>
      <c r="G17" t="s">
        <v>342</v>
      </c>
      <c r="H17" s="2" t="s">
        <v>9</v>
      </c>
      <c r="I17" t="s">
        <v>10</v>
      </c>
      <c r="J17" t="s">
        <v>966</v>
      </c>
      <c r="L17" t="s">
        <v>856</v>
      </c>
      <c r="M17" s="154">
        <v>0</v>
      </c>
      <c r="N17" s="154">
        <v>0</v>
      </c>
      <c r="O17" s="154">
        <v>0</v>
      </c>
      <c r="P17" s="155">
        <v>0</v>
      </c>
      <c r="Q17" s="155">
        <f>(1642.78*12)</f>
        <v>19713.36</v>
      </c>
      <c r="T17" s="164" t="s">
        <v>1754</v>
      </c>
      <c r="U17" t="s">
        <v>1699</v>
      </c>
      <c r="V17">
        <v>1</v>
      </c>
      <c r="W17" s="77"/>
    </row>
    <row r="18" spans="1:23" ht="15" customHeight="1" x14ac:dyDescent="0.25">
      <c r="A18" s="2" t="s">
        <v>1132</v>
      </c>
      <c r="B18" s="2" t="s">
        <v>352</v>
      </c>
      <c r="C18" s="2">
        <v>41</v>
      </c>
      <c r="D18" s="2">
        <v>894</v>
      </c>
      <c r="E18">
        <v>2</v>
      </c>
      <c r="F18" t="s">
        <v>344</v>
      </c>
      <c r="G18" t="s">
        <v>343</v>
      </c>
      <c r="H18" s="2" t="s">
        <v>9</v>
      </c>
      <c r="I18" t="s">
        <v>10</v>
      </c>
      <c r="J18" t="s">
        <v>966</v>
      </c>
      <c r="L18" t="s">
        <v>856</v>
      </c>
      <c r="M18" s="154">
        <v>0</v>
      </c>
      <c r="N18" s="154">
        <v>0</v>
      </c>
      <c r="O18" s="154">
        <v>0</v>
      </c>
      <c r="P18" s="155">
        <v>0</v>
      </c>
      <c r="Q18" s="155">
        <f>(978.42*12)</f>
        <v>11741.039999999999</v>
      </c>
      <c r="T18" s="164" t="s">
        <v>1754</v>
      </c>
      <c r="U18" t="s">
        <v>1699</v>
      </c>
      <c r="V18">
        <v>1</v>
      </c>
      <c r="W18" s="77"/>
    </row>
    <row r="19" spans="1:23" ht="15" customHeight="1" x14ac:dyDescent="0.25">
      <c r="A19" s="2" t="s">
        <v>1132</v>
      </c>
      <c r="B19" s="2" t="s">
        <v>352</v>
      </c>
      <c r="C19" s="2">
        <v>41</v>
      </c>
      <c r="D19" s="2">
        <v>895</v>
      </c>
      <c r="E19">
        <v>2</v>
      </c>
      <c r="F19" t="s">
        <v>346</v>
      </c>
      <c r="G19" t="s">
        <v>345</v>
      </c>
      <c r="H19" s="2" t="s">
        <v>266</v>
      </c>
      <c r="I19" t="s">
        <v>267</v>
      </c>
      <c r="J19" t="s">
        <v>966</v>
      </c>
      <c r="L19" t="s">
        <v>856</v>
      </c>
      <c r="M19" s="154">
        <v>0</v>
      </c>
      <c r="N19" s="154">
        <v>0</v>
      </c>
      <c r="O19" s="154">
        <v>0</v>
      </c>
      <c r="P19" s="155">
        <v>0</v>
      </c>
      <c r="Q19" s="155">
        <f>(2500.41*12)</f>
        <v>30004.92</v>
      </c>
      <c r="T19" s="164" t="s">
        <v>1754</v>
      </c>
      <c r="U19" t="s">
        <v>1699</v>
      </c>
      <c r="V19">
        <v>1</v>
      </c>
      <c r="W19" s="77"/>
    </row>
    <row r="20" spans="1:23" ht="15" customHeight="1" x14ac:dyDescent="0.25">
      <c r="A20" s="2" t="s">
        <v>1132</v>
      </c>
      <c r="B20" s="2" t="s">
        <v>352</v>
      </c>
      <c r="C20" s="2">
        <v>41</v>
      </c>
      <c r="D20" s="2">
        <v>897</v>
      </c>
      <c r="E20">
        <v>2</v>
      </c>
      <c r="F20" t="s">
        <v>347</v>
      </c>
      <c r="G20" t="s">
        <v>348</v>
      </c>
      <c r="H20" s="2" t="s">
        <v>21</v>
      </c>
      <c r="I20" t="s">
        <v>22</v>
      </c>
      <c r="J20" t="s">
        <v>966</v>
      </c>
      <c r="L20" t="s">
        <v>856</v>
      </c>
      <c r="M20" s="154">
        <v>0</v>
      </c>
      <c r="N20" s="154">
        <v>0</v>
      </c>
      <c r="O20" s="154">
        <v>0</v>
      </c>
      <c r="P20" s="155">
        <v>0</v>
      </c>
      <c r="Q20" s="155">
        <f>(1195.85*12)</f>
        <v>14350.199999999999</v>
      </c>
      <c r="T20" s="164" t="s">
        <v>1754</v>
      </c>
      <c r="U20" t="s">
        <v>1699</v>
      </c>
      <c r="V20">
        <v>1</v>
      </c>
      <c r="W20" s="77"/>
    </row>
    <row r="21" spans="1:23" ht="15" customHeight="1" x14ac:dyDescent="0.25">
      <c r="A21" s="2" t="s">
        <v>1132</v>
      </c>
      <c r="B21" s="2" t="s">
        <v>352</v>
      </c>
      <c r="C21" s="2">
        <v>41</v>
      </c>
      <c r="D21" s="2">
        <v>898</v>
      </c>
      <c r="E21">
        <v>2</v>
      </c>
      <c r="F21" t="s">
        <v>350</v>
      </c>
      <c r="G21" t="s">
        <v>349</v>
      </c>
      <c r="H21" s="2" t="s">
        <v>9</v>
      </c>
      <c r="I21" t="s">
        <v>10</v>
      </c>
      <c r="J21" t="s">
        <v>966</v>
      </c>
      <c r="L21" t="s">
        <v>856</v>
      </c>
      <c r="M21" s="154">
        <v>0</v>
      </c>
      <c r="N21" s="154">
        <v>0</v>
      </c>
      <c r="O21" s="154">
        <v>0</v>
      </c>
      <c r="P21" s="155">
        <v>0</v>
      </c>
      <c r="Q21" s="155">
        <f>(3660.02*12)</f>
        <v>43920.24</v>
      </c>
      <c r="T21" s="164" t="s">
        <v>1754</v>
      </c>
      <c r="U21" t="s">
        <v>1699</v>
      </c>
      <c r="V21">
        <v>1</v>
      </c>
      <c r="W21" s="77"/>
    </row>
    <row r="22" spans="1:23" ht="15" customHeight="1" x14ac:dyDescent="0.25">
      <c r="A22" s="2" t="s">
        <v>1132</v>
      </c>
      <c r="B22" s="2" t="s">
        <v>352</v>
      </c>
      <c r="C22" s="2">
        <v>41</v>
      </c>
      <c r="D22" s="2">
        <v>9999</v>
      </c>
      <c r="E22">
        <v>2</v>
      </c>
      <c r="F22" s="140" t="s">
        <v>337</v>
      </c>
      <c r="G22" t="s">
        <v>336</v>
      </c>
      <c r="H22" s="2" t="s">
        <v>9</v>
      </c>
      <c r="I22" t="s">
        <v>10</v>
      </c>
      <c r="L22" t="s">
        <v>864</v>
      </c>
      <c r="M22" s="154">
        <v>0</v>
      </c>
      <c r="N22" s="154">
        <v>0</v>
      </c>
      <c r="O22" s="154">
        <v>0</v>
      </c>
      <c r="P22" s="155">
        <v>0</v>
      </c>
      <c r="Q22" s="155"/>
      <c r="T22" s="164" t="s">
        <v>1755</v>
      </c>
      <c r="V22">
        <v>1</v>
      </c>
      <c r="W22" s="77"/>
    </row>
    <row r="23" spans="1:23" ht="15" customHeight="1" x14ac:dyDescent="0.25">
      <c r="A23" s="2" t="s">
        <v>1132</v>
      </c>
      <c r="B23" s="2" t="s">
        <v>573</v>
      </c>
      <c r="C23" s="2">
        <v>45</v>
      </c>
      <c r="D23" s="2">
        <v>987</v>
      </c>
      <c r="E23">
        <v>2</v>
      </c>
      <c r="F23" s="140"/>
      <c r="G23" t="s">
        <v>553</v>
      </c>
      <c r="H23" s="2">
        <v>2500</v>
      </c>
      <c r="I23" t="s">
        <v>20</v>
      </c>
      <c r="J23" t="s">
        <v>818</v>
      </c>
      <c r="L23" t="s">
        <v>856</v>
      </c>
      <c r="M23" s="154">
        <v>0</v>
      </c>
      <c r="N23" s="154">
        <v>0</v>
      </c>
      <c r="O23" s="154">
        <v>0</v>
      </c>
      <c r="P23" s="155">
        <v>0</v>
      </c>
      <c r="Q23" s="155"/>
      <c r="T23" s="164" t="s">
        <v>1755</v>
      </c>
      <c r="V23">
        <v>1</v>
      </c>
      <c r="W23" s="77"/>
    </row>
    <row r="24" spans="1:23" ht="15" customHeight="1" x14ac:dyDescent="0.25">
      <c r="A24" s="2" t="s">
        <v>1132</v>
      </c>
      <c r="B24" s="2" t="s">
        <v>573</v>
      </c>
      <c r="C24" s="2">
        <v>45</v>
      </c>
      <c r="D24" s="2">
        <v>989</v>
      </c>
      <c r="E24">
        <v>2</v>
      </c>
      <c r="F24" s="140"/>
      <c r="G24" t="s">
        <v>554</v>
      </c>
      <c r="H24" s="2">
        <v>2500</v>
      </c>
      <c r="I24" t="s">
        <v>20</v>
      </c>
      <c r="J24" t="s">
        <v>818</v>
      </c>
      <c r="L24" t="s">
        <v>856</v>
      </c>
      <c r="M24" s="154">
        <v>0</v>
      </c>
      <c r="N24" s="154">
        <v>0</v>
      </c>
      <c r="O24" s="154">
        <v>0</v>
      </c>
      <c r="P24" s="155">
        <v>0</v>
      </c>
      <c r="Q24" s="155"/>
      <c r="T24" s="164" t="s">
        <v>1755</v>
      </c>
      <c r="V24">
        <v>1</v>
      </c>
      <c r="W24" s="77"/>
    </row>
    <row r="25" spans="1:23" ht="15" customHeight="1" x14ac:dyDescent="0.25">
      <c r="A25" s="2" t="s">
        <v>1132</v>
      </c>
      <c r="B25" s="2" t="s">
        <v>605</v>
      </c>
      <c r="C25" s="2">
        <v>59</v>
      </c>
      <c r="D25" s="2">
        <v>1</v>
      </c>
      <c r="E25">
        <v>2</v>
      </c>
      <c r="F25" t="s">
        <v>593</v>
      </c>
      <c r="G25" t="s">
        <v>594</v>
      </c>
      <c r="H25" s="2" t="s">
        <v>9</v>
      </c>
      <c r="I25" t="s">
        <v>10</v>
      </c>
      <c r="J25" t="s">
        <v>868</v>
      </c>
      <c r="L25" t="s">
        <v>856</v>
      </c>
      <c r="M25" s="154">
        <f>5.07692289352416+4.567307472229+0.230769231915474</f>
        <v>9.8749995976686336</v>
      </c>
      <c r="N25" s="154">
        <v>4.3076925277709899</v>
      </c>
      <c r="O25" s="154">
        <v>0</v>
      </c>
      <c r="P25" s="155">
        <v>0</v>
      </c>
      <c r="Q25" s="155">
        <f>700</f>
        <v>700</v>
      </c>
      <c r="R25" s="166">
        <v>42948</v>
      </c>
      <c r="T25" s="164" t="s">
        <v>1754</v>
      </c>
      <c r="V25">
        <v>1</v>
      </c>
      <c r="W25" s="77"/>
    </row>
    <row r="26" spans="1:23" ht="15" customHeight="1" x14ac:dyDescent="0.25">
      <c r="A26" s="2" t="s">
        <v>1132</v>
      </c>
      <c r="B26" s="2" t="s">
        <v>605</v>
      </c>
      <c r="C26" s="2">
        <v>59</v>
      </c>
      <c r="D26" s="2">
        <v>2</v>
      </c>
      <c r="E26">
        <v>2</v>
      </c>
      <c r="F26" t="s">
        <v>595</v>
      </c>
      <c r="G26" t="s">
        <v>596</v>
      </c>
      <c r="H26" s="2" t="s">
        <v>9</v>
      </c>
      <c r="I26" t="s">
        <v>10</v>
      </c>
      <c r="J26" t="s">
        <v>868</v>
      </c>
      <c r="L26" t="s">
        <v>856</v>
      </c>
      <c r="M26" s="154">
        <f>3.81730769230769+2.40384615384615+0.0192307692307692</f>
        <v>6.2403846153846088</v>
      </c>
      <c r="N26" s="154">
        <v>0</v>
      </c>
      <c r="O26" s="154">
        <v>0</v>
      </c>
      <c r="P26" s="155">
        <v>0</v>
      </c>
      <c r="Q26" s="155">
        <f>700</f>
        <v>700</v>
      </c>
      <c r="R26" s="143">
        <v>42948</v>
      </c>
      <c r="S26" s="143"/>
      <c r="T26" s="164" t="s">
        <v>1754</v>
      </c>
      <c r="V26">
        <v>1</v>
      </c>
      <c r="W26" s="77"/>
    </row>
    <row r="27" spans="1:23" x14ac:dyDescent="0.25">
      <c r="A27" s="2" t="s">
        <v>1132</v>
      </c>
      <c r="B27" s="2" t="s">
        <v>605</v>
      </c>
      <c r="C27" s="2">
        <v>59</v>
      </c>
      <c r="D27" s="2">
        <v>3</v>
      </c>
      <c r="E27">
        <v>2</v>
      </c>
      <c r="F27" t="s">
        <v>597</v>
      </c>
      <c r="G27" t="s">
        <v>598</v>
      </c>
      <c r="H27" s="2" t="s">
        <v>9</v>
      </c>
      <c r="I27" t="s">
        <v>10</v>
      </c>
      <c r="J27" t="s">
        <v>868</v>
      </c>
      <c r="L27" t="s">
        <v>856</v>
      </c>
      <c r="M27" s="154">
        <f>3.86538457870483+1.61538457870483+0.230769231915474</f>
        <v>5.7115383893251339</v>
      </c>
      <c r="N27" s="154">
        <v>0.53846156597137396</v>
      </c>
      <c r="O27" s="154">
        <v>0</v>
      </c>
      <c r="P27" s="155">
        <v>0</v>
      </c>
      <c r="Q27" s="155">
        <f>1400</f>
        <v>1400</v>
      </c>
      <c r="R27" s="143">
        <v>42948</v>
      </c>
      <c r="T27" s="164" t="s">
        <v>1754</v>
      </c>
      <c r="V27">
        <v>1</v>
      </c>
      <c r="W27" s="77"/>
    </row>
    <row r="28" spans="1:23" x14ac:dyDescent="0.25">
      <c r="A28" s="2" t="s">
        <v>1132</v>
      </c>
      <c r="B28" s="2" t="s">
        <v>605</v>
      </c>
      <c r="C28" s="2">
        <v>59</v>
      </c>
      <c r="D28" s="2">
        <v>4</v>
      </c>
      <c r="E28">
        <v>2</v>
      </c>
      <c r="F28" t="s">
        <v>589</v>
      </c>
      <c r="G28" t="s">
        <v>590</v>
      </c>
      <c r="H28" s="2" t="s">
        <v>380</v>
      </c>
      <c r="I28" t="s">
        <v>76</v>
      </c>
      <c r="J28" t="s">
        <v>868</v>
      </c>
      <c r="L28" t="s">
        <v>856</v>
      </c>
      <c r="M28" s="154">
        <f>4.39423084259033+1.82211542129516+0.0576923079788685</f>
        <v>6.2740385718643585</v>
      </c>
      <c r="N28" s="154">
        <v>0</v>
      </c>
      <c r="O28" s="154">
        <v>0</v>
      </c>
      <c r="P28" s="155">
        <v>0</v>
      </c>
      <c r="Q28" s="155">
        <f>700</f>
        <v>700</v>
      </c>
      <c r="R28" s="143">
        <v>42948</v>
      </c>
      <c r="T28" s="164" t="s">
        <v>1754</v>
      </c>
      <c r="V28">
        <v>1</v>
      </c>
      <c r="W28" s="77"/>
    </row>
    <row r="29" spans="1:23" x14ac:dyDescent="0.25">
      <c r="A29" s="2" t="s">
        <v>1132</v>
      </c>
      <c r="B29" s="2" t="s">
        <v>967</v>
      </c>
      <c r="C29" s="2">
        <v>109</v>
      </c>
      <c r="D29" s="2">
        <v>950</v>
      </c>
      <c r="E29">
        <v>2</v>
      </c>
      <c r="F29"/>
      <c r="G29" t="s">
        <v>1004</v>
      </c>
      <c r="H29" s="2">
        <v>2630</v>
      </c>
      <c r="I29" t="s">
        <v>245</v>
      </c>
      <c r="J29" t="s">
        <v>968</v>
      </c>
      <c r="L29" t="s">
        <v>856</v>
      </c>
      <c r="M29" s="154">
        <v>0</v>
      </c>
      <c r="N29" s="154">
        <v>0</v>
      </c>
      <c r="O29" s="154">
        <v>0</v>
      </c>
      <c r="P29" s="155">
        <v>0</v>
      </c>
      <c r="Q29" s="162">
        <v>0</v>
      </c>
      <c r="R29" s="143"/>
      <c r="T29" s="164" t="s">
        <v>1755</v>
      </c>
      <c r="V29">
        <v>1</v>
      </c>
      <c r="W29" s="77"/>
    </row>
    <row r="30" spans="1:23" x14ac:dyDescent="0.25">
      <c r="A30" s="2" t="s">
        <v>1132</v>
      </c>
      <c r="B30" s="2" t="s">
        <v>969</v>
      </c>
      <c r="C30" s="2">
        <v>109</v>
      </c>
      <c r="D30" s="2">
        <v>951</v>
      </c>
      <c r="E30">
        <v>2</v>
      </c>
      <c r="F30"/>
      <c r="G30" t="s">
        <v>1003</v>
      </c>
      <c r="H30" s="2">
        <v>2670</v>
      </c>
      <c r="I30" t="s">
        <v>374</v>
      </c>
      <c r="J30" t="s">
        <v>968</v>
      </c>
      <c r="L30" t="s">
        <v>856</v>
      </c>
      <c r="M30" s="154">
        <v>0</v>
      </c>
      <c r="N30" s="154">
        <v>0</v>
      </c>
      <c r="O30" s="154">
        <v>0</v>
      </c>
      <c r="P30" s="155">
        <v>0</v>
      </c>
      <c r="Q30" s="162">
        <v>0</v>
      </c>
      <c r="R30" s="143"/>
      <c r="T30" s="164" t="s">
        <v>1755</v>
      </c>
      <c r="V30">
        <v>1</v>
      </c>
      <c r="W30" s="77"/>
    </row>
    <row r="31" spans="1:23" x14ac:dyDescent="0.25">
      <c r="A31" s="2" t="s">
        <v>1132</v>
      </c>
      <c r="B31" s="2" t="s">
        <v>970</v>
      </c>
      <c r="C31" s="2">
        <v>109</v>
      </c>
      <c r="D31" s="2">
        <v>952</v>
      </c>
      <c r="E31">
        <v>2</v>
      </c>
      <c r="F31"/>
      <c r="G31" t="s">
        <v>1002</v>
      </c>
      <c r="H31" s="2">
        <v>2670</v>
      </c>
      <c r="I31" t="s">
        <v>374</v>
      </c>
      <c r="J31" t="s">
        <v>968</v>
      </c>
      <c r="L31" t="s">
        <v>856</v>
      </c>
      <c r="M31" s="154">
        <v>0</v>
      </c>
      <c r="N31" s="154">
        <v>0</v>
      </c>
      <c r="O31" s="154">
        <v>0</v>
      </c>
      <c r="P31" s="155">
        <v>0</v>
      </c>
      <c r="Q31" s="162">
        <v>0</v>
      </c>
      <c r="R31" s="143"/>
      <c r="T31" s="164" t="s">
        <v>1755</v>
      </c>
      <c r="V31">
        <v>1</v>
      </c>
      <c r="W31" s="77"/>
    </row>
    <row r="32" spans="1:23" x14ac:dyDescent="0.25">
      <c r="A32" s="2" t="s">
        <v>1132</v>
      </c>
      <c r="B32" s="2" t="s">
        <v>971</v>
      </c>
      <c r="C32" s="2">
        <v>109</v>
      </c>
      <c r="D32" s="2">
        <v>953</v>
      </c>
      <c r="E32">
        <v>2</v>
      </c>
      <c r="F32"/>
      <c r="G32" t="s">
        <v>1001</v>
      </c>
      <c r="H32" s="2">
        <v>2670</v>
      </c>
      <c r="I32" t="s">
        <v>374</v>
      </c>
      <c r="J32" t="s">
        <v>968</v>
      </c>
      <c r="L32" t="s">
        <v>856</v>
      </c>
      <c r="M32" s="154">
        <v>0</v>
      </c>
      <c r="N32" s="154">
        <v>0</v>
      </c>
      <c r="O32" s="154">
        <v>0</v>
      </c>
      <c r="P32" s="155">
        <v>0</v>
      </c>
      <c r="Q32" s="162">
        <v>0</v>
      </c>
      <c r="R32" s="143"/>
      <c r="T32" s="164" t="s">
        <v>1755</v>
      </c>
      <c r="V32">
        <v>1</v>
      </c>
      <c r="W32" s="77"/>
    </row>
    <row r="33" spans="1:23" x14ac:dyDescent="0.25">
      <c r="A33" s="2" t="s">
        <v>1132</v>
      </c>
      <c r="B33" s="2" t="s">
        <v>972</v>
      </c>
      <c r="C33" s="2">
        <v>109</v>
      </c>
      <c r="D33" s="2">
        <v>954</v>
      </c>
      <c r="E33">
        <v>2</v>
      </c>
      <c r="F33"/>
      <c r="G33" t="s">
        <v>1000</v>
      </c>
      <c r="H33" s="2">
        <v>2720</v>
      </c>
      <c r="I33" t="s">
        <v>313</v>
      </c>
      <c r="J33" t="s">
        <v>968</v>
      </c>
      <c r="L33" t="s">
        <v>856</v>
      </c>
      <c r="M33" s="154">
        <v>0</v>
      </c>
      <c r="N33" s="154">
        <v>0</v>
      </c>
      <c r="O33" s="154">
        <v>0</v>
      </c>
      <c r="P33" s="155">
        <v>0</v>
      </c>
      <c r="Q33" s="162">
        <v>0</v>
      </c>
      <c r="R33" s="143"/>
      <c r="T33" s="164" t="s">
        <v>1755</v>
      </c>
      <c r="V33">
        <v>1</v>
      </c>
      <c r="W33" s="77"/>
    </row>
    <row r="34" spans="1:23" x14ac:dyDescent="0.25">
      <c r="A34" s="2" t="s">
        <v>1132</v>
      </c>
      <c r="B34" s="2" t="s">
        <v>973</v>
      </c>
      <c r="C34" s="2">
        <v>109</v>
      </c>
      <c r="D34" s="2">
        <v>955</v>
      </c>
      <c r="E34">
        <v>2</v>
      </c>
      <c r="F34"/>
      <c r="G34" t="s">
        <v>999</v>
      </c>
      <c r="H34" s="2">
        <v>2200</v>
      </c>
      <c r="I34" t="s">
        <v>4</v>
      </c>
      <c r="J34" t="s">
        <v>968</v>
      </c>
      <c r="L34" t="s">
        <v>856</v>
      </c>
      <c r="M34" s="154">
        <v>0</v>
      </c>
      <c r="N34" s="154">
        <v>0</v>
      </c>
      <c r="O34" s="154">
        <v>0</v>
      </c>
      <c r="P34" s="155">
        <v>0</v>
      </c>
      <c r="Q34" s="162">
        <v>0</v>
      </c>
      <c r="R34" s="143"/>
      <c r="T34" s="164" t="s">
        <v>1755</v>
      </c>
      <c r="V34">
        <v>1</v>
      </c>
      <c r="W34" s="77"/>
    </row>
    <row r="35" spans="1:23" x14ac:dyDescent="0.25">
      <c r="A35" s="2" t="s">
        <v>1132</v>
      </c>
      <c r="B35" s="2" t="s">
        <v>974</v>
      </c>
      <c r="C35" s="2">
        <v>109</v>
      </c>
      <c r="D35" s="2">
        <v>956</v>
      </c>
      <c r="E35">
        <v>2</v>
      </c>
      <c r="F35"/>
      <c r="G35" t="s">
        <v>998</v>
      </c>
      <c r="H35" s="2">
        <v>1756</v>
      </c>
      <c r="I35" t="s">
        <v>92</v>
      </c>
      <c r="J35" t="s">
        <v>968</v>
      </c>
      <c r="L35" t="s">
        <v>856</v>
      </c>
      <c r="M35" s="154">
        <v>0</v>
      </c>
      <c r="N35" s="154">
        <v>0</v>
      </c>
      <c r="O35" s="154">
        <v>0</v>
      </c>
      <c r="P35" s="155">
        <v>0</v>
      </c>
      <c r="Q35" s="162">
        <v>0</v>
      </c>
      <c r="R35" s="143"/>
      <c r="T35" s="164" t="s">
        <v>1755</v>
      </c>
      <c r="V35">
        <v>1</v>
      </c>
      <c r="W35" s="77"/>
    </row>
    <row r="36" spans="1:23" x14ac:dyDescent="0.25">
      <c r="A36" s="2" t="s">
        <v>1132</v>
      </c>
      <c r="B36" s="2" t="s">
        <v>975</v>
      </c>
      <c r="C36" s="2">
        <v>109</v>
      </c>
      <c r="D36" s="2">
        <v>957</v>
      </c>
      <c r="E36">
        <v>2</v>
      </c>
      <c r="F36"/>
      <c r="G36" t="s">
        <v>997</v>
      </c>
      <c r="H36" s="2">
        <v>2670</v>
      </c>
      <c r="I36" t="s">
        <v>374</v>
      </c>
      <c r="J36" t="s">
        <v>968</v>
      </c>
      <c r="L36" t="s">
        <v>856</v>
      </c>
      <c r="M36" s="154">
        <v>0</v>
      </c>
      <c r="N36" s="154">
        <v>0</v>
      </c>
      <c r="O36" s="154">
        <v>0</v>
      </c>
      <c r="P36" s="155">
        <v>0</v>
      </c>
      <c r="Q36" s="162">
        <v>0</v>
      </c>
      <c r="R36" s="143"/>
      <c r="T36" s="164" t="s">
        <v>1755</v>
      </c>
      <c r="V36">
        <v>1</v>
      </c>
      <c r="W36" s="77"/>
    </row>
    <row r="37" spans="1:23" x14ac:dyDescent="0.25">
      <c r="A37" s="2" t="s">
        <v>1132</v>
      </c>
      <c r="B37" s="2" t="s">
        <v>976</v>
      </c>
      <c r="C37" s="2">
        <v>109</v>
      </c>
      <c r="D37" s="2">
        <v>958</v>
      </c>
      <c r="E37">
        <v>2</v>
      </c>
      <c r="F37"/>
      <c r="G37" t="s">
        <v>996</v>
      </c>
      <c r="H37" s="2">
        <v>2300</v>
      </c>
      <c r="I37" t="s">
        <v>87</v>
      </c>
      <c r="J37" t="s">
        <v>968</v>
      </c>
      <c r="L37" t="s">
        <v>856</v>
      </c>
      <c r="M37" s="154">
        <v>0</v>
      </c>
      <c r="N37" s="154">
        <v>0</v>
      </c>
      <c r="O37" s="154">
        <v>0</v>
      </c>
      <c r="P37" s="155">
        <v>0</v>
      </c>
      <c r="Q37" s="162">
        <v>0</v>
      </c>
      <c r="R37" s="143"/>
      <c r="T37" s="164" t="s">
        <v>1755</v>
      </c>
      <c r="V37">
        <v>1</v>
      </c>
      <c r="W37" s="77"/>
    </row>
    <row r="38" spans="1:23" x14ac:dyDescent="0.25">
      <c r="A38" s="2" t="s">
        <v>1132</v>
      </c>
      <c r="B38" s="2" t="s">
        <v>977</v>
      </c>
      <c r="C38" s="2">
        <v>109</v>
      </c>
      <c r="D38" s="2">
        <v>959</v>
      </c>
      <c r="E38">
        <v>2</v>
      </c>
      <c r="F38" t="s">
        <v>994</v>
      </c>
      <c r="G38" t="s">
        <v>995</v>
      </c>
      <c r="H38" s="2">
        <v>2400</v>
      </c>
      <c r="I38" t="s">
        <v>182</v>
      </c>
      <c r="J38" t="s">
        <v>968</v>
      </c>
      <c r="L38" t="s">
        <v>856</v>
      </c>
      <c r="M38" s="154">
        <v>0</v>
      </c>
      <c r="N38" s="154">
        <v>0</v>
      </c>
      <c r="O38" s="154">
        <v>0</v>
      </c>
      <c r="P38" s="155">
        <v>0</v>
      </c>
      <c r="Q38" s="162">
        <v>0</v>
      </c>
      <c r="R38" s="143"/>
      <c r="T38" s="164" t="s">
        <v>1755</v>
      </c>
      <c r="V38">
        <v>1</v>
      </c>
      <c r="W38" s="77"/>
    </row>
    <row r="39" spans="1:23" x14ac:dyDescent="0.25">
      <c r="A39" s="2" t="s">
        <v>1132</v>
      </c>
      <c r="B39" s="2" t="s">
        <v>978</v>
      </c>
      <c r="C39" s="2">
        <v>109</v>
      </c>
      <c r="D39" s="2">
        <v>960</v>
      </c>
      <c r="E39">
        <v>2</v>
      </c>
      <c r="F39"/>
      <c r="G39" t="s">
        <v>993</v>
      </c>
      <c r="H39" s="2">
        <v>2770</v>
      </c>
      <c r="I39" t="s">
        <v>376</v>
      </c>
      <c r="J39" t="s">
        <v>968</v>
      </c>
      <c r="L39" t="s">
        <v>856</v>
      </c>
      <c r="M39" s="154">
        <v>0</v>
      </c>
      <c r="N39" s="154">
        <v>0</v>
      </c>
      <c r="O39" s="154">
        <v>0</v>
      </c>
      <c r="P39" s="155">
        <v>0</v>
      </c>
      <c r="Q39" s="162">
        <v>0</v>
      </c>
      <c r="R39" s="143"/>
      <c r="T39" s="164" t="s">
        <v>1755</v>
      </c>
      <c r="V39">
        <v>1</v>
      </c>
      <c r="W39" s="77"/>
    </row>
    <row r="40" spans="1:23" x14ac:dyDescent="0.25">
      <c r="A40" s="2" t="s">
        <v>1132</v>
      </c>
      <c r="B40" s="2" t="s">
        <v>979</v>
      </c>
      <c r="C40" s="2">
        <v>109</v>
      </c>
      <c r="D40" s="2">
        <v>961</v>
      </c>
      <c r="E40">
        <v>2</v>
      </c>
      <c r="F40"/>
      <c r="G40" t="s">
        <v>992</v>
      </c>
      <c r="H40" s="2">
        <v>4000</v>
      </c>
      <c r="I40" t="s">
        <v>70</v>
      </c>
      <c r="J40" t="s">
        <v>968</v>
      </c>
      <c r="L40" t="s">
        <v>856</v>
      </c>
      <c r="M40" s="154">
        <v>0</v>
      </c>
      <c r="N40" s="154">
        <v>0</v>
      </c>
      <c r="O40" s="154">
        <v>0</v>
      </c>
      <c r="P40" s="155">
        <v>0</v>
      </c>
      <c r="Q40" s="162">
        <v>0</v>
      </c>
      <c r="R40" s="143"/>
      <c r="T40" s="164" t="s">
        <v>1755</v>
      </c>
      <c r="V40">
        <v>1</v>
      </c>
      <c r="W40" s="77"/>
    </row>
    <row r="41" spans="1:23" x14ac:dyDescent="0.25">
      <c r="A41" s="2" t="s">
        <v>1132</v>
      </c>
      <c r="B41" s="2" t="s">
        <v>980</v>
      </c>
      <c r="C41" s="2">
        <v>109</v>
      </c>
      <c r="D41" s="2">
        <v>962</v>
      </c>
      <c r="E41">
        <v>2</v>
      </c>
      <c r="F41"/>
      <c r="G41" t="s">
        <v>991</v>
      </c>
      <c r="H41" s="2">
        <v>4000</v>
      </c>
      <c r="I41" t="s">
        <v>70</v>
      </c>
      <c r="J41" t="s">
        <v>968</v>
      </c>
      <c r="L41" t="s">
        <v>856</v>
      </c>
      <c r="M41" s="154">
        <v>0</v>
      </c>
      <c r="N41" s="154">
        <v>0</v>
      </c>
      <c r="O41" s="154">
        <v>0</v>
      </c>
      <c r="P41" s="155">
        <v>0</v>
      </c>
      <c r="Q41" s="162">
        <v>0</v>
      </c>
      <c r="R41" s="143"/>
      <c r="T41" s="164" t="s">
        <v>1755</v>
      </c>
      <c r="V41">
        <v>1</v>
      </c>
      <c r="W41" s="77"/>
    </row>
    <row r="42" spans="1:23" x14ac:dyDescent="0.25">
      <c r="A42" s="2" t="s">
        <v>1132</v>
      </c>
      <c r="B42" s="2" t="s">
        <v>981</v>
      </c>
      <c r="C42" s="2">
        <v>109</v>
      </c>
      <c r="D42" s="2">
        <v>963</v>
      </c>
      <c r="E42">
        <v>2</v>
      </c>
      <c r="F42"/>
      <c r="G42" t="s">
        <v>990</v>
      </c>
      <c r="H42" s="2">
        <v>2000</v>
      </c>
      <c r="I42" t="s">
        <v>10</v>
      </c>
      <c r="J42" t="s">
        <v>968</v>
      </c>
      <c r="L42" t="s">
        <v>856</v>
      </c>
      <c r="M42" s="154">
        <v>0</v>
      </c>
      <c r="N42" s="154">
        <v>0</v>
      </c>
      <c r="O42" s="154">
        <v>0</v>
      </c>
      <c r="P42" s="155">
        <v>0</v>
      </c>
      <c r="Q42" s="162">
        <v>0</v>
      </c>
      <c r="R42" s="143"/>
      <c r="T42" s="164" t="s">
        <v>1755</v>
      </c>
      <c r="V42">
        <v>1</v>
      </c>
      <c r="W42" s="77"/>
    </row>
    <row r="43" spans="1:23" x14ac:dyDescent="0.25">
      <c r="A43" s="2" t="s">
        <v>1132</v>
      </c>
      <c r="B43" s="2" t="s">
        <v>982</v>
      </c>
      <c r="C43" s="2">
        <v>109</v>
      </c>
      <c r="D43" s="2">
        <v>964</v>
      </c>
      <c r="E43">
        <v>2</v>
      </c>
      <c r="F43"/>
      <c r="G43" t="s">
        <v>989</v>
      </c>
      <c r="H43" s="2">
        <v>1370</v>
      </c>
      <c r="I43" t="s">
        <v>24</v>
      </c>
      <c r="J43" t="s">
        <v>968</v>
      </c>
      <c r="L43" t="s">
        <v>856</v>
      </c>
      <c r="M43" s="154">
        <v>0</v>
      </c>
      <c r="N43" s="154">
        <v>0</v>
      </c>
      <c r="O43" s="154">
        <v>0</v>
      </c>
      <c r="P43" s="155">
        <v>0</v>
      </c>
      <c r="Q43" s="162">
        <v>0</v>
      </c>
      <c r="R43" s="143"/>
      <c r="T43" s="164" t="s">
        <v>1755</v>
      </c>
      <c r="V43">
        <v>1</v>
      </c>
      <c r="W43" s="77"/>
    </row>
    <row r="44" spans="1:23" x14ac:dyDescent="0.25">
      <c r="A44" s="2" t="s">
        <v>1132</v>
      </c>
      <c r="B44" s="2" t="s">
        <v>983</v>
      </c>
      <c r="C44" s="2">
        <v>109</v>
      </c>
      <c r="D44" s="2">
        <v>965</v>
      </c>
      <c r="E44">
        <v>2</v>
      </c>
      <c r="F44"/>
      <c r="G44" t="s">
        <v>988</v>
      </c>
      <c r="H44" s="2">
        <v>4000</v>
      </c>
      <c r="I44" t="s">
        <v>70</v>
      </c>
      <c r="J44" t="s">
        <v>968</v>
      </c>
      <c r="L44" t="s">
        <v>856</v>
      </c>
      <c r="M44" s="154">
        <v>0</v>
      </c>
      <c r="N44" s="154">
        <v>0</v>
      </c>
      <c r="O44" s="154">
        <v>0</v>
      </c>
      <c r="P44" s="155">
        <v>0</v>
      </c>
      <c r="Q44" s="162">
        <v>0</v>
      </c>
      <c r="R44" s="143"/>
      <c r="T44" s="164" t="s">
        <v>1755</v>
      </c>
      <c r="V44">
        <v>1</v>
      </c>
      <c r="W44" s="77"/>
    </row>
    <row r="45" spans="1:23" x14ac:dyDescent="0.25">
      <c r="A45" s="2" t="s">
        <v>1132</v>
      </c>
      <c r="B45" s="2" t="s">
        <v>984</v>
      </c>
      <c r="C45" s="2">
        <v>109</v>
      </c>
      <c r="D45" s="2">
        <v>966</v>
      </c>
      <c r="E45">
        <v>2</v>
      </c>
      <c r="F45" s="140"/>
      <c r="G45" t="s">
        <v>987</v>
      </c>
      <c r="H45" s="2">
        <v>2300</v>
      </c>
      <c r="I45" t="s">
        <v>87</v>
      </c>
      <c r="J45" t="s">
        <v>968</v>
      </c>
      <c r="L45" t="s">
        <v>856</v>
      </c>
      <c r="M45" s="154">
        <v>0</v>
      </c>
      <c r="N45" s="154">
        <v>0</v>
      </c>
      <c r="O45" s="154">
        <v>0</v>
      </c>
      <c r="P45" s="155">
        <v>0</v>
      </c>
      <c r="Q45" s="162">
        <v>0</v>
      </c>
      <c r="T45" s="164" t="s">
        <v>1755</v>
      </c>
      <c r="V45">
        <v>1</v>
      </c>
      <c r="W45" s="77"/>
    </row>
    <row r="46" spans="1:23" x14ac:dyDescent="0.25">
      <c r="A46" s="2" t="s">
        <v>1132</v>
      </c>
      <c r="B46" s="2" t="s">
        <v>985</v>
      </c>
      <c r="C46" s="2">
        <v>109</v>
      </c>
      <c r="D46" s="2">
        <v>967</v>
      </c>
      <c r="E46">
        <v>2</v>
      </c>
      <c r="F46" s="140"/>
      <c r="G46" t="s">
        <v>986</v>
      </c>
      <c r="H46" s="2">
        <v>1756</v>
      </c>
      <c r="I46" t="s">
        <v>92</v>
      </c>
      <c r="J46" t="s">
        <v>968</v>
      </c>
      <c r="L46" t="s">
        <v>864</v>
      </c>
      <c r="M46" s="154">
        <v>0</v>
      </c>
      <c r="N46" s="154">
        <v>0</v>
      </c>
      <c r="O46" s="154">
        <v>0</v>
      </c>
      <c r="P46" s="155">
        <v>0</v>
      </c>
      <c r="Q46" s="162">
        <v>0</v>
      </c>
      <c r="T46" s="164" t="s">
        <v>1755</v>
      </c>
      <c r="V46">
        <v>1</v>
      </c>
      <c r="W46" s="77"/>
    </row>
    <row r="1048576" spans="18:18" x14ac:dyDescent="0.25">
      <c r="R1048576" s="143"/>
    </row>
  </sheetData>
  <mergeCells count="4">
    <mergeCell ref="A2:D2"/>
    <mergeCell ref="A3:B3"/>
    <mergeCell ref="M8:O8"/>
    <mergeCell ref="P8:Q8"/>
  </mergeCells>
  <hyperlinks>
    <hyperlink ref="F25" r:id="rId1" xr:uid="{00000000-0004-0000-0400-000000000000}"/>
    <hyperlink ref="F26" r:id="rId2" xr:uid="{00000000-0004-0000-0400-000001000000}"/>
    <hyperlink ref="F27" r:id="rId3" xr:uid="{00000000-0004-0000-0400-000002000000}"/>
    <hyperlink ref="F28" r:id="rId4" xr:uid="{00000000-0004-0000-0400-000003000000}"/>
    <hyperlink ref="F14" r:id="rId5" xr:uid="{00000000-0004-0000-0400-000004000000}"/>
    <hyperlink ref="F13" r:id="rId6" xr:uid="{00000000-0004-0000-0400-000005000000}"/>
    <hyperlink ref="F10" r:id="rId7" xr:uid="{00000000-0004-0000-0400-000006000000}"/>
    <hyperlink ref="F16" r:id="rId8" xr:uid="{00000000-0004-0000-0400-000007000000}"/>
    <hyperlink ref="F18" r:id="rId9" xr:uid="{00000000-0004-0000-0400-000008000000}"/>
    <hyperlink ref="F19" r:id="rId10" xr:uid="{00000000-0004-0000-0400-000009000000}"/>
    <hyperlink ref="F20" r:id="rId11" xr:uid="{00000000-0004-0000-0400-00000A000000}"/>
    <hyperlink ref="F21" r:id="rId12" xr:uid="{00000000-0004-0000-0400-00000B000000}"/>
    <hyperlink ref="F22" r:id="rId13" xr:uid="{00000000-0004-0000-0400-00000C000000}"/>
  </hyperlinks>
  <pageMargins left="0.7" right="0.7" top="0.75" bottom="0.75" header="0.3" footer="0.3"/>
  <pageSetup paperSize="8" scale="49" fitToHeight="0" orientation="landscape" r:id="rId14"/>
  <tableParts count="1"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W43"/>
  <sheetViews>
    <sheetView zoomScale="80" zoomScaleNormal="80" workbookViewId="0">
      <selection activeCell="Q31" sqref="Q31"/>
    </sheetView>
  </sheetViews>
  <sheetFormatPr defaultRowHeight="15" x14ac:dyDescent="0.25"/>
  <cols>
    <col min="1" max="1" width="9.140625" style="2" customWidth="1"/>
    <col min="2" max="2" width="16.140625" style="2" bestFit="1" customWidth="1"/>
    <col min="3" max="3" width="9.42578125" style="2" customWidth="1"/>
    <col min="4" max="4" width="12.7109375" customWidth="1"/>
    <col min="5" max="5" width="9.140625" customWidth="1"/>
    <col min="6" max="6" width="31.7109375" style="2" bestFit="1" customWidth="1"/>
    <col min="7" max="7" width="50" style="2" customWidth="1"/>
    <col min="8" max="8" width="9.85546875" customWidth="1"/>
    <col min="9" max="9" width="15" bestFit="1" customWidth="1"/>
    <col min="10" max="10" width="23.85546875" style="2" bestFit="1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6" max="16" width="13.7109375" bestFit="1" customWidth="1"/>
    <col min="17" max="17" width="12.7109375" bestFit="1" customWidth="1"/>
    <col min="18" max="18" width="15.85546875" customWidth="1"/>
    <col min="19" max="19" width="11.42578125" customWidth="1"/>
    <col min="20" max="20" width="12" style="164" customWidth="1"/>
    <col min="21" max="21" width="14.28515625" customWidth="1"/>
  </cols>
  <sheetData>
    <row r="1" spans="1:23" ht="18.75" x14ac:dyDescent="0.3">
      <c r="A1" s="19" t="s">
        <v>840</v>
      </c>
      <c r="B1" s="6"/>
      <c r="C1" s="7"/>
    </row>
    <row r="2" spans="1:23" ht="15.75" thickBot="1" x14ac:dyDescent="0.3">
      <c r="A2" s="183" t="s">
        <v>813</v>
      </c>
      <c r="B2" s="183"/>
      <c r="C2" s="183"/>
    </row>
    <row r="3" spans="1:23" x14ac:dyDescent="0.25">
      <c r="A3" s="184" t="s">
        <v>178</v>
      </c>
      <c r="B3" s="184"/>
      <c r="C3" s="47">
        <f>K7</f>
        <v>20</v>
      </c>
      <c r="J3" s="40" t="s">
        <v>838</v>
      </c>
      <c r="K3" s="41">
        <f>COUNTIFS(L:L,J3)</f>
        <v>1</v>
      </c>
    </row>
    <row r="4" spans="1:23" x14ac:dyDescent="0.25">
      <c r="A4" s="23" t="s">
        <v>358</v>
      </c>
      <c r="B4" s="20"/>
      <c r="C4" s="48"/>
      <c r="J4" s="42" t="s">
        <v>856</v>
      </c>
      <c r="K4" s="43">
        <f>COUNTIFS(L:L,J4)</f>
        <v>16</v>
      </c>
    </row>
    <row r="5" spans="1:23" x14ac:dyDescent="0.25">
      <c r="A5" s="23"/>
      <c r="C5" s="24"/>
      <c r="J5" s="42" t="s">
        <v>860</v>
      </c>
      <c r="K5" s="43">
        <f>COUNTIFS(L:L,J5)</f>
        <v>0</v>
      </c>
    </row>
    <row r="6" spans="1:23" ht="15.75" thickBot="1" x14ac:dyDescent="0.3">
      <c r="A6" s="25" t="s">
        <v>179</v>
      </c>
      <c r="B6" s="55"/>
      <c r="C6" s="56"/>
      <c r="D6" s="57"/>
      <c r="J6" s="44" t="s">
        <v>864</v>
      </c>
      <c r="K6" s="45">
        <f>COUNTIFS(L:L,J6)</f>
        <v>3</v>
      </c>
    </row>
    <row r="7" spans="1:23" x14ac:dyDescent="0.25">
      <c r="C7"/>
      <c r="E7" s="2"/>
      <c r="G7"/>
      <c r="I7" s="2"/>
      <c r="J7" s="78"/>
      <c r="K7" s="78">
        <f>SUM(K3:K6)</f>
        <v>20</v>
      </c>
    </row>
    <row r="8" spans="1:23" x14ac:dyDescent="0.25">
      <c r="A8" s="78"/>
      <c r="B8" s="78"/>
      <c r="C8" s="78"/>
      <c r="D8" s="78"/>
      <c r="F8"/>
      <c r="G8" s="7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1145</v>
      </c>
      <c r="B10" s="69" t="s">
        <v>1054</v>
      </c>
      <c r="C10" s="69">
        <v>5</v>
      </c>
      <c r="D10" s="69">
        <v>711</v>
      </c>
      <c r="E10" s="78">
        <v>2</v>
      </c>
      <c r="F10" s="68" t="s">
        <v>646</v>
      </c>
      <c r="G10" s="68" t="s">
        <v>647</v>
      </c>
      <c r="H10" s="69" t="s">
        <v>86</v>
      </c>
      <c r="I10" s="68" t="s">
        <v>87</v>
      </c>
      <c r="J10" s="68" t="s">
        <v>1191</v>
      </c>
      <c r="K10" s="68"/>
      <c r="L10" s="68" t="s">
        <v>856</v>
      </c>
      <c r="M10" s="170">
        <f>16.6923076923077+9.36538461538461</f>
        <v>26.05769230769231</v>
      </c>
      <c r="N10" s="170">
        <v>0</v>
      </c>
      <c r="O10" s="170">
        <v>0</v>
      </c>
      <c r="P10" s="162">
        <v>0</v>
      </c>
      <c r="Q10" s="162">
        <v>49700</v>
      </c>
      <c r="R10" s="160">
        <v>43617</v>
      </c>
      <c r="S10" s="68"/>
      <c r="T10" s="69" t="s">
        <v>1754</v>
      </c>
      <c r="U10" s="68"/>
      <c r="V10" s="68">
        <v>1</v>
      </c>
      <c r="W10" s="86"/>
    </row>
    <row r="11" spans="1:23" ht="15" customHeight="1" x14ac:dyDescent="0.25">
      <c r="A11" s="2" t="s">
        <v>1145</v>
      </c>
      <c r="B11" s="69" t="s">
        <v>1054</v>
      </c>
      <c r="C11" s="69">
        <v>5</v>
      </c>
      <c r="D11" s="69">
        <v>711</v>
      </c>
      <c r="E11" s="78">
        <v>2</v>
      </c>
      <c r="F11" s="68" t="s">
        <v>646</v>
      </c>
      <c r="G11" s="68" t="s">
        <v>647</v>
      </c>
      <c r="H11" s="69" t="s">
        <v>86</v>
      </c>
      <c r="I11" s="68" t="s">
        <v>87</v>
      </c>
      <c r="J11" s="68" t="s">
        <v>1192</v>
      </c>
      <c r="K11" s="68"/>
      <c r="L11" s="68"/>
      <c r="M11" s="170"/>
      <c r="N11" s="170"/>
      <c r="O11" s="170"/>
      <c r="P11" s="162"/>
      <c r="Q11" s="162"/>
      <c r="R11" s="68"/>
      <c r="S11" s="68"/>
      <c r="T11" s="69" t="s">
        <v>1754</v>
      </c>
      <c r="U11" s="68" t="s">
        <v>1726</v>
      </c>
      <c r="V11" s="68"/>
      <c r="W11" s="86"/>
    </row>
    <row r="12" spans="1:23" ht="15" customHeight="1" x14ac:dyDescent="0.25">
      <c r="A12" s="2" t="s">
        <v>1145</v>
      </c>
      <c r="B12" s="78" t="s">
        <v>176</v>
      </c>
      <c r="C12" s="78">
        <v>8</v>
      </c>
      <c r="D12" s="78">
        <v>837</v>
      </c>
      <c r="E12" s="78">
        <v>2</v>
      </c>
      <c r="F12" s="175" t="s">
        <v>609</v>
      </c>
      <c r="G12" t="s">
        <v>610</v>
      </c>
      <c r="H12" s="69" t="s">
        <v>19</v>
      </c>
      <c r="I12" t="s">
        <v>20</v>
      </c>
      <c r="J12" t="s">
        <v>1186</v>
      </c>
      <c r="L12" t="s">
        <v>856</v>
      </c>
      <c r="M12" s="154">
        <f>92.75/52</f>
        <v>1.7836538461538463</v>
      </c>
      <c r="N12" s="154">
        <f>82/52</f>
        <v>1.5769230769230769</v>
      </c>
      <c r="O12" s="154">
        <v>0</v>
      </c>
      <c r="P12" s="155">
        <v>0</v>
      </c>
      <c r="Q12" s="155">
        <f>10500</f>
        <v>10500</v>
      </c>
      <c r="R12" s="166">
        <v>42795</v>
      </c>
      <c r="S12" s="143">
        <v>44012</v>
      </c>
      <c r="T12" s="181" t="s">
        <v>1755</v>
      </c>
      <c r="U12" s="164" t="s">
        <v>1764</v>
      </c>
      <c r="V12">
        <v>1</v>
      </c>
      <c r="W12" s="77"/>
    </row>
    <row r="13" spans="1:23" ht="15" customHeight="1" x14ac:dyDescent="0.25">
      <c r="A13" s="2" t="s">
        <v>1145</v>
      </c>
      <c r="B13" s="78" t="s">
        <v>616</v>
      </c>
      <c r="C13" s="78">
        <v>9</v>
      </c>
      <c r="D13" s="78">
        <v>469</v>
      </c>
      <c r="E13" s="78">
        <v>2</v>
      </c>
      <c r="F13" s="68" t="s">
        <v>611</v>
      </c>
      <c r="G13" t="s">
        <v>612</v>
      </c>
      <c r="H13" s="78" t="s">
        <v>86</v>
      </c>
      <c r="I13" s="10" t="s">
        <v>87</v>
      </c>
      <c r="J13" t="s">
        <v>1195</v>
      </c>
      <c r="L13" t="s">
        <v>864</v>
      </c>
      <c r="M13" s="167">
        <f>183/52</f>
        <v>3.5192307692307692</v>
      </c>
      <c r="N13" s="167">
        <v>0</v>
      </c>
      <c r="O13" s="167">
        <f>(16/52)</f>
        <v>0.30769230769230771</v>
      </c>
      <c r="P13" s="168">
        <v>0</v>
      </c>
      <c r="Q13" s="168">
        <f>595</f>
        <v>595</v>
      </c>
      <c r="R13" s="169">
        <v>42036</v>
      </c>
      <c r="T13" s="78" t="s">
        <v>1754</v>
      </c>
      <c r="U13" t="s">
        <v>1715</v>
      </c>
      <c r="V13" s="98">
        <v>1</v>
      </c>
      <c r="W13" s="77" t="s">
        <v>1143</v>
      </c>
    </row>
    <row r="14" spans="1:23" ht="15" customHeight="1" x14ac:dyDescent="0.25">
      <c r="A14" s="2" t="s">
        <v>1145</v>
      </c>
      <c r="B14" s="69" t="s">
        <v>661</v>
      </c>
      <c r="C14" s="69">
        <v>13</v>
      </c>
      <c r="D14" s="69">
        <v>558</v>
      </c>
      <c r="E14" s="78">
        <v>2</v>
      </c>
      <c r="F14" s="68" t="s">
        <v>653</v>
      </c>
      <c r="G14" s="68" t="s">
        <v>654</v>
      </c>
      <c r="H14" s="69" t="s">
        <v>86</v>
      </c>
      <c r="I14" s="68" t="s">
        <v>87</v>
      </c>
      <c r="J14" s="68" t="s">
        <v>1193</v>
      </c>
      <c r="K14" s="68"/>
      <c r="L14" s="68" t="s">
        <v>856</v>
      </c>
      <c r="M14" s="170">
        <v>37</v>
      </c>
      <c r="N14" s="170">
        <v>0</v>
      </c>
      <c r="O14" s="170">
        <v>0</v>
      </c>
      <c r="P14" s="162">
        <v>0</v>
      </c>
      <c r="Q14" s="162">
        <f>29400</f>
        <v>29400</v>
      </c>
      <c r="R14" s="160">
        <v>43444</v>
      </c>
      <c r="S14" s="160">
        <v>43594</v>
      </c>
      <c r="T14" s="69" t="s">
        <v>1754</v>
      </c>
      <c r="U14" s="165" t="s">
        <v>1745</v>
      </c>
      <c r="V14" s="68">
        <v>1</v>
      </c>
      <c r="W14" s="86"/>
    </row>
    <row r="15" spans="1:23" s="164" customFormat="1" ht="15" customHeight="1" x14ac:dyDescent="0.25">
      <c r="A15" s="78" t="s">
        <v>1145</v>
      </c>
      <c r="B15" s="69" t="s">
        <v>661</v>
      </c>
      <c r="C15" s="69">
        <v>13</v>
      </c>
      <c r="D15" s="69">
        <v>558</v>
      </c>
      <c r="E15" s="78">
        <v>2</v>
      </c>
      <c r="F15" s="165" t="s">
        <v>653</v>
      </c>
      <c r="G15" s="165"/>
      <c r="H15" s="69" t="s">
        <v>1753</v>
      </c>
      <c r="I15" s="165" t="s">
        <v>87</v>
      </c>
      <c r="J15" s="165" t="s">
        <v>1193</v>
      </c>
      <c r="K15" s="165"/>
      <c r="L15" s="165"/>
      <c r="M15" s="170">
        <v>21</v>
      </c>
      <c r="N15" s="170">
        <v>0</v>
      </c>
      <c r="O15" s="170">
        <v>0</v>
      </c>
      <c r="P15" s="162">
        <v>0</v>
      </c>
      <c r="Q15" s="162">
        <f>29400</f>
        <v>29400</v>
      </c>
      <c r="R15" s="160">
        <v>43595</v>
      </c>
      <c r="S15" s="165"/>
      <c r="T15" s="69" t="s">
        <v>1754</v>
      </c>
      <c r="U15" s="165"/>
      <c r="V15" s="165"/>
      <c r="W15" s="86"/>
    </row>
    <row r="16" spans="1:23" x14ac:dyDescent="0.25">
      <c r="A16" s="2" t="s">
        <v>1145</v>
      </c>
      <c r="B16" s="69" t="s">
        <v>625</v>
      </c>
      <c r="C16" s="2">
        <v>87</v>
      </c>
      <c r="D16" s="78">
        <v>533</v>
      </c>
      <c r="E16" s="2">
        <v>2</v>
      </c>
      <c r="F16"/>
      <c r="G16" t="s">
        <v>1157</v>
      </c>
      <c r="H16" s="2">
        <v>2100</v>
      </c>
      <c r="I16" s="10" t="s">
        <v>8</v>
      </c>
      <c r="J16" s="68" t="s">
        <v>1194</v>
      </c>
      <c r="K16" s="68"/>
      <c r="L16" t="s">
        <v>838</v>
      </c>
      <c r="M16" s="154">
        <f>15.9038461538462+2.90384615384615+3.68269230769231</f>
        <v>22.490384615384659</v>
      </c>
      <c r="N16" s="154">
        <v>5.4807692307692299</v>
      </c>
      <c r="O16" s="154">
        <v>0.15384615384615385</v>
      </c>
      <c r="P16" s="155">
        <f>110000+110000</f>
        <v>220000</v>
      </c>
      <c r="Q16" s="155">
        <f>22475</f>
        <v>22475</v>
      </c>
      <c r="R16" s="166">
        <v>43922</v>
      </c>
      <c r="T16" s="78" t="s">
        <v>1754</v>
      </c>
      <c r="V16" s="104">
        <v>1</v>
      </c>
      <c r="W16" s="77"/>
    </row>
    <row r="17" spans="1:23" x14ac:dyDescent="0.25">
      <c r="A17" s="2" t="s">
        <v>1145</v>
      </c>
      <c r="B17" s="69" t="s">
        <v>625</v>
      </c>
      <c r="C17" s="69">
        <v>87</v>
      </c>
      <c r="D17" s="69">
        <v>700</v>
      </c>
      <c r="E17" s="2">
        <v>2</v>
      </c>
      <c r="F17" s="68" t="s">
        <v>1063</v>
      </c>
      <c r="G17" s="68" t="s">
        <v>1064</v>
      </c>
      <c r="H17" s="69">
        <v>2300</v>
      </c>
      <c r="I17" s="68" t="s">
        <v>87</v>
      </c>
      <c r="J17" s="68" t="s">
        <v>877</v>
      </c>
      <c r="K17" s="68"/>
      <c r="L17" s="68" t="s">
        <v>856</v>
      </c>
      <c r="M17" s="170">
        <v>35.769230769230802</v>
      </c>
      <c r="N17" s="170">
        <v>0</v>
      </c>
      <c r="O17" s="170">
        <v>0</v>
      </c>
      <c r="P17" s="162">
        <v>0</v>
      </c>
      <c r="Q17" s="162">
        <f>31500</f>
        <v>31500</v>
      </c>
      <c r="R17" s="160">
        <v>43525</v>
      </c>
      <c r="S17" s="160">
        <v>43708</v>
      </c>
      <c r="T17" s="69" t="s">
        <v>1754</v>
      </c>
      <c r="U17" s="68" t="s">
        <v>1745</v>
      </c>
      <c r="V17" s="68">
        <v>1</v>
      </c>
      <c r="W17" s="77"/>
    </row>
    <row r="18" spans="1:23" s="164" customFormat="1" x14ac:dyDescent="0.25">
      <c r="A18" s="78" t="s">
        <v>1145</v>
      </c>
      <c r="B18" s="69" t="s">
        <v>625</v>
      </c>
      <c r="C18" s="69">
        <v>87</v>
      </c>
      <c r="D18" s="69">
        <v>700</v>
      </c>
      <c r="E18" s="78">
        <v>2</v>
      </c>
      <c r="F18" s="165" t="s">
        <v>1063</v>
      </c>
      <c r="G18" s="165"/>
      <c r="H18" s="69"/>
      <c r="I18" s="165"/>
      <c r="J18" s="165"/>
      <c r="K18" s="165"/>
      <c r="L18" s="165"/>
      <c r="M18" s="170">
        <v>21</v>
      </c>
      <c r="N18" s="170">
        <v>0</v>
      </c>
      <c r="O18" s="170">
        <v>0</v>
      </c>
      <c r="P18" s="162">
        <v>0</v>
      </c>
      <c r="Q18" s="162">
        <f>31500</f>
        <v>31500</v>
      </c>
      <c r="R18" s="160">
        <v>43709</v>
      </c>
      <c r="S18" s="165"/>
      <c r="T18" s="69" t="s">
        <v>1754</v>
      </c>
      <c r="U18" s="165"/>
      <c r="V18" s="165"/>
      <c r="W18" s="77"/>
    </row>
    <row r="19" spans="1:23" x14ac:dyDescent="0.25">
      <c r="A19" s="2" t="s">
        <v>1145</v>
      </c>
      <c r="B19" s="69" t="s">
        <v>606</v>
      </c>
      <c r="C19" s="69">
        <v>152</v>
      </c>
      <c r="D19" s="69">
        <v>102</v>
      </c>
      <c r="E19" s="78">
        <v>2</v>
      </c>
      <c r="F19" s="68" t="s">
        <v>884</v>
      </c>
      <c r="G19" s="68" t="s">
        <v>663</v>
      </c>
      <c r="H19" s="69" t="s">
        <v>86</v>
      </c>
      <c r="I19" s="68" t="s">
        <v>87</v>
      </c>
      <c r="J19" s="68" t="s">
        <v>886</v>
      </c>
      <c r="K19" s="68"/>
      <c r="L19" s="68" t="s">
        <v>856</v>
      </c>
      <c r="M19" s="170">
        <v>37</v>
      </c>
      <c r="N19" s="170">
        <v>0</v>
      </c>
      <c r="O19" s="170">
        <v>0</v>
      </c>
      <c r="P19" s="162">
        <v>0</v>
      </c>
      <c r="Q19" s="162">
        <f>34300</f>
        <v>34300</v>
      </c>
      <c r="R19" s="160">
        <v>43493</v>
      </c>
      <c r="S19" s="160">
        <v>43677</v>
      </c>
      <c r="T19" s="69" t="s">
        <v>1754</v>
      </c>
      <c r="U19" s="165" t="s">
        <v>1746</v>
      </c>
      <c r="V19" s="68">
        <v>1</v>
      </c>
      <c r="W19" s="77" t="s">
        <v>1132</v>
      </c>
    </row>
    <row r="20" spans="1:23" s="164" customFormat="1" x14ac:dyDescent="0.25">
      <c r="A20" s="78" t="s">
        <v>1145</v>
      </c>
      <c r="B20" s="69" t="s">
        <v>606</v>
      </c>
      <c r="C20" s="69">
        <v>152</v>
      </c>
      <c r="D20" s="69">
        <v>102</v>
      </c>
      <c r="E20" s="78">
        <v>2</v>
      </c>
      <c r="F20" s="165" t="s">
        <v>884</v>
      </c>
      <c r="G20" s="165"/>
      <c r="H20" s="69"/>
      <c r="I20" s="165"/>
      <c r="J20" s="165"/>
      <c r="K20" s="165"/>
      <c r="L20" s="165"/>
      <c r="M20" s="170">
        <v>18</v>
      </c>
      <c r="N20" s="170">
        <v>0</v>
      </c>
      <c r="O20" s="170">
        <v>0</v>
      </c>
      <c r="P20" s="162">
        <v>0</v>
      </c>
      <c r="Q20" s="162">
        <f>34300</f>
        <v>34300</v>
      </c>
      <c r="R20" s="160">
        <v>43678</v>
      </c>
      <c r="S20" s="165"/>
      <c r="T20" s="69" t="s">
        <v>1754</v>
      </c>
      <c r="U20" s="165"/>
      <c r="V20" s="165"/>
      <c r="W20" s="77"/>
    </row>
    <row r="21" spans="1:23" x14ac:dyDescent="0.25">
      <c r="A21" s="2" t="s">
        <v>1145</v>
      </c>
      <c r="B21" s="69" t="s">
        <v>606</v>
      </c>
      <c r="C21" s="69">
        <v>152</v>
      </c>
      <c r="D21" s="69">
        <v>103</v>
      </c>
      <c r="E21" s="78">
        <v>2</v>
      </c>
      <c r="F21" s="68" t="s">
        <v>662</v>
      </c>
      <c r="G21" s="68" t="s">
        <v>663</v>
      </c>
      <c r="H21" s="69" t="s">
        <v>86</v>
      </c>
      <c r="I21" s="68" t="s">
        <v>87</v>
      </c>
      <c r="J21" s="68" t="s">
        <v>886</v>
      </c>
      <c r="K21" s="68"/>
      <c r="L21" s="68" t="s">
        <v>856</v>
      </c>
      <c r="M21" s="170">
        <v>37</v>
      </c>
      <c r="N21" s="170">
        <v>0</v>
      </c>
      <c r="O21" s="170">
        <v>0</v>
      </c>
      <c r="P21" s="162">
        <v>0</v>
      </c>
      <c r="Q21" s="162">
        <f>34300</f>
        <v>34300</v>
      </c>
      <c r="R21" s="160">
        <v>43374</v>
      </c>
      <c r="S21" s="160">
        <v>43555</v>
      </c>
      <c r="T21" s="69" t="s">
        <v>1754</v>
      </c>
      <c r="U21" s="165" t="s">
        <v>1747</v>
      </c>
      <c r="V21" s="68">
        <v>1</v>
      </c>
      <c r="W21" s="77" t="s">
        <v>1132</v>
      </c>
    </row>
    <row r="22" spans="1:23" s="164" customFormat="1" x14ac:dyDescent="0.25">
      <c r="A22" s="78" t="s">
        <v>1145</v>
      </c>
      <c r="B22" s="69" t="s">
        <v>606</v>
      </c>
      <c r="C22" s="69">
        <v>152</v>
      </c>
      <c r="D22" s="69">
        <v>103</v>
      </c>
      <c r="E22" s="78">
        <v>2</v>
      </c>
      <c r="F22" s="165" t="s">
        <v>662</v>
      </c>
      <c r="G22" s="165"/>
      <c r="H22" s="69"/>
      <c r="I22" s="165"/>
      <c r="J22" s="165"/>
      <c r="K22" s="165"/>
      <c r="L22" s="165"/>
      <c r="M22" s="170">
        <v>18</v>
      </c>
      <c r="N22" s="170">
        <v>0</v>
      </c>
      <c r="O22" s="170">
        <v>0</v>
      </c>
      <c r="P22" s="162">
        <v>0</v>
      </c>
      <c r="Q22" s="162">
        <f>34300</f>
        <v>34300</v>
      </c>
      <c r="R22" s="160">
        <v>43556</v>
      </c>
      <c r="S22" s="165"/>
      <c r="T22" s="69" t="s">
        <v>1754</v>
      </c>
      <c r="U22" s="165"/>
      <c r="V22" s="165"/>
      <c r="W22" s="77"/>
    </row>
    <row r="23" spans="1:23" x14ac:dyDescent="0.25">
      <c r="A23" s="2" t="s">
        <v>1145</v>
      </c>
      <c r="B23" s="78" t="s">
        <v>606</v>
      </c>
      <c r="C23" s="78">
        <v>152</v>
      </c>
      <c r="D23" s="78">
        <v>122</v>
      </c>
      <c r="E23" s="78">
        <v>2</v>
      </c>
      <c r="F23"/>
      <c r="G23" t="s">
        <v>1012</v>
      </c>
      <c r="H23" s="78">
        <v>2900</v>
      </c>
      <c r="I23" s="10" t="s">
        <v>22</v>
      </c>
      <c r="J23" s="10" t="s">
        <v>866</v>
      </c>
      <c r="K23" s="10"/>
      <c r="L23" t="s">
        <v>856</v>
      </c>
      <c r="M23" s="154">
        <v>0</v>
      </c>
      <c r="N23" s="154">
        <v>0</v>
      </c>
      <c r="O23" s="154">
        <v>0</v>
      </c>
      <c r="P23" s="155">
        <v>0</v>
      </c>
      <c r="Q23" s="155">
        <f>(1093.75*12)</f>
        <v>13125</v>
      </c>
      <c r="R23" s="166">
        <v>43831</v>
      </c>
      <c r="T23" s="78" t="s">
        <v>1754</v>
      </c>
      <c r="U23" t="s">
        <v>1699</v>
      </c>
      <c r="V23">
        <v>1</v>
      </c>
      <c r="W23" s="77" t="s">
        <v>1132</v>
      </c>
    </row>
    <row r="24" spans="1:23" x14ac:dyDescent="0.25">
      <c r="A24" s="2" t="s">
        <v>1145</v>
      </c>
      <c r="B24" s="78" t="s">
        <v>606</v>
      </c>
      <c r="C24" s="78">
        <v>152</v>
      </c>
      <c r="D24" s="78">
        <v>123</v>
      </c>
      <c r="E24" s="78">
        <v>2</v>
      </c>
      <c r="F24" t="s">
        <v>1013</v>
      </c>
      <c r="G24" t="s">
        <v>1014</v>
      </c>
      <c r="H24" s="78">
        <v>2100</v>
      </c>
      <c r="I24" s="10" t="s">
        <v>8</v>
      </c>
      <c r="J24" s="10" t="s">
        <v>866</v>
      </c>
      <c r="K24" s="10"/>
      <c r="L24" t="s">
        <v>856</v>
      </c>
      <c r="M24" s="154">
        <v>0</v>
      </c>
      <c r="N24" s="154">
        <v>0</v>
      </c>
      <c r="O24" s="154">
        <v>0</v>
      </c>
      <c r="P24" s="155">
        <v>0</v>
      </c>
      <c r="Q24" s="155">
        <f>(718.75*12)</f>
        <v>8625</v>
      </c>
      <c r="R24" s="166">
        <v>43831</v>
      </c>
      <c r="T24" s="78" t="s">
        <v>1754</v>
      </c>
      <c r="U24" t="s">
        <v>1699</v>
      </c>
      <c r="V24">
        <v>1</v>
      </c>
      <c r="W24" s="77" t="s">
        <v>1132</v>
      </c>
    </row>
    <row r="25" spans="1:23" x14ac:dyDescent="0.25">
      <c r="A25" s="2" t="s">
        <v>1145</v>
      </c>
      <c r="B25" s="78" t="s">
        <v>606</v>
      </c>
      <c r="C25" s="78">
        <v>152</v>
      </c>
      <c r="D25" s="78">
        <v>124</v>
      </c>
      <c r="E25" s="78">
        <v>2</v>
      </c>
      <c r="F25" t="s">
        <v>1015</v>
      </c>
      <c r="G25" t="s">
        <v>1016</v>
      </c>
      <c r="H25" s="78">
        <v>2100</v>
      </c>
      <c r="I25" s="10" t="s">
        <v>8</v>
      </c>
      <c r="J25" s="10" t="s">
        <v>866</v>
      </c>
      <c r="K25" s="10"/>
      <c r="L25" t="s">
        <v>856</v>
      </c>
      <c r="M25" s="154">
        <v>0</v>
      </c>
      <c r="N25" s="154">
        <v>0</v>
      </c>
      <c r="O25" s="154">
        <v>0</v>
      </c>
      <c r="P25" s="155">
        <v>0</v>
      </c>
      <c r="Q25" s="155">
        <f>(93.75*12)</f>
        <v>1125</v>
      </c>
      <c r="R25" s="166">
        <v>43831</v>
      </c>
      <c r="T25" s="78" t="s">
        <v>1754</v>
      </c>
      <c r="U25" t="s">
        <v>1699</v>
      </c>
      <c r="V25">
        <v>1</v>
      </c>
      <c r="W25" s="77" t="s">
        <v>1132</v>
      </c>
    </row>
    <row r="26" spans="1:23" x14ac:dyDescent="0.25">
      <c r="A26" s="2" t="s">
        <v>1145</v>
      </c>
      <c r="B26" s="78" t="s">
        <v>606</v>
      </c>
      <c r="C26" s="78">
        <v>152</v>
      </c>
      <c r="D26" s="78">
        <v>125</v>
      </c>
      <c r="E26" s="78">
        <v>2</v>
      </c>
      <c r="F26" t="s">
        <v>1017</v>
      </c>
      <c r="G26" t="s">
        <v>1018</v>
      </c>
      <c r="H26" s="78">
        <v>1900</v>
      </c>
      <c r="I26" s="10" t="s">
        <v>76</v>
      </c>
      <c r="J26" s="10" t="s">
        <v>866</v>
      </c>
      <c r="K26" s="10"/>
      <c r="L26" t="s">
        <v>856</v>
      </c>
      <c r="M26" s="154">
        <v>0</v>
      </c>
      <c r="N26" s="154">
        <v>0</v>
      </c>
      <c r="O26" s="154">
        <v>0</v>
      </c>
      <c r="P26" s="155">
        <v>0</v>
      </c>
      <c r="Q26" s="155">
        <f>(343.75*12)</f>
        <v>4125</v>
      </c>
      <c r="R26" s="166">
        <v>43831</v>
      </c>
      <c r="T26" s="78" t="s">
        <v>1754</v>
      </c>
      <c r="U26" t="s">
        <v>1699</v>
      </c>
      <c r="V26">
        <v>1</v>
      </c>
      <c r="W26" s="77" t="s">
        <v>1132</v>
      </c>
    </row>
    <row r="27" spans="1:23" x14ac:dyDescent="0.25">
      <c r="A27" s="2" t="s">
        <v>1145</v>
      </c>
      <c r="B27" s="78" t="s">
        <v>606</v>
      </c>
      <c r="C27" s="78">
        <v>152</v>
      </c>
      <c r="D27" s="78">
        <v>126</v>
      </c>
      <c r="E27" s="78">
        <v>2</v>
      </c>
      <c r="F27"/>
      <c r="G27" t="s">
        <v>1019</v>
      </c>
      <c r="H27" s="78">
        <v>3480</v>
      </c>
      <c r="I27" s="10" t="s">
        <v>399</v>
      </c>
      <c r="J27" s="10" t="s">
        <v>866</v>
      </c>
      <c r="K27" s="10"/>
      <c r="L27" t="s">
        <v>856</v>
      </c>
      <c r="M27" s="154">
        <v>0</v>
      </c>
      <c r="N27" s="154">
        <v>0</v>
      </c>
      <c r="O27" s="154">
        <v>0</v>
      </c>
      <c r="P27" s="155">
        <v>0</v>
      </c>
      <c r="Q27" s="155">
        <f>(218.75*12)</f>
        <v>2625</v>
      </c>
      <c r="R27" s="166">
        <v>43831</v>
      </c>
      <c r="T27" s="78" t="s">
        <v>1754</v>
      </c>
      <c r="U27" t="s">
        <v>1699</v>
      </c>
      <c r="V27">
        <v>1</v>
      </c>
      <c r="W27" s="77" t="s">
        <v>1132</v>
      </c>
    </row>
    <row r="28" spans="1:23" x14ac:dyDescent="0.25">
      <c r="A28" s="2" t="s">
        <v>1145</v>
      </c>
      <c r="B28" s="78" t="s">
        <v>606</v>
      </c>
      <c r="C28" s="78">
        <v>152</v>
      </c>
      <c r="D28" s="78">
        <v>400</v>
      </c>
      <c r="E28" s="78">
        <v>2</v>
      </c>
      <c r="F28" t="s">
        <v>1020</v>
      </c>
      <c r="G28" t="s">
        <v>1021</v>
      </c>
      <c r="H28" s="78">
        <v>2100</v>
      </c>
      <c r="I28" s="10" t="s">
        <v>8</v>
      </c>
      <c r="J28" s="10" t="s">
        <v>866</v>
      </c>
      <c r="K28" s="10"/>
      <c r="L28" t="s">
        <v>856</v>
      </c>
      <c r="M28" s="154">
        <v>0</v>
      </c>
      <c r="N28" s="154">
        <v>0</v>
      </c>
      <c r="O28" s="154">
        <v>0</v>
      </c>
      <c r="P28" s="155">
        <v>0</v>
      </c>
      <c r="Q28" s="155"/>
      <c r="R28" s="166"/>
      <c r="T28" s="78" t="s">
        <v>1755</v>
      </c>
      <c r="U28" t="s">
        <v>1739</v>
      </c>
      <c r="V28">
        <v>1</v>
      </c>
      <c r="W28" s="77" t="s">
        <v>1132</v>
      </c>
    </row>
    <row r="29" spans="1:23" x14ac:dyDescent="0.25">
      <c r="A29" s="2" t="s">
        <v>1145</v>
      </c>
      <c r="B29" s="78" t="s">
        <v>606</v>
      </c>
      <c r="C29" s="78">
        <v>152</v>
      </c>
      <c r="D29" s="78">
        <v>401</v>
      </c>
      <c r="E29" s="78">
        <v>2</v>
      </c>
      <c r="F29" t="s">
        <v>1022</v>
      </c>
      <c r="G29" t="s">
        <v>1023</v>
      </c>
      <c r="H29" s="78">
        <v>2100</v>
      </c>
      <c r="I29" s="10" t="s">
        <v>8</v>
      </c>
      <c r="J29" s="10" t="s">
        <v>866</v>
      </c>
      <c r="K29" s="10"/>
      <c r="L29" t="s">
        <v>856</v>
      </c>
      <c r="M29" s="154">
        <v>0</v>
      </c>
      <c r="N29" s="154">
        <v>0</v>
      </c>
      <c r="O29" s="154">
        <v>0</v>
      </c>
      <c r="P29" s="155">
        <v>0</v>
      </c>
      <c r="Q29" s="155"/>
      <c r="T29" s="78" t="s">
        <v>1755</v>
      </c>
      <c r="U29" t="s">
        <v>1739</v>
      </c>
      <c r="V29">
        <v>1</v>
      </c>
      <c r="W29" s="77" t="s">
        <v>1132</v>
      </c>
    </row>
    <row r="30" spans="1:23" x14ac:dyDescent="0.25">
      <c r="A30" s="2" t="s">
        <v>1145</v>
      </c>
      <c r="B30" s="78" t="s">
        <v>606</v>
      </c>
      <c r="C30" s="78">
        <v>152</v>
      </c>
      <c r="D30" s="78">
        <v>402</v>
      </c>
      <c r="E30" s="78">
        <v>2</v>
      </c>
      <c r="F30" t="s">
        <v>1025</v>
      </c>
      <c r="G30" t="s">
        <v>1024</v>
      </c>
      <c r="H30" s="78">
        <v>1051</v>
      </c>
      <c r="I30" s="10" t="s">
        <v>24</v>
      </c>
      <c r="J30" s="10" t="s">
        <v>866</v>
      </c>
      <c r="K30" s="10"/>
      <c r="L30" t="s">
        <v>856</v>
      </c>
      <c r="M30" s="154">
        <v>0</v>
      </c>
      <c r="N30" s="154">
        <v>0</v>
      </c>
      <c r="O30" s="154">
        <v>0</v>
      </c>
      <c r="P30" s="155">
        <v>0</v>
      </c>
      <c r="Q30" s="155">
        <f>(1218.75*12)</f>
        <v>14625</v>
      </c>
      <c r="R30" s="166">
        <v>43831</v>
      </c>
      <c r="T30" s="78" t="s">
        <v>1755</v>
      </c>
      <c r="U30" t="s">
        <v>1699</v>
      </c>
      <c r="V30">
        <v>1</v>
      </c>
      <c r="W30" s="77" t="s">
        <v>1132</v>
      </c>
    </row>
    <row r="31" spans="1:23" x14ac:dyDescent="0.25">
      <c r="A31" s="2" t="s">
        <v>1145</v>
      </c>
      <c r="B31" s="78" t="s">
        <v>606</v>
      </c>
      <c r="C31" s="78">
        <v>152</v>
      </c>
      <c r="D31" s="78">
        <v>403</v>
      </c>
      <c r="E31" s="78">
        <v>2</v>
      </c>
      <c r="F31"/>
      <c r="G31" t="s">
        <v>1026</v>
      </c>
      <c r="H31" s="2">
        <v>1159</v>
      </c>
      <c r="I31" s="10" t="s">
        <v>24</v>
      </c>
      <c r="J31" s="10" t="s">
        <v>866</v>
      </c>
      <c r="K31" s="10"/>
      <c r="L31" t="s">
        <v>856</v>
      </c>
      <c r="M31" s="154">
        <v>0</v>
      </c>
      <c r="N31" s="154">
        <v>0</v>
      </c>
      <c r="O31" s="154">
        <v>0</v>
      </c>
      <c r="P31" s="155">
        <v>0</v>
      </c>
      <c r="Q31" s="155">
        <f>(500*12)</f>
        <v>6000</v>
      </c>
      <c r="R31" s="166">
        <v>43831</v>
      </c>
      <c r="T31" s="78" t="s">
        <v>1754</v>
      </c>
      <c r="U31" t="s">
        <v>1699</v>
      </c>
      <c r="V31">
        <v>1</v>
      </c>
      <c r="W31" s="77" t="s">
        <v>1132</v>
      </c>
    </row>
    <row r="32" spans="1:23" x14ac:dyDescent="0.25">
      <c r="A32" s="2" t="s">
        <v>1145</v>
      </c>
      <c r="B32" s="69" t="s">
        <v>1158</v>
      </c>
      <c r="C32" s="69">
        <v>210</v>
      </c>
      <c r="D32" s="69">
        <v>101</v>
      </c>
      <c r="E32" s="78">
        <v>2</v>
      </c>
      <c r="F32" s="178" t="s">
        <v>1159</v>
      </c>
      <c r="G32" s="68" t="s">
        <v>1160</v>
      </c>
      <c r="H32" s="69">
        <v>2300</v>
      </c>
      <c r="I32" s="68" t="s">
        <v>87</v>
      </c>
      <c r="J32" s="68" t="s">
        <v>877</v>
      </c>
      <c r="K32" s="68"/>
      <c r="L32" s="68" t="s">
        <v>856</v>
      </c>
      <c r="M32" s="170">
        <f>15.9230769230769+13.5961538461538+1.38461538461538</f>
        <v>30.903846153846082</v>
      </c>
      <c r="N32" s="170">
        <v>4.25</v>
      </c>
      <c r="O32" s="170">
        <f>(2*3)/52</f>
        <v>0.11538461538461539</v>
      </c>
      <c r="P32" s="162">
        <v>0</v>
      </c>
      <c r="Q32" s="162">
        <f>58800</f>
        <v>58800</v>
      </c>
      <c r="R32" s="166">
        <v>43831</v>
      </c>
      <c r="S32" s="68"/>
      <c r="T32" s="69" t="s">
        <v>1754</v>
      </c>
      <c r="U32" s="165" t="s">
        <v>1731</v>
      </c>
      <c r="V32" s="68">
        <v>1</v>
      </c>
      <c r="W32" s="86"/>
    </row>
    <row r="33" spans="1:23" x14ac:dyDescent="0.25">
      <c r="A33" s="78" t="s">
        <v>1145</v>
      </c>
      <c r="B33" s="69" t="s">
        <v>709</v>
      </c>
      <c r="C33" s="69">
        <v>800</v>
      </c>
      <c r="D33" s="69"/>
      <c r="E33" s="78">
        <v>2</v>
      </c>
      <c r="F33" s="178" t="s">
        <v>1710</v>
      </c>
      <c r="G33" s="68" t="s">
        <v>1068</v>
      </c>
      <c r="H33" s="69">
        <v>2300</v>
      </c>
      <c r="I33" s="68" t="s">
        <v>87</v>
      </c>
      <c r="J33" s="68" t="s">
        <v>877</v>
      </c>
      <c r="K33" s="68"/>
      <c r="L33" s="68"/>
      <c r="M33" s="170"/>
      <c r="N33" s="170"/>
      <c r="O33" s="170"/>
      <c r="P33" s="162"/>
      <c r="Q33" s="162"/>
      <c r="R33" s="68"/>
      <c r="S33" s="68"/>
      <c r="T33" s="69" t="s">
        <v>1754</v>
      </c>
      <c r="U33" s="165" t="s">
        <v>1775</v>
      </c>
      <c r="V33" s="68">
        <v>1</v>
      </c>
      <c r="W33" s="77"/>
    </row>
    <row r="34" spans="1:23" x14ac:dyDescent="0.25">
      <c r="A34" s="78" t="s">
        <v>1145</v>
      </c>
      <c r="B34" s="69" t="s">
        <v>709</v>
      </c>
      <c r="C34" s="69">
        <v>800</v>
      </c>
      <c r="D34" s="69"/>
      <c r="E34" s="78">
        <v>2</v>
      </c>
      <c r="F34" s="178" t="s">
        <v>1711</v>
      </c>
      <c r="G34" s="68" t="s">
        <v>1068</v>
      </c>
      <c r="H34" s="69">
        <v>2300</v>
      </c>
      <c r="I34" s="68" t="s">
        <v>87</v>
      </c>
      <c r="J34" s="68" t="s">
        <v>877</v>
      </c>
      <c r="K34" s="68"/>
      <c r="L34" s="68"/>
      <c r="M34" s="170"/>
      <c r="N34" s="170"/>
      <c r="O34" s="170"/>
      <c r="P34" s="162"/>
      <c r="Q34" s="162"/>
      <c r="R34" s="68"/>
      <c r="S34" s="68"/>
      <c r="T34" s="69" t="s">
        <v>1754</v>
      </c>
      <c r="U34" s="68" t="s">
        <v>1774</v>
      </c>
      <c r="V34" s="68">
        <v>1</v>
      </c>
      <c r="W34" s="77"/>
    </row>
    <row r="35" spans="1:23" x14ac:dyDescent="0.25">
      <c r="A35" s="2" t="s">
        <v>1145</v>
      </c>
      <c r="B35" s="69" t="s">
        <v>709</v>
      </c>
      <c r="C35" s="69">
        <v>800</v>
      </c>
      <c r="D35" s="69">
        <v>77</v>
      </c>
      <c r="E35" s="78">
        <v>2</v>
      </c>
      <c r="F35" s="178" t="s">
        <v>1067</v>
      </c>
      <c r="G35" s="68" t="s">
        <v>1068</v>
      </c>
      <c r="H35" s="69">
        <v>2300</v>
      </c>
      <c r="I35" s="68" t="s">
        <v>87</v>
      </c>
      <c r="J35" s="68" t="s">
        <v>877</v>
      </c>
      <c r="K35" s="68"/>
      <c r="L35" s="68"/>
      <c r="M35" s="170"/>
      <c r="N35" s="170"/>
      <c r="O35" s="170"/>
      <c r="P35" s="162"/>
      <c r="Q35" s="162"/>
      <c r="R35" s="68"/>
      <c r="S35" s="68"/>
      <c r="T35" s="69" t="s">
        <v>1754</v>
      </c>
      <c r="U35" s="165" t="s">
        <v>1776</v>
      </c>
      <c r="V35" s="68">
        <v>1</v>
      </c>
      <c r="W35" s="77"/>
    </row>
    <row r="36" spans="1:23" x14ac:dyDescent="0.25">
      <c r="A36" s="2" t="s">
        <v>1145</v>
      </c>
      <c r="B36" s="69" t="s">
        <v>709</v>
      </c>
      <c r="C36" s="69">
        <v>800</v>
      </c>
      <c r="D36" s="69">
        <v>78</v>
      </c>
      <c r="E36" s="78">
        <v>2</v>
      </c>
      <c r="F36" s="178" t="s">
        <v>1069</v>
      </c>
      <c r="G36" s="68" t="s">
        <v>1068</v>
      </c>
      <c r="H36" s="69">
        <v>2300</v>
      </c>
      <c r="I36" s="68" t="s">
        <v>87</v>
      </c>
      <c r="J36" s="68" t="s">
        <v>877</v>
      </c>
      <c r="K36" s="68"/>
      <c r="L36" s="68"/>
      <c r="M36" s="170"/>
      <c r="N36" s="170"/>
      <c r="O36" s="170"/>
      <c r="P36" s="162"/>
      <c r="Q36" s="162"/>
      <c r="R36" s="68"/>
      <c r="S36" s="68"/>
      <c r="T36" s="69" t="s">
        <v>1754</v>
      </c>
      <c r="U36" s="165" t="s">
        <v>1775</v>
      </c>
      <c r="V36" s="68">
        <v>1</v>
      </c>
      <c r="W36" s="77"/>
    </row>
    <row r="37" spans="1:23" x14ac:dyDescent="0.25">
      <c r="A37" s="2" t="s">
        <v>1145</v>
      </c>
      <c r="B37" s="69" t="s">
        <v>709</v>
      </c>
      <c r="C37" s="69">
        <v>800</v>
      </c>
      <c r="D37" s="69">
        <v>82</v>
      </c>
      <c r="E37" s="78">
        <v>2</v>
      </c>
      <c r="F37" s="68" t="s">
        <v>1070</v>
      </c>
      <c r="G37" s="68" t="s">
        <v>1071</v>
      </c>
      <c r="H37" s="69">
        <v>2500</v>
      </c>
      <c r="I37" s="61" t="s">
        <v>20</v>
      </c>
      <c r="J37" s="68" t="s">
        <v>877</v>
      </c>
      <c r="K37" s="68"/>
      <c r="L37" s="68" t="s">
        <v>864</v>
      </c>
      <c r="M37" s="170">
        <f>0.0625+0.192307692307692+8.33</f>
        <v>8.5848076923076917</v>
      </c>
      <c r="N37" s="170">
        <v>0</v>
      </c>
      <c r="O37" s="170">
        <v>0</v>
      </c>
      <c r="P37" s="162">
        <v>0</v>
      </c>
      <c r="Q37" s="162">
        <f>2450</f>
        <v>2450</v>
      </c>
      <c r="R37" s="160">
        <v>43556</v>
      </c>
      <c r="S37" s="68"/>
      <c r="T37" s="69" t="s">
        <v>1754</v>
      </c>
      <c r="U37" s="68"/>
      <c r="V37" s="68">
        <v>1</v>
      </c>
      <c r="W37" s="77"/>
    </row>
    <row r="38" spans="1:23" x14ac:dyDescent="0.25">
      <c r="A38" s="2" t="s">
        <v>1145</v>
      </c>
      <c r="B38" s="69" t="s">
        <v>709</v>
      </c>
      <c r="C38" s="69">
        <v>800</v>
      </c>
      <c r="D38" s="69">
        <v>83</v>
      </c>
      <c r="E38" s="78">
        <v>2</v>
      </c>
      <c r="F38" s="68" t="s">
        <v>1072</v>
      </c>
      <c r="G38" s="68"/>
      <c r="H38" s="69">
        <v>2500</v>
      </c>
      <c r="I38" s="61" t="s">
        <v>20</v>
      </c>
      <c r="J38" s="68" t="s">
        <v>877</v>
      </c>
      <c r="K38" s="68"/>
      <c r="L38" s="68" t="s">
        <v>864</v>
      </c>
      <c r="M38" s="170">
        <v>1.8653846153846201</v>
      </c>
      <c r="N38" s="170">
        <v>0</v>
      </c>
      <c r="O38" s="170">
        <f>(4*8)/52</f>
        <v>0.61538461538461542</v>
      </c>
      <c r="P38" s="162">
        <v>0</v>
      </c>
      <c r="Q38" s="162">
        <f>5250</f>
        <v>5250</v>
      </c>
      <c r="R38" s="160">
        <v>43556</v>
      </c>
      <c r="S38" s="68"/>
      <c r="T38" s="69" t="s">
        <v>1754</v>
      </c>
      <c r="U38" s="68"/>
      <c r="V38" s="68">
        <v>1</v>
      </c>
      <c r="W38" s="77"/>
    </row>
    <row r="39" spans="1:23" x14ac:dyDescent="0.25">
      <c r="A39" s="78"/>
      <c r="B39" s="78"/>
      <c r="C39" s="78"/>
      <c r="D39" s="78"/>
      <c r="F39"/>
      <c r="G39"/>
      <c r="J39"/>
    </row>
    <row r="40" spans="1:23" x14ac:dyDescent="0.25">
      <c r="A40" s="78"/>
      <c r="B40" s="78"/>
      <c r="C40" s="78"/>
      <c r="F40" s="78"/>
      <c r="G40" s="78"/>
      <c r="J40" s="78"/>
    </row>
    <row r="41" spans="1:23" x14ac:dyDescent="0.25">
      <c r="A41" s="78"/>
      <c r="B41" s="78"/>
      <c r="C41" s="78"/>
      <c r="F41" s="78"/>
      <c r="G41" s="78"/>
      <c r="J41" s="78"/>
    </row>
    <row r="42" spans="1:23" x14ac:dyDescent="0.25">
      <c r="C42"/>
      <c r="E42" s="2"/>
      <c r="G42"/>
      <c r="I42" s="2"/>
      <c r="J42"/>
    </row>
    <row r="43" spans="1:23" x14ac:dyDescent="0.25">
      <c r="C43"/>
      <c r="E43" s="2"/>
      <c r="G43"/>
      <c r="I43" s="2"/>
      <c r="J43"/>
    </row>
  </sheetData>
  <mergeCells count="4">
    <mergeCell ref="A2:C2"/>
    <mergeCell ref="A3:B3"/>
    <mergeCell ref="M8:O8"/>
    <mergeCell ref="P8:Q8"/>
  </mergeCells>
  <phoneticPr fontId="16" type="noConversion"/>
  <pageMargins left="0.25" right="0.25" top="0.75" bottom="0.75" header="0.3" footer="0.3"/>
  <pageSetup paperSize="8" scale="59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W38"/>
  <sheetViews>
    <sheetView topLeftCell="C1" zoomScale="80" zoomScaleNormal="80" workbookViewId="0">
      <selection activeCell="U19" sqref="U19"/>
    </sheetView>
  </sheetViews>
  <sheetFormatPr defaultRowHeight="15" x14ac:dyDescent="0.25"/>
  <cols>
    <col min="1" max="1" width="11" style="2" customWidth="1"/>
    <col min="2" max="2" width="22.140625" style="2" bestFit="1" customWidth="1"/>
    <col min="3" max="3" width="10.85546875" style="2" customWidth="1"/>
    <col min="4" max="4" width="15.140625" style="2" customWidth="1"/>
    <col min="5" max="5" width="10.42578125" customWidth="1"/>
    <col min="6" max="6" width="36.5703125" bestFit="1" customWidth="1"/>
    <col min="7" max="7" width="42.7109375" style="2" customWidth="1"/>
    <col min="8" max="8" width="9.85546875" customWidth="1"/>
    <col min="9" max="9" width="15" bestFit="1" customWidth="1"/>
    <col min="10" max="10" width="24.7109375" style="2" bestFit="1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6" max="17" width="12.7109375" bestFit="1" customWidth="1"/>
    <col min="18" max="18" width="15.85546875" customWidth="1"/>
    <col min="19" max="19" width="11.42578125" customWidth="1"/>
    <col min="20" max="20" width="12" style="164" customWidth="1"/>
    <col min="21" max="21" width="14.28515625" customWidth="1"/>
  </cols>
  <sheetData>
    <row r="1" spans="1:23" ht="18.75" x14ac:dyDescent="0.3">
      <c r="A1" s="5" t="s">
        <v>844</v>
      </c>
      <c r="B1" s="6"/>
      <c r="C1" s="7"/>
    </row>
    <row r="2" spans="1:23" ht="15.75" thickBot="1" x14ac:dyDescent="0.3">
      <c r="A2" s="183" t="s">
        <v>577</v>
      </c>
      <c r="B2" s="183"/>
      <c r="C2" s="183"/>
      <c r="D2" s="183"/>
    </row>
    <row r="3" spans="1:23" x14ac:dyDescent="0.25">
      <c r="A3" s="183" t="s">
        <v>178</v>
      </c>
      <c r="B3" s="183"/>
      <c r="C3" s="20">
        <f>K7</f>
        <v>24</v>
      </c>
      <c r="J3" s="40" t="s">
        <v>838</v>
      </c>
      <c r="K3" s="41">
        <f>COUNTIFS(L:L,J3)</f>
        <v>4</v>
      </c>
    </row>
    <row r="4" spans="1:23" x14ac:dyDescent="0.25">
      <c r="A4" s="14" t="s">
        <v>358</v>
      </c>
      <c r="B4" s="14"/>
      <c r="G4"/>
      <c r="J4" s="42" t="s">
        <v>856</v>
      </c>
      <c r="K4" s="43">
        <f>COUNTIFS(L:L,J4)</f>
        <v>17</v>
      </c>
    </row>
    <row r="5" spans="1:23" x14ac:dyDescent="0.25">
      <c r="A5" s="8" t="s">
        <v>179</v>
      </c>
      <c r="C5" s="11"/>
      <c r="D5" s="12"/>
      <c r="E5" s="12"/>
      <c r="F5" s="13"/>
      <c r="G5"/>
      <c r="J5" s="42" t="s">
        <v>860</v>
      </c>
      <c r="K5" s="43">
        <f>COUNTIFS(L:L,J5)</f>
        <v>0</v>
      </c>
    </row>
    <row r="6" spans="1:23" ht="15.75" thickBot="1" x14ac:dyDescent="0.3">
      <c r="B6" s="188"/>
      <c r="C6" s="188"/>
      <c r="D6" s="188"/>
      <c r="E6" s="188"/>
      <c r="J6" s="44" t="s">
        <v>864</v>
      </c>
      <c r="K6" s="45">
        <f>COUNTIFS(L:L,J6)</f>
        <v>3</v>
      </c>
    </row>
    <row r="7" spans="1:23" x14ac:dyDescent="0.25">
      <c r="J7" s="78"/>
      <c r="K7" s="78">
        <f>SUM(K3:K6)</f>
        <v>24</v>
      </c>
    </row>
    <row r="8" spans="1:23" x14ac:dyDescent="0.25">
      <c r="A8" s="78"/>
      <c r="B8" s="78"/>
      <c r="C8" s="78"/>
      <c r="D8" s="78"/>
      <c r="G8" s="7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1129</v>
      </c>
      <c r="C10" s="2">
        <v>2</v>
      </c>
      <c r="D10" s="2">
        <v>714</v>
      </c>
      <c r="E10" s="2">
        <v>2</v>
      </c>
      <c r="F10" s="175"/>
      <c r="G10" t="s">
        <v>152</v>
      </c>
      <c r="H10" s="2" t="s">
        <v>5</v>
      </c>
      <c r="I10" s="10" t="s">
        <v>6</v>
      </c>
      <c r="J10" s="10" t="s">
        <v>888</v>
      </c>
      <c r="K10" s="10"/>
      <c r="L10" t="s">
        <v>856</v>
      </c>
      <c r="M10" s="149"/>
      <c r="N10" s="148"/>
      <c r="O10" s="148"/>
      <c r="P10" s="147"/>
      <c r="Q10" s="147"/>
      <c r="R10" s="143"/>
      <c r="T10" s="78" t="s">
        <v>1755</v>
      </c>
      <c r="U10" s="164" t="s">
        <v>1714</v>
      </c>
      <c r="V10">
        <v>1</v>
      </c>
      <c r="W10" s="77"/>
    </row>
    <row r="11" spans="1:23" ht="15" customHeight="1" x14ac:dyDescent="0.25">
      <c r="A11" s="2" t="s">
        <v>1129</v>
      </c>
      <c r="C11" s="2">
        <v>2</v>
      </c>
      <c r="D11" s="2">
        <v>718</v>
      </c>
      <c r="E11" s="2">
        <v>2</v>
      </c>
      <c r="F11" s="175" t="s">
        <v>169</v>
      </c>
      <c r="G11" s="1" t="s">
        <v>170</v>
      </c>
      <c r="H11" s="2" t="s">
        <v>69</v>
      </c>
      <c r="I11" s="10" t="s">
        <v>70</v>
      </c>
      <c r="J11" s="10" t="s">
        <v>887</v>
      </c>
      <c r="K11" s="10"/>
      <c r="L11" t="s">
        <v>856</v>
      </c>
      <c r="M11" s="148"/>
      <c r="N11" s="148"/>
      <c r="O11" s="148"/>
      <c r="P11" s="147"/>
      <c r="Q11" s="147"/>
      <c r="T11" s="78" t="s">
        <v>1755</v>
      </c>
      <c r="U11" s="164" t="s">
        <v>1712</v>
      </c>
      <c r="V11">
        <v>1</v>
      </c>
      <c r="W11" s="77"/>
    </row>
    <row r="12" spans="1:23" ht="15" customHeight="1" x14ac:dyDescent="0.25">
      <c r="A12" s="2" t="s">
        <v>1129</v>
      </c>
      <c r="C12" s="2">
        <v>2</v>
      </c>
      <c r="D12" s="2">
        <v>721</v>
      </c>
      <c r="E12" s="2">
        <v>2</v>
      </c>
      <c r="F12" s="175" t="s">
        <v>163</v>
      </c>
      <c r="G12" s="1" t="s">
        <v>164</v>
      </c>
      <c r="H12" s="2" t="s">
        <v>73</v>
      </c>
      <c r="I12" s="10" t="s">
        <v>74</v>
      </c>
      <c r="J12" s="10" t="s">
        <v>361</v>
      </c>
      <c r="K12" s="10"/>
      <c r="L12" t="s">
        <v>856</v>
      </c>
      <c r="M12" s="148"/>
      <c r="N12" s="148"/>
      <c r="O12" s="148"/>
      <c r="P12" s="147"/>
      <c r="Q12" s="147"/>
      <c r="T12" s="78" t="s">
        <v>1755</v>
      </c>
      <c r="U12" s="164" t="s">
        <v>1714</v>
      </c>
      <c r="V12">
        <v>1</v>
      </c>
      <c r="W12" s="77"/>
    </row>
    <row r="13" spans="1:23" ht="15" customHeight="1" x14ac:dyDescent="0.25">
      <c r="A13" s="2" t="s">
        <v>1129</v>
      </c>
      <c r="C13" s="2">
        <v>2</v>
      </c>
      <c r="D13" s="2">
        <v>722</v>
      </c>
      <c r="E13" s="2">
        <v>2</v>
      </c>
      <c r="F13" s="175" t="s">
        <v>115</v>
      </c>
      <c r="G13" s="1" t="s">
        <v>116</v>
      </c>
      <c r="H13" s="2" t="s">
        <v>75</v>
      </c>
      <c r="I13" s="10" t="s">
        <v>76</v>
      </c>
      <c r="J13" s="10" t="s">
        <v>890</v>
      </c>
      <c r="K13" s="10"/>
      <c r="L13" t="s">
        <v>856</v>
      </c>
      <c r="M13" s="148"/>
      <c r="N13" s="148"/>
      <c r="O13" s="148"/>
      <c r="P13" s="147"/>
      <c r="Q13" s="147"/>
      <c r="T13" s="78" t="s">
        <v>1755</v>
      </c>
      <c r="U13" s="164" t="s">
        <v>1714</v>
      </c>
      <c r="V13">
        <v>1</v>
      </c>
      <c r="W13" s="77"/>
    </row>
    <row r="14" spans="1:23" ht="15" customHeight="1" x14ac:dyDescent="0.25">
      <c r="A14" s="2" t="s">
        <v>1129</v>
      </c>
      <c r="B14" s="2" t="s">
        <v>176</v>
      </c>
      <c r="C14" s="2">
        <v>8</v>
      </c>
      <c r="D14" s="78">
        <v>108</v>
      </c>
      <c r="E14" s="2">
        <v>2</v>
      </c>
      <c r="F14" s="68" t="s">
        <v>607</v>
      </c>
      <c r="G14" t="s">
        <v>608</v>
      </c>
      <c r="H14" s="2" t="s">
        <v>7</v>
      </c>
      <c r="I14" s="10" t="s">
        <v>8</v>
      </c>
      <c r="J14" t="s">
        <v>871</v>
      </c>
      <c r="L14" t="s">
        <v>856</v>
      </c>
      <c r="M14" s="148">
        <f>78/52</f>
        <v>1.5</v>
      </c>
      <c r="N14" s="148">
        <v>0</v>
      </c>
      <c r="O14" s="148">
        <v>0</v>
      </c>
      <c r="P14" s="147">
        <v>0</v>
      </c>
      <c r="Q14" s="155">
        <f>4972.5</f>
        <v>4972.5</v>
      </c>
      <c r="R14" s="143">
        <v>42461</v>
      </c>
      <c r="T14" s="78" t="s">
        <v>1754</v>
      </c>
      <c r="V14">
        <v>1</v>
      </c>
      <c r="W14" s="77"/>
    </row>
    <row r="15" spans="1:23" ht="15" customHeight="1" x14ac:dyDescent="0.25">
      <c r="A15" s="2" t="s">
        <v>1129</v>
      </c>
      <c r="B15" s="2" t="s">
        <v>176</v>
      </c>
      <c r="C15" s="2">
        <v>8</v>
      </c>
      <c r="D15" s="78">
        <v>137</v>
      </c>
      <c r="E15" s="2">
        <v>2</v>
      </c>
      <c r="F15" s="140" t="s">
        <v>316</v>
      </c>
      <c r="G15" t="s">
        <v>315</v>
      </c>
      <c r="H15" s="2" t="s">
        <v>188</v>
      </c>
      <c r="I15" t="s">
        <v>189</v>
      </c>
      <c r="J15" t="s">
        <v>859</v>
      </c>
      <c r="L15" t="s">
        <v>856</v>
      </c>
      <c r="M15" s="148"/>
      <c r="N15" s="148"/>
      <c r="O15" s="148"/>
      <c r="P15" s="147"/>
      <c r="Q15" s="147"/>
      <c r="T15" s="78" t="s">
        <v>1755</v>
      </c>
      <c r="U15" t="s">
        <v>1734</v>
      </c>
      <c r="V15">
        <v>1</v>
      </c>
      <c r="W15" s="77"/>
    </row>
    <row r="16" spans="1:23" ht="15" customHeight="1" x14ac:dyDescent="0.25">
      <c r="A16" s="2" t="s">
        <v>1129</v>
      </c>
      <c r="C16" s="2">
        <v>8</v>
      </c>
      <c r="D16" s="78">
        <v>235</v>
      </c>
      <c r="E16" s="2">
        <v>2</v>
      </c>
      <c r="F16" t="s">
        <v>627</v>
      </c>
      <c r="G16" t="s">
        <v>628</v>
      </c>
      <c r="H16" s="2" t="s">
        <v>588</v>
      </c>
      <c r="I16" t="s">
        <v>76</v>
      </c>
      <c r="J16" t="s">
        <v>1005</v>
      </c>
      <c r="L16" t="s">
        <v>864</v>
      </c>
      <c r="M16" s="148">
        <v>4.3269230769230802</v>
      </c>
      <c r="N16" s="148">
        <v>5</v>
      </c>
      <c r="O16" s="148">
        <v>0</v>
      </c>
      <c r="P16" s="147">
        <v>0</v>
      </c>
      <c r="Q16" s="147">
        <f>5600</f>
        <v>5600</v>
      </c>
      <c r="R16" s="143">
        <v>43739</v>
      </c>
      <c r="T16" s="78" t="s">
        <v>1754</v>
      </c>
      <c r="U16" t="s">
        <v>1713</v>
      </c>
      <c r="V16">
        <v>1</v>
      </c>
      <c r="W16" s="77"/>
    </row>
    <row r="17" spans="1:23" ht="15" customHeight="1" x14ac:dyDescent="0.25">
      <c r="A17" s="2" t="s">
        <v>1129</v>
      </c>
      <c r="B17" s="2" t="s">
        <v>619</v>
      </c>
      <c r="C17" s="2">
        <v>14</v>
      </c>
      <c r="D17" s="78">
        <v>809</v>
      </c>
      <c r="E17" s="2">
        <v>2</v>
      </c>
      <c r="F17" t="s">
        <v>689</v>
      </c>
      <c r="G17" t="s">
        <v>690</v>
      </c>
      <c r="H17" s="2" t="s">
        <v>19</v>
      </c>
      <c r="I17" s="10" t="s">
        <v>20</v>
      </c>
      <c r="J17" t="s">
        <v>1005</v>
      </c>
      <c r="L17" t="s">
        <v>856</v>
      </c>
      <c r="M17" s="148">
        <f>8.48076923076923+13.2884615384615+2.13461538461538</f>
        <v>23.903846153846111</v>
      </c>
      <c r="N17" s="148">
        <v>1.84615384615385</v>
      </c>
      <c r="O17" s="148">
        <f>(4*4)/52</f>
        <v>0.30769230769230771</v>
      </c>
      <c r="P17" s="147">
        <f>9945</f>
        <v>9945</v>
      </c>
      <c r="Q17" s="147">
        <f>44100</f>
        <v>44100</v>
      </c>
      <c r="R17" s="166">
        <v>43497</v>
      </c>
      <c r="T17" s="78" t="s">
        <v>1754</v>
      </c>
      <c r="V17">
        <v>1</v>
      </c>
      <c r="W17" s="77"/>
    </row>
    <row r="18" spans="1:23" ht="15" customHeight="1" x14ac:dyDescent="0.25">
      <c r="A18" s="2" t="s">
        <v>1129</v>
      </c>
      <c r="B18" s="78"/>
      <c r="C18" s="78">
        <v>20</v>
      </c>
      <c r="D18" s="78">
        <v>291</v>
      </c>
      <c r="E18" s="78"/>
      <c r="F18" s="140" t="s">
        <v>1183</v>
      </c>
      <c r="G18" t="s">
        <v>1184</v>
      </c>
      <c r="H18" s="78">
        <v>2800</v>
      </c>
      <c r="I18" s="10" t="s">
        <v>1185</v>
      </c>
      <c r="J18"/>
      <c r="L18" t="s">
        <v>856</v>
      </c>
      <c r="M18" s="148"/>
      <c r="N18" s="148"/>
      <c r="O18" s="148"/>
      <c r="P18" s="147"/>
      <c r="Q18" s="147"/>
      <c r="T18" s="78" t="s">
        <v>1755</v>
      </c>
      <c r="U18" s="164" t="s">
        <v>1734</v>
      </c>
      <c r="V18">
        <v>1</v>
      </c>
      <c r="W18" s="77"/>
    </row>
    <row r="19" spans="1:23" ht="15" customHeight="1" x14ac:dyDescent="0.25">
      <c r="A19" s="2" t="s">
        <v>1129</v>
      </c>
      <c r="B19" s="78" t="s">
        <v>351</v>
      </c>
      <c r="C19" s="2">
        <v>20</v>
      </c>
      <c r="D19" s="2">
        <v>403</v>
      </c>
      <c r="E19" s="78">
        <v>2</v>
      </c>
      <c r="F19" s="175" t="s">
        <v>318</v>
      </c>
      <c r="G19" t="s">
        <v>317</v>
      </c>
      <c r="H19" s="2" t="s">
        <v>7</v>
      </c>
      <c r="I19" s="10" t="s">
        <v>8</v>
      </c>
      <c r="J19" t="s">
        <v>863</v>
      </c>
      <c r="L19" t="s">
        <v>856</v>
      </c>
      <c r="M19" s="148"/>
      <c r="N19" s="148"/>
      <c r="O19" s="148"/>
      <c r="P19" s="147"/>
      <c r="Q19" s="147"/>
      <c r="T19" s="78" t="s">
        <v>1755</v>
      </c>
      <c r="U19" s="164" t="s">
        <v>1714</v>
      </c>
      <c r="V19">
        <v>1</v>
      </c>
      <c r="W19" s="77"/>
    </row>
    <row r="20" spans="1:23" ht="15" customHeight="1" x14ac:dyDescent="0.25">
      <c r="A20" s="2" t="s">
        <v>1129</v>
      </c>
      <c r="B20" s="78" t="s">
        <v>351</v>
      </c>
      <c r="C20" s="2">
        <v>20</v>
      </c>
      <c r="D20" s="2">
        <v>404</v>
      </c>
      <c r="E20" s="78">
        <v>2</v>
      </c>
      <c r="F20" s="140" t="s">
        <v>319</v>
      </c>
      <c r="G20" t="s">
        <v>320</v>
      </c>
      <c r="H20" s="2" t="s">
        <v>7</v>
      </c>
      <c r="I20" s="10" t="s">
        <v>8</v>
      </c>
      <c r="J20" t="s">
        <v>863</v>
      </c>
      <c r="L20" t="s">
        <v>856</v>
      </c>
      <c r="M20" s="148"/>
      <c r="N20" s="148"/>
      <c r="O20" s="148"/>
      <c r="P20" s="147"/>
      <c r="Q20" s="147"/>
      <c r="T20" s="78" t="s">
        <v>1755</v>
      </c>
      <c r="U20" t="s">
        <v>1734</v>
      </c>
      <c r="V20">
        <v>1</v>
      </c>
      <c r="W20" s="77"/>
    </row>
    <row r="21" spans="1:23" x14ac:dyDescent="0.25">
      <c r="A21" s="2" t="s">
        <v>1129</v>
      </c>
      <c r="B21" s="78" t="s">
        <v>351</v>
      </c>
      <c r="C21" s="2">
        <v>20</v>
      </c>
      <c r="D21" s="78">
        <v>405</v>
      </c>
      <c r="E21" s="78">
        <v>2</v>
      </c>
      <c r="F21" s="175" t="s">
        <v>322</v>
      </c>
      <c r="G21" t="s">
        <v>321</v>
      </c>
      <c r="H21" s="2" t="s">
        <v>19</v>
      </c>
      <c r="I21" s="10" t="s">
        <v>20</v>
      </c>
      <c r="J21" t="s">
        <v>863</v>
      </c>
      <c r="L21" t="s">
        <v>856</v>
      </c>
      <c r="M21" s="148"/>
      <c r="N21" s="148"/>
      <c r="O21" s="148"/>
      <c r="P21" s="147"/>
      <c r="Q21" s="147"/>
      <c r="T21" s="78" t="s">
        <v>1755</v>
      </c>
      <c r="U21" s="164" t="s">
        <v>1714</v>
      </c>
      <c r="V21">
        <v>1</v>
      </c>
      <c r="W21" s="77"/>
    </row>
    <row r="22" spans="1:23" ht="15" customHeight="1" x14ac:dyDescent="0.25">
      <c r="A22" s="2" t="s">
        <v>1129</v>
      </c>
      <c r="B22" s="78" t="s">
        <v>351</v>
      </c>
      <c r="C22" s="2">
        <v>20</v>
      </c>
      <c r="D22" s="2">
        <v>407</v>
      </c>
      <c r="E22" s="78">
        <v>2</v>
      </c>
      <c r="F22" s="175" t="s">
        <v>324</v>
      </c>
      <c r="G22" t="s">
        <v>323</v>
      </c>
      <c r="H22" s="2" t="s">
        <v>15</v>
      </c>
      <c r="I22" s="10" t="s">
        <v>16</v>
      </c>
      <c r="J22" t="s">
        <v>858</v>
      </c>
      <c r="L22" t="s">
        <v>856</v>
      </c>
      <c r="M22" s="148"/>
      <c r="N22" s="148"/>
      <c r="O22" s="148"/>
      <c r="P22" s="147"/>
      <c r="Q22" s="147"/>
      <c r="T22" s="78" t="s">
        <v>1755</v>
      </c>
      <c r="U22" s="164" t="s">
        <v>1714</v>
      </c>
      <c r="V22">
        <v>1</v>
      </c>
      <c r="W22" s="77"/>
    </row>
    <row r="23" spans="1:23" ht="15" customHeight="1" x14ac:dyDescent="0.25">
      <c r="A23" s="2" t="s">
        <v>1129</v>
      </c>
      <c r="B23" s="78" t="s">
        <v>351</v>
      </c>
      <c r="C23" s="2">
        <v>20</v>
      </c>
      <c r="D23" s="2">
        <v>408</v>
      </c>
      <c r="E23" s="78">
        <v>2</v>
      </c>
      <c r="F23" s="140" t="s">
        <v>326</v>
      </c>
      <c r="G23" t="s">
        <v>325</v>
      </c>
      <c r="H23" s="2" t="s">
        <v>188</v>
      </c>
      <c r="I23" s="10" t="s">
        <v>189</v>
      </c>
      <c r="J23" t="s">
        <v>863</v>
      </c>
      <c r="L23" t="s">
        <v>856</v>
      </c>
      <c r="M23" s="148"/>
      <c r="N23" s="148"/>
      <c r="O23" s="148"/>
      <c r="P23" s="147"/>
      <c r="Q23" s="147"/>
      <c r="T23" s="78" t="s">
        <v>1755</v>
      </c>
      <c r="U23" t="s">
        <v>1734</v>
      </c>
      <c r="V23">
        <v>1</v>
      </c>
      <c r="W23" s="77"/>
    </row>
    <row r="24" spans="1:23" ht="15" customHeight="1" x14ac:dyDescent="0.25">
      <c r="A24" s="2" t="s">
        <v>1129</v>
      </c>
      <c r="B24" s="78" t="s">
        <v>351</v>
      </c>
      <c r="C24" s="2">
        <v>20</v>
      </c>
      <c r="D24" s="2">
        <v>410</v>
      </c>
      <c r="E24" s="78">
        <v>2</v>
      </c>
      <c r="F24" s="140" t="s">
        <v>339</v>
      </c>
      <c r="G24" t="s">
        <v>338</v>
      </c>
      <c r="H24" s="2" t="s">
        <v>21</v>
      </c>
      <c r="I24" s="10" t="s">
        <v>22</v>
      </c>
      <c r="J24" t="s">
        <v>364</v>
      </c>
      <c r="L24" t="s">
        <v>856</v>
      </c>
      <c r="N24" s="148"/>
      <c r="O24" s="148"/>
      <c r="P24" s="147"/>
      <c r="Q24" s="147"/>
      <c r="T24" s="78" t="s">
        <v>1755</v>
      </c>
      <c r="U24" s="164" t="s">
        <v>1734</v>
      </c>
      <c r="V24">
        <v>1</v>
      </c>
      <c r="W24" s="77"/>
    </row>
    <row r="25" spans="1:23" x14ac:dyDescent="0.25">
      <c r="A25" s="2" t="s">
        <v>1129</v>
      </c>
      <c r="B25" s="2" t="s">
        <v>624</v>
      </c>
      <c r="C25" s="2">
        <v>30</v>
      </c>
      <c r="D25" s="2">
        <v>206</v>
      </c>
      <c r="E25" s="2">
        <v>2</v>
      </c>
      <c r="F25" s="68" t="s">
        <v>643</v>
      </c>
      <c r="G25" t="s">
        <v>642</v>
      </c>
      <c r="H25" s="2" t="s">
        <v>181</v>
      </c>
      <c r="I25" s="10" t="s">
        <v>182</v>
      </c>
      <c r="J25" t="s">
        <v>871</v>
      </c>
      <c r="L25" s="10" t="s">
        <v>856</v>
      </c>
      <c r="M25" s="154">
        <f>2.38461538461538+3.50961538461538+0.682692307692308</f>
        <v>6.5769230769230687</v>
      </c>
      <c r="N25" s="154">
        <v>2.8653846153846199</v>
      </c>
      <c r="O25" s="154">
        <f>(4*2)/52</f>
        <v>0.15384615384615385</v>
      </c>
      <c r="P25" s="155">
        <v>0</v>
      </c>
      <c r="Q25" s="155">
        <f>21000</f>
        <v>21000</v>
      </c>
      <c r="R25" s="144">
        <v>43070</v>
      </c>
      <c r="S25" s="10"/>
      <c r="T25" s="78" t="s">
        <v>1754</v>
      </c>
      <c r="U25" s="10"/>
      <c r="V25">
        <v>1</v>
      </c>
      <c r="W25" s="77"/>
    </row>
    <row r="26" spans="1:23" ht="15" customHeight="1" x14ac:dyDescent="0.25">
      <c r="A26" s="2" t="s">
        <v>1129</v>
      </c>
      <c r="B26" s="2" t="s">
        <v>625</v>
      </c>
      <c r="C26" s="2">
        <v>87</v>
      </c>
      <c r="D26" s="2">
        <v>502</v>
      </c>
      <c r="E26" s="2">
        <v>2</v>
      </c>
      <c r="F26" s="68" t="s">
        <v>640</v>
      </c>
      <c r="G26" t="s">
        <v>641</v>
      </c>
      <c r="H26" s="2" t="s">
        <v>7</v>
      </c>
      <c r="I26" s="10" t="s">
        <v>8</v>
      </c>
      <c r="J26" t="s">
        <v>871</v>
      </c>
      <c r="L26" t="s">
        <v>838</v>
      </c>
      <c r="M26" s="154">
        <f>0.346153846153846+0.153846153846154</f>
        <v>0.5</v>
      </c>
      <c r="N26" s="148">
        <v>0</v>
      </c>
      <c r="O26" s="148">
        <v>0</v>
      </c>
      <c r="P26" s="147">
        <v>0</v>
      </c>
      <c r="Q26" s="147">
        <v>0</v>
      </c>
      <c r="R26" s="143">
        <v>43952</v>
      </c>
      <c r="T26" s="78" t="s">
        <v>1754</v>
      </c>
      <c r="V26">
        <v>1</v>
      </c>
      <c r="W26" s="77"/>
    </row>
    <row r="27" spans="1:23" ht="15" customHeight="1" x14ac:dyDescent="0.25">
      <c r="A27" s="2" t="s">
        <v>1129</v>
      </c>
      <c r="B27" s="2" t="s">
        <v>625</v>
      </c>
      <c r="C27" s="2">
        <v>87</v>
      </c>
      <c r="D27" s="2">
        <v>518</v>
      </c>
      <c r="E27" s="2">
        <v>2</v>
      </c>
      <c r="F27" s="68" t="s">
        <v>636</v>
      </c>
      <c r="G27" t="s">
        <v>637</v>
      </c>
      <c r="H27" s="2" t="s">
        <v>19</v>
      </c>
      <c r="I27" t="s">
        <v>20</v>
      </c>
      <c r="J27" t="s">
        <v>921</v>
      </c>
      <c r="L27" t="s">
        <v>838</v>
      </c>
      <c r="M27" s="148">
        <f>6.28846153846154+1.21153846153846+0.788461538461538</f>
        <v>8.2884615384615383</v>
      </c>
      <c r="N27" s="148">
        <v>0</v>
      </c>
      <c r="O27" s="148">
        <f>(4*3.5)/52</f>
        <v>0.26923076923076922</v>
      </c>
      <c r="P27" s="147">
        <f>(21600+30000)</f>
        <v>51600</v>
      </c>
      <c r="Q27" s="147">
        <f>11200</f>
        <v>11200</v>
      </c>
      <c r="R27" s="166">
        <v>43983</v>
      </c>
      <c r="T27" s="78" t="s">
        <v>1754</v>
      </c>
      <c r="U27" t="s">
        <v>1713</v>
      </c>
      <c r="V27">
        <v>1</v>
      </c>
      <c r="W27" s="77"/>
    </row>
    <row r="28" spans="1:23" x14ac:dyDescent="0.25">
      <c r="A28" s="2" t="s">
        <v>1129</v>
      </c>
      <c r="B28" s="2" t="s">
        <v>625</v>
      </c>
      <c r="C28" s="2">
        <v>87</v>
      </c>
      <c r="D28" s="2">
        <v>519</v>
      </c>
      <c r="E28" s="2">
        <v>2</v>
      </c>
      <c r="G28" t="s">
        <v>635</v>
      </c>
      <c r="H28" s="2" t="s">
        <v>19</v>
      </c>
      <c r="I28" t="s">
        <v>20</v>
      </c>
      <c r="J28" t="s">
        <v>921</v>
      </c>
      <c r="L28" t="s">
        <v>838</v>
      </c>
      <c r="M28" s="148">
        <f>0.865384615384615+3.21153846153846+0.153846153846154</f>
        <v>4.2307692307692291</v>
      </c>
      <c r="N28" s="148">
        <v>3.75</v>
      </c>
      <c r="O28" s="148">
        <v>0</v>
      </c>
      <c r="P28" s="147">
        <v>0</v>
      </c>
      <c r="Q28" s="147">
        <f>10500</f>
        <v>10500</v>
      </c>
      <c r="R28" s="166">
        <v>43983</v>
      </c>
      <c r="T28" s="78" t="s">
        <v>1754</v>
      </c>
      <c r="U28" s="164" t="s">
        <v>1713</v>
      </c>
      <c r="V28">
        <v>1</v>
      </c>
      <c r="W28" s="77"/>
    </row>
    <row r="29" spans="1:23" x14ac:dyDescent="0.25">
      <c r="A29" s="2" t="s">
        <v>1129</v>
      </c>
      <c r="B29" s="2" t="s">
        <v>1006</v>
      </c>
      <c r="C29" s="2">
        <v>158</v>
      </c>
      <c r="D29" s="2">
        <v>116</v>
      </c>
      <c r="E29" s="2">
        <v>2</v>
      </c>
      <c r="F29" t="s">
        <v>1007</v>
      </c>
      <c r="G29" t="s">
        <v>1008</v>
      </c>
      <c r="H29" s="2">
        <v>2400</v>
      </c>
      <c r="I29" s="10" t="s">
        <v>182</v>
      </c>
      <c r="J29" t="s">
        <v>871</v>
      </c>
      <c r="L29" t="s">
        <v>856</v>
      </c>
      <c r="M29" s="148">
        <f>1.045+1.23423076923077+0.575384615384615</f>
        <v>2.8546153846153848</v>
      </c>
      <c r="N29" s="148">
        <v>0</v>
      </c>
      <c r="O29" s="148">
        <v>0</v>
      </c>
      <c r="P29" s="147">
        <v>0</v>
      </c>
      <c r="Q29" s="147">
        <f>7700</f>
        <v>7700</v>
      </c>
      <c r="R29" s="166">
        <v>43647</v>
      </c>
      <c r="T29" s="78" t="s">
        <v>1754</v>
      </c>
      <c r="V29">
        <v>1</v>
      </c>
      <c r="W29" s="77"/>
    </row>
    <row r="30" spans="1:23" ht="15" customHeight="1" x14ac:dyDescent="0.25">
      <c r="A30" s="2" t="s">
        <v>1129</v>
      </c>
      <c r="B30" s="2" t="s">
        <v>626</v>
      </c>
      <c r="C30" s="2">
        <v>160</v>
      </c>
      <c r="D30" s="50">
        <v>122</v>
      </c>
      <c r="E30" s="2">
        <v>2</v>
      </c>
      <c r="F30" t="s">
        <v>633</v>
      </c>
      <c r="G30" t="s">
        <v>634</v>
      </c>
      <c r="H30" s="2" t="s">
        <v>585</v>
      </c>
      <c r="I30" t="s">
        <v>24</v>
      </c>
      <c r="J30" t="s">
        <v>871</v>
      </c>
      <c r="L30" t="s">
        <v>838</v>
      </c>
      <c r="M30" s="148">
        <f>(167.75+43.25)/52</f>
        <v>4.0576923076923075</v>
      </c>
      <c r="N30" s="148">
        <v>0</v>
      </c>
      <c r="O30" s="148">
        <v>0</v>
      </c>
      <c r="P30" s="147">
        <v>0</v>
      </c>
      <c r="Q30" s="147">
        <f>5100</f>
        <v>5100</v>
      </c>
      <c r="R30" s="166">
        <v>42370</v>
      </c>
      <c r="T30" s="78" t="s">
        <v>1754</v>
      </c>
      <c r="V30">
        <v>1</v>
      </c>
      <c r="W30" s="77"/>
    </row>
    <row r="31" spans="1:23" ht="15" customHeight="1" x14ac:dyDescent="0.25">
      <c r="A31" s="2" t="s">
        <v>1129</v>
      </c>
      <c r="C31" s="2">
        <v>800</v>
      </c>
      <c r="D31" s="2">
        <v>12</v>
      </c>
      <c r="E31" s="2">
        <v>2</v>
      </c>
      <c r="F31" s="68" t="s">
        <v>631</v>
      </c>
      <c r="G31" t="s">
        <v>632</v>
      </c>
      <c r="H31" s="2" t="s">
        <v>81</v>
      </c>
      <c r="I31" s="10" t="s">
        <v>82</v>
      </c>
      <c r="J31" t="s">
        <v>871</v>
      </c>
      <c r="L31" t="s">
        <v>864</v>
      </c>
      <c r="M31" s="148">
        <f>94.9/52</f>
        <v>1.8250000000000002</v>
      </c>
      <c r="N31" s="148">
        <f>114.5/52</f>
        <v>2.2019230769230771</v>
      </c>
      <c r="O31" s="148">
        <v>0</v>
      </c>
      <c r="P31" s="147">
        <v>0</v>
      </c>
      <c r="Q31" s="147">
        <f>10340</f>
        <v>10340</v>
      </c>
      <c r="R31" s="166">
        <v>37226</v>
      </c>
      <c r="T31" s="78" t="s">
        <v>1754</v>
      </c>
      <c r="U31" t="s">
        <v>1749</v>
      </c>
      <c r="V31">
        <v>1</v>
      </c>
      <c r="W31" s="77"/>
    </row>
    <row r="32" spans="1:23" x14ac:dyDescent="0.25">
      <c r="A32" s="2" t="s">
        <v>1129</v>
      </c>
      <c r="B32" s="78"/>
      <c r="C32" s="78">
        <v>800</v>
      </c>
      <c r="D32" s="78">
        <v>25</v>
      </c>
      <c r="E32" s="78">
        <v>2</v>
      </c>
      <c r="F32" s="68" t="s">
        <v>629</v>
      </c>
      <c r="G32" t="s">
        <v>630</v>
      </c>
      <c r="H32" s="78" t="s">
        <v>586</v>
      </c>
      <c r="I32" s="10" t="s">
        <v>587</v>
      </c>
      <c r="J32" t="s">
        <v>871</v>
      </c>
      <c r="L32" t="s">
        <v>864</v>
      </c>
      <c r="M32" s="148">
        <f>205/52</f>
        <v>3.9423076923076925</v>
      </c>
      <c r="N32" s="148">
        <f>58.25/52</f>
        <v>1.1201923076923077</v>
      </c>
      <c r="O32" s="148">
        <v>0</v>
      </c>
      <c r="P32" s="147">
        <v>0</v>
      </c>
      <c r="Q32" s="147">
        <f>2805</f>
        <v>2805</v>
      </c>
      <c r="R32" s="166">
        <v>42370</v>
      </c>
      <c r="T32" s="78" t="s">
        <v>1754</v>
      </c>
      <c r="V32">
        <v>1</v>
      </c>
      <c r="W32" s="77"/>
    </row>
    <row r="33" spans="1:20" x14ac:dyDescent="0.25">
      <c r="A33" s="78" t="s">
        <v>1129</v>
      </c>
      <c r="B33" s="78" t="s">
        <v>176</v>
      </c>
      <c r="C33" s="78">
        <v>8</v>
      </c>
      <c r="D33" s="78">
        <v>324</v>
      </c>
      <c r="E33" s="78">
        <v>4</v>
      </c>
      <c r="F33" t="s">
        <v>1075</v>
      </c>
      <c r="G33" t="s">
        <v>1076</v>
      </c>
      <c r="H33" s="2" t="s">
        <v>7</v>
      </c>
      <c r="I33" s="10" t="s">
        <v>8</v>
      </c>
      <c r="J33" t="s">
        <v>871</v>
      </c>
      <c r="K33" s="10"/>
      <c r="L33" t="s">
        <v>856</v>
      </c>
      <c r="M33" s="148">
        <f>1.07615384615385+5.40903846153846+2.76846153846154</f>
        <v>9.2536538461538491</v>
      </c>
      <c r="N33" s="148">
        <f>1.57692307692308</f>
        <v>1.57692307692308</v>
      </c>
      <c r="O33" s="148">
        <v>0</v>
      </c>
      <c r="P33" s="147">
        <v>0</v>
      </c>
      <c r="Q33" s="147">
        <f>15750</f>
        <v>15750</v>
      </c>
      <c r="R33" s="166">
        <v>43647</v>
      </c>
      <c r="T33" s="78" t="s">
        <v>1754</v>
      </c>
    </row>
    <row r="38" spans="1:20" x14ac:dyDescent="0.25">
      <c r="H38" s="78"/>
      <c r="I38" s="78"/>
    </row>
  </sheetData>
  <mergeCells count="5">
    <mergeCell ref="P8:Q8"/>
    <mergeCell ref="B6:E6"/>
    <mergeCell ref="A2:D2"/>
    <mergeCell ref="A3:B3"/>
    <mergeCell ref="M8:O8"/>
  </mergeCells>
  <hyperlinks>
    <hyperlink ref="G10" r:id="rId1" xr:uid="{00000000-0004-0000-0600-000000000000}"/>
    <hyperlink ref="G12" r:id="rId2" xr:uid="{00000000-0004-0000-0600-000001000000}"/>
    <hyperlink ref="G11" r:id="rId3" xr:uid="{00000000-0004-0000-0600-000002000000}"/>
    <hyperlink ref="G13" r:id="rId4" xr:uid="{00000000-0004-0000-0600-000003000000}"/>
    <hyperlink ref="D27" r:id="rId5" display="518_x000a_i" xr:uid="{00000000-0004-0000-0600-000004000000}"/>
    <hyperlink ref="D28" r:id="rId6" display="519_x000a_i" xr:uid="{00000000-0004-0000-0600-000005000000}"/>
  </hyperlinks>
  <pageMargins left="0.7" right="0.7" top="0.75" bottom="0.75" header="0.3" footer="0.3"/>
  <pageSetup paperSize="8" scale="54" fitToHeight="0" orientation="landscape" r:id="rId7"/>
  <tableParts count="1"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Y43"/>
  <sheetViews>
    <sheetView topLeftCell="A7" zoomScale="80" zoomScaleNormal="80" workbookViewId="0">
      <selection activeCell="M34" sqref="M34"/>
    </sheetView>
  </sheetViews>
  <sheetFormatPr defaultRowHeight="15" x14ac:dyDescent="0.25"/>
  <cols>
    <col min="1" max="1" width="9.140625" style="2" customWidth="1"/>
    <col min="2" max="2" width="15.28515625" style="2" customWidth="1"/>
    <col min="3" max="3" width="10.85546875" style="2" customWidth="1"/>
    <col min="4" max="4" width="15.140625" style="2" customWidth="1"/>
    <col min="5" max="5" width="10.42578125" customWidth="1"/>
    <col min="6" max="6" width="29.42578125" customWidth="1"/>
    <col min="7" max="7" width="43.42578125" style="78" customWidth="1"/>
    <col min="8" max="8" width="9.85546875" customWidth="1"/>
    <col min="9" max="9" width="15" bestFit="1" customWidth="1"/>
    <col min="10" max="10" width="39" style="2" bestFit="1" customWidth="1"/>
    <col min="11" max="11" width="13.7109375" customWidth="1"/>
    <col min="12" max="12" width="11.28515625" customWidth="1"/>
    <col min="13" max="13" width="12" bestFit="1" customWidth="1"/>
    <col min="14" max="14" width="10.85546875" bestFit="1" customWidth="1"/>
    <col min="15" max="15" width="12.85546875" bestFit="1" customWidth="1"/>
    <col min="16" max="16" width="13.42578125" bestFit="1" customWidth="1"/>
    <col min="17" max="17" width="13.85546875" bestFit="1" customWidth="1"/>
    <col min="18" max="18" width="15.85546875" customWidth="1"/>
    <col min="19" max="19" width="11.42578125" customWidth="1"/>
    <col min="20" max="20" width="12" style="164" customWidth="1"/>
    <col min="21" max="21" width="36.5703125" bestFit="1" customWidth="1"/>
  </cols>
  <sheetData>
    <row r="1" spans="1:25" ht="18.75" x14ac:dyDescent="0.3">
      <c r="A1" s="5" t="s">
        <v>1161</v>
      </c>
      <c r="B1" s="6"/>
      <c r="C1" s="7"/>
    </row>
    <row r="2" spans="1:25" ht="15.75" thickBot="1" x14ac:dyDescent="0.3">
      <c r="A2" s="184" t="s">
        <v>365</v>
      </c>
      <c r="B2" s="184"/>
      <c r="C2" s="184"/>
      <c r="D2" s="184"/>
    </row>
    <row r="3" spans="1:25" x14ac:dyDescent="0.25">
      <c r="A3" s="184" t="s">
        <v>178</v>
      </c>
      <c r="B3" s="184"/>
      <c r="C3" s="20">
        <f>K7</f>
        <v>31</v>
      </c>
      <c r="J3" s="40" t="s">
        <v>838</v>
      </c>
      <c r="K3" s="41">
        <f>COUNTIFS(L:L,J3)</f>
        <v>20</v>
      </c>
    </row>
    <row r="4" spans="1:25" x14ac:dyDescent="0.25">
      <c r="A4" s="23" t="s">
        <v>311</v>
      </c>
      <c r="B4" s="20"/>
      <c r="D4" s="22"/>
      <c r="J4" s="42" t="s">
        <v>856</v>
      </c>
      <c r="K4" s="43">
        <f>COUNTIFS(L:L,J4)</f>
        <v>8</v>
      </c>
    </row>
    <row r="5" spans="1:25" x14ac:dyDescent="0.25">
      <c r="A5" s="8" t="s">
        <v>179</v>
      </c>
      <c r="C5" s="24"/>
      <c r="D5" s="24"/>
      <c r="J5" s="42" t="s">
        <v>860</v>
      </c>
      <c r="K5" s="43">
        <f>COUNTIFS(L:L,J5)</f>
        <v>0</v>
      </c>
    </row>
    <row r="6" spans="1:25" ht="15.75" thickBot="1" x14ac:dyDescent="0.3">
      <c r="B6"/>
      <c r="C6"/>
      <c r="D6"/>
      <c r="J6" s="44" t="s">
        <v>864</v>
      </c>
      <c r="K6" s="45">
        <f>COUNTIFS(L:L,J6)</f>
        <v>3</v>
      </c>
    </row>
    <row r="7" spans="1:25" x14ac:dyDescent="0.25">
      <c r="J7" s="78"/>
      <c r="K7" s="78">
        <f>SUM(K3:K6)</f>
        <v>31</v>
      </c>
    </row>
    <row r="8" spans="1:25" x14ac:dyDescent="0.25">
      <c r="A8" s="78"/>
      <c r="B8" s="78"/>
      <c r="C8" s="78"/>
      <c r="D8" s="7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5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5" s="68" customFormat="1" ht="15" customHeight="1" x14ac:dyDescent="0.25">
      <c r="A10" s="69" t="s">
        <v>1686</v>
      </c>
      <c r="B10" s="78" t="s">
        <v>401</v>
      </c>
      <c r="C10" s="78">
        <v>98</v>
      </c>
      <c r="D10" s="78">
        <v>116</v>
      </c>
      <c r="E10" s="78">
        <v>3</v>
      </c>
      <c r="F10"/>
      <c r="G10" s="1" t="s">
        <v>463</v>
      </c>
      <c r="H10" s="78" t="s">
        <v>7</v>
      </c>
      <c r="I10" t="s">
        <v>8</v>
      </c>
      <c r="J10" s="22" t="s">
        <v>1140</v>
      </c>
      <c r="K10" s="22"/>
      <c r="L10" t="s">
        <v>838</v>
      </c>
      <c r="M10" s="154"/>
      <c r="N10" s="154"/>
      <c r="O10" s="154"/>
      <c r="P10" s="155"/>
      <c r="Q10" s="155"/>
      <c r="R10"/>
      <c r="S10"/>
      <c r="T10" s="78" t="s">
        <v>1755</v>
      </c>
      <c r="U10" t="s">
        <v>1738</v>
      </c>
      <c r="V10">
        <v>1</v>
      </c>
      <c r="W10" s="86" t="s">
        <v>1122</v>
      </c>
      <c r="X10"/>
      <c r="Y10" s="75"/>
    </row>
    <row r="11" spans="1:25" s="68" customFormat="1" ht="15" customHeight="1" x14ac:dyDescent="0.25">
      <c r="A11" s="69" t="s">
        <v>1686</v>
      </c>
      <c r="B11" s="78" t="s">
        <v>401</v>
      </c>
      <c r="C11" s="78">
        <v>98</v>
      </c>
      <c r="D11" s="78">
        <v>136</v>
      </c>
      <c r="E11" s="78">
        <v>3</v>
      </c>
      <c r="F11" s="175" t="s">
        <v>426</v>
      </c>
      <c r="G11" t="s">
        <v>427</v>
      </c>
      <c r="H11" s="78" t="s">
        <v>15</v>
      </c>
      <c r="I11" t="s">
        <v>16</v>
      </c>
      <c r="J11" s="49" t="s">
        <v>894</v>
      </c>
      <c r="K11" s="49"/>
      <c r="L11" t="s">
        <v>838</v>
      </c>
      <c r="M11" s="154"/>
      <c r="N11" s="154"/>
      <c r="O11" s="154"/>
      <c r="P11" s="155"/>
      <c r="Q11" s="155"/>
      <c r="R11"/>
      <c r="S11"/>
      <c r="T11" s="78" t="s">
        <v>1755</v>
      </c>
      <c r="U11" t="s">
        <v>1712</v>
      </c>
      <c r="V11">
        <v>1</v>
      </c>
      <c r="W11" s="86" t="s">
        <v>1122</v>
      </c>
      <c r="Y11" s="75"/>
    </row>
    <row r="12" spans="1:25" ht="15" customHeight="1" x14ac:dyDescent="0.25">
      <c r="A12" s="2" t="s">
        <v>1686</v>
      </c>
      <c r="B12" s="78" t="s">
        <v>401</v>
      </c>
      <c r="C12" s="78">
        <v>98</v>
      </c>
      <c r="D12" s="78">
        <v>301</v>
      </c>
      <c r="E12" s="78">
        <v>3</v>
      </c>
      <c r="F12" s="140"/>
      <c r="G12" t="s">
        <v>458</v>
      </c>
      <c r="H12" s="78" t="s">
        <v>383</v>
      </c>
      <c r="I12" t="s">
        <v>76</v>
      </c>
      <c r="J12" s="22" t="s">
        <v>410</v>
      </c>
      <c r="K12" s="22"/>
      <c r="L12" t="s">
        <v>856</v>
      </c>
      <c r="M12" s="154"/>
      <c r="N12" s="154"/>
      <c r="O12" s="154"/>
      <c r="P12" s="155"/>
      <c r="Q12" s="155"/>
      <c r="T12" s="78" t="s">
        <v>1755</v>
      </c>
      <c r="U12" s="164" t="s">
        <v>1734</v>
      </c>
      <c r="V12">
        <v>1</v>
      </c>
      <c r="W12" s="86" t="s">
        <v>1122</v>
      </c>
      <c r="Y12" s="73"/>
    </row>
    <row r="13" spans="1:25" ht="15" customHeight="1" x14ac:dyDescent="0.25">
      <c r="A13" s="2" t="s">
        <v>1686</v>
      </c>
      <c r="B13" s="78" t="s">
        <v>401</v>
      </c>
      <c r="C13" s="78">
        <v>98</v>
      </c>
      <c r="D13" s="78">
        <v>302</v>
      </c>
      <c r="E13" s="78">
        <v>3</v>
      </c>
      <c r="F13" s="141"/>
      <c r="G13" t="s">
        <v>459</v>
      </c>
      <c r="H13" s="78" t="s">
        <v>383</v>
      </c>
      <c r="I13" t="s">
        <v>76</v>
      </c>
      <c r="J13" s="22" t="s">
        <v>410</v>
      </c>
      <c r="K13" s="22"/>
      <c r="L13" t="s">
        <v>856</v>
      </c>
      <c r="M13" s="154"/>
      <c r="N13" s="154"/>
      <c r="O13" s="154"/>
      <c r="P13" s="155"/>
      <c r="Q13" s="155"/>
      <c r="T13" s="78" t="s">
        <v>1755</v>
      </c>
      <c r="U13" s="164" t="s">
        <v>1734</v>
      </c>
      <c r="V13">
        <v>1</v>
      </c>
      <c r="W13" s="86" t="s">
        <v>1122</v>
      </c>
      <c r="Y13" s="73"/>
    </row>
    <row r="14" spans="1:25" ht="15" customHeight="1" x14ac:dyDescent="0.25">
      <c r="A14" s="2" t="s">
        <v>1686</v>
      </c>
      <c r="B14" s="78" t="s">
        <v>401</v>
      </c>
      <c r="C14" s="78">
        <v>98</v>
      </c>
      <c r="D14" s="78">
        <v>303</v>
      </c>
      <c r="E14" s="78">
        <v>4</v>
      </c>
      <c r="F14" s="141" t="s">
        <v>1010</v>
      </c>
      <c r="G14" t="s">
        <v>1011</v>
      </c>
      <c r="H14" s="78">
        <v>2100</v>
      </c>
      <c r="I14" t="s">
        <v>8</v>
      </c>
      <c r="J14" s="22" t="s">
        <v>1140</v>
      </c>
      <c r="K14" s="22"/>
      <c r="L14" t="s">
        <v>856</v>
      </c>
      <c r="M14" s="154"/>
      <c r="N14" s="154"/>
      <c r="O14" s="154"/>
      <c r="P14" s="155"/>
      <c r="Q14" s="155"/>
      <c r="T14" s="78" t="s">
        <v>1755</v>
      </c>
      <c r="U14" s="164" t="s">
        <v>1734</v>
      </c>
      <c r="V14">
        <v>1</v>
      </c>
      <c r="W14" s="86" t="s">
        <v>1122</v>
      </c>
      <c r="X14" s="75"/>
      <c r="Y14" s="73"/>
    </row>
    <row r="15" spans="1:25" ht="15" customHeight="1" x14ac:dyDescent="0.25">
      <c r="A15" s="2" t="s">
        <v>1686</v>
      </c>
      <c r="B15" s="78" t="s">
        <v>401</v>
      </c>
      <c r="C15" s="78">
        <v>98</v>
      </c>
      <c r="D15" s="78">
        <v>304</v>
      </c>
      <c r="E15" s="78">
        <v>5</v>
      </c>
      <c r="F15" s="1" t="s">
        <v>426</v>
      </c>
      <c r="G15" t="s">
        <v>427</v>
      </c>
      <c r="H15" s="78">
        <v>3460</v>
      </c>
      <c r="I15" t="s">
        <v>16</v>
      </c>
      <c r="J15" s="49" t="s">
        <v>894</v>
      </c>
      <c r="K15" s="49"/>
      <c r="L15" t="s">
        <v>838</v>
      </c>
      <c r="M15" s="154"/>
      <c r="N15" s="154"/>
      <c r="O15" s="154"/>
      <c r="P15" s="155"/>
      <c r="Q15" s="155"/>
      <c r="T15" s="78" t="s">
        <v>1755</v>
      </c>
      <c r="U15" t="s">
        <v>1733</v>
      </c>
      <c r="V15">
        <v>1</v>
      </c>
      <c r="W15" s="86" t="s">
        <v>1122</v>
      </c>
      <c r="Y15" s="73"/>
    </row>
    <row r="16" spans="1:25" ht="15" customHeight="1" x14ac:dyDescent="0.25">
      <c r="A16" s="2" t="s">
        <v>1686</v>
      </c>
      <c r="B16" s="78" t="s">
        <v>401</v>
      </c>
      <c r="C16" s="78">
        <v>98</v>
      </c>
      <c r="D16" s="78">
        <v>601</v>
      </c>
      <c r="E16" s="78">
        <v>3</v>
      </c>
      <c r="F16" s="176"/>
      <c r="G16" t="s">
        <v>457</v>
      </c>
      <c r="H16" s="78" t="s">
        <v>384</v>
      </c>
      <c r="I16" t="s">
        <v>92</v>
      </c>
      <c r="J16" s="22" t="s">
        <v>410</v>
      </c>
      <c r="K16" s="22"/>
      <c r="L16" t="s">
        <v>838</v>
      </c>
      <c r="M16" s="154"/>
      <c r="N16" s="154"/>
      <c r="O16" s="154"/>
      <c r="P16" s="155"/>
      <c r="Q16" s="155"/>
      <c r="T16" s="78" t="s">
        <v>1755</v>
      </c>
      <c r="U16" s="164" t="s">
        <v>1712</v>
      </c>
      <c r="V16">
        <v>1</v>
      </c>
      <c r="W16" s="86" t="s">
        <v>1122</v>
      </c>
    </row>
    <row r="17" spans="1:24" ht="15" customHeight="1" x14ac:dyDescent="0.25">
      <c r="A17" s="2" t="s">
        <v>1686</v>
      </c>
      <c r="B17" s="78" t="s">
        <v>401</v>
      </c>
      <c r="C17" s="78">
        <v>98</v>
      </c>
      <c r="D17" s="78">
        <v>602</v>
      </c>
      <c r="E17" s="78">
        <v>3</v>
      </c>
      <c r="F17" s="176" t="s">
        <v>449</v>
      </c>
      <c r="G17" t="s">
        <v>448</v>
      </c>
      <c r="H17" s="78" t="s">
        <v>385</v>
      </c>
      <c r="I17" t="s">
        <v>24</v>
      </c>
      <c r="J17" s="22" t="s">
        <v>410</v>
      </c>
      <c r="K17" s="22"/>
      <c r="L17" t="s">
        <v>838</v>
      </c>
      <c r="M17" s="154"/>
      <c r="N17" s="154"/>
      <c r="O17" s="154"/>
      <c r="P17" s="155"/>
      <c r="Q17" s="155"/>
      <c r="T17" s="78" t="s">
        <v>1755</v>
      </c>
      <c r="U17" s="164" t="s">
        <v>1712</v>
      </c>
      <c r="V17">
        <v>1</v>
      </c>
      <c r="W17" s="86" t="s">
        <v>1122</v>
      </c>
    </row>
    <row r="18" spans="1:24" s="68" customFormat="1" ht="15" customHeight="1" x14ac:dyDescent="0.25">
      <c r="A18" s="69" t="s">
        <v>1686</v>
      </c>
      <c r="B18" s="78" t="s">
        <v>401</v>
      </c>
      <c r="C18" s="78">
        <v>98</v>
      </c>
      <c r="D18" s="78">
        <v>605</v>
      </c>
      <c r="E18" s="78">
        <v>3</v>
      </c>
      <c r="F18" s="176"/>
      <c r="G18" t="s">
        <v>460</v>
      </c>
      <c r="H18" s="78" t="s">
        <v>386</v>
      </c>
      <c r="I18" t="s">
        <v>76</v>
      </c>
      <c r="J18" s="22" t="s">
        <v>410</v>
      </c>
      <c r="K18" s="22"/>
      <c r="L18" t="s">
        <v>838</v>
      </c>
      <c r="M18" s="154"/>
      <c r="N18" s="154"/>
      <c r="O18" s="154"/>
      <c r="P18" s="155"/>
      <c r="Q18" s="155"/>
      <c r="R18"/>
      <c r="S18"/>
      <c r="T18" s="78" t="s">
        <v>1755</v>
      </c>
      <c r="U18" s="164" t="s">
        <v>1712</v>
      </c>
      <c r="V18">
        <v>1</v>
      </c>
      <c r="W18" s="86" t="s">
        <v>1122</v>
      </c>
      <c r="X18"/>
    </row>
    <row r="19" spans="1:24" s="68" customFormat="1" ht="15" customHeight="1" x14ac:dyDescent="0.25">
      <c r="A19" s="69" t="s">
        <v>1686</v>
      </c>
      <c r="B19" s="78" t="s">
        <v>401</v>
      </c>
      <c r="C19" s="78">
        <v>98</v>
      </c>
      <c r="D19" s="78">
        <v>607</v>
      </c>
      <c r="E19" s="78">
        <v>3</v>
      </c>
      <c r="F19" s="175"/>
      <c r="G19" t="s">
        <v>450</v>
      </c>
      <c r="H19" s="78" t="s">
        <v>387</v>
      </c>
      <c r="I19" t="s">
        <v>24</v>
      </c>
      <c r="J19" s="22" t="s">
        <v>411</v>
      </c>
      <c r="K19" s="22"/>
      <c r="L19" t="s">
        <v>838</v>
      </c>
      <c r="M19" s="154"/>
      <c r="N19" s="154"/>
      <c r="O19" s="154"/>
      <c r="P19" s="155"/>
      <c r="Q19" s="155"/>
      <c r="R19"/>
      <c r="S19"/>
      <c r="T19" s="78" t="s">
        <v>1755</v>
      </c>
      <c r="U19" s="164" t="s">
        <v>1712</v>
      </c>
      <c r="V19">
        <v>1</v>
      </c>
      <c r="W19" s="86" t="s">
        <v>1122</v>
      </c>
      <c r="X19"/>
    </row>
    <row r="20" spans="1:24" ht="15" customHeight="1" x14ac:dyDescent="0.25">
      <c r="A20" s="2" t="s">
        <v>1686</v>
      </c>
      <c r="B20" s="72" t="s">
        <v>402</v>
      </c>
      <c r="C20" s="72">
        <v>117</v>
      </c>
      <c r="D20" s="52">
        <v>100</v>
      </c>
      <c r="E20" s="72">
        <v>3</v>
      </c>
      <c r="F20" s="140"/>
      <c r="G20" t="s">
        <v>442</v>
      </c>
      <c r="H20" s="78" t="s">
        <v>19</v>
      </c>
      <c r="I20" t="s">
        <v>20</v>
      </c>
      <c r="J20" s="49" t="s">
        <v>894</v>
      </c>
      <c r="K20" s="49"/>
      <c r="L20" t="s">
        <v>864</v>
      </c>
      <c r="M20" s="154"/>
      <c r="N20" s="154"/>
      <c r="O20" s="154"/>
      <c r="P20" s="155"/>
      <c r="Q20" s="155"/>
      <c r="T20" s="78" t="s">
        <v>1755</v>
      </c>
      <c r="U20" t="s">
        <v>1734</v>
      </c>
      <c r="V20">
        <v>1</v>
      </c>
      <c r="W20" s="86" t="s">
        <v>1122</v>
      </c>
    </row>
    <row r="21" spans="1:24" ht="15" customHeight="1" x14ac:dyDescent="0.25">
      <c r="A21" s="2" t="s">
        <v>1686</v>
      </c>
      <c r="B21" s="2" t="s">
        <v>402</v>
      </c>
      <c r="C21" s="2">
        <v>117</v>
      </c>
      <c r="D21" s="2">
        <v>102</v>
      </c>
      <c r="E21" s="2">
        <v>3</v>
      </c>
      <c r="F21" s="140"/>
      <c r="G21" t="s">
        <v>425</v>
      </c>
      <c r="H21" s="78" t="s">
        <v>15</v>
      </c>
      <c r="I21" t="s">
        <v>16</v>
      </c>
      <c r="J21" s="49" t="s">
        <v>894</v>
      </c>
      <c r="K21" s="49"/>
      <c r="L21" t="s">
        <v>838</v>
      </c>
      <c r="M21" s="154"/>
      <c r="N21" s="154"/>
      <c r="O21" s="154"/>
      <c r="P21" s="155"/>
      <c r="Q21" s="155"/>
      <c r="T21" s="78" t="s">
        <v>1755</v>
      </c>
      <c r="U21" s="164" t="s">
        <v>1734</v>
      </c>
      <c r="V21">
        <v>1</v>
      </c>
      <c r="W21" s="86" t="s">
        <v>1122</v>
      </c>
      <c r="X21" s="68"/>
    </row>
    <row r="22" spans="1:24" ht="15" customHeight="1" x14ac:dyDescent="0.25">
      <c r="A22" s="2" t="s">
        <v>1686</v>
      </c>
      <c r="B22" s="78" t="s">
        <v>402</v>
      </c>
      <c r="C22" s="78">
        <v>117</v>
      </c>
      <c r="D22" s="78">
        <v>103</v>
      </c>
      <c r="E22" s="78">
        <v>3</v>
      </c>
      <c r="F22" s="140"/>
      <c r="G22" t="s">
        <v>423</v>
      </c>
      <c r="H22" s="78" t="s">
        <v>96</v>
      </c>
      <c r="I22" t="s">
        <v>97</v>
      </c>
      <c r="J22" s="49" t="s">
        <v>894</v>
      </c>
      <c r="K22" s="49"/>
      <c r="L22" t="s">
        <v>838</v>
      </c>
      <c r="M22" s="154"/>
      <c r="N22" s="154"/>
      <c r="O22" s="154"/>
      <c r="P22" s="155"/>
      <c r="Q22" s="155"/>
      <c r="T22" s="78" t="s">
        <v>1755</v>
      </c>
      <c r="U22" s="164" t="s">
        <v>1734</v>
      </c>
      <c r="V22">
        <v>1</v>
      </c>
      <c r="W22" s="86" t="s">
        <v>1122</v>
      </c>
      <c r="X22" s="68"/>
    </row>
    <row r="23" spans="1:24" ht="15" customHeight="1" x14ac:dyDescent="0.25">
      <c r="A23" s="2" t="s">
        <v>1686</v>
      </c>
      <c r="B23" s="78" t="s">
        <v>402</v>
      </c>
      <c r="C23" s="78">
        <v>117</v>
      </c>
      <c r="D23" s="78">
        <v>105</v>
      </c>
      <c r="E23" s="78">
        <v>3</v>
      </c>
      <c r="F23" s="140"/>
      <c r="G23" t="s">
        <v>418</v>
      </c>
      <c r="H23" s="78" t="s">
        <v>100</v>
      </c>
      <c r="I23" t="s">
        <v>101</v>
      </c>
      <c r="J23" s="49" t="s">
        <v>894</v>
      </c>
      <c r="K23" s="49"/>
      <c r="L23" t="s">
        <v>838</v>
      </c>
      <c r="M23" s="154"/>
      <c r="N23" s="154"/>
      <c r="O23" s="154"/>
      <c r="P23" s="155"/>
      <c r="Q23" s="155"/>
      <c r="T23" s="78" t="s">
        <v>1755</v>
      </c>
      <c r="U23" s="164" t="s">
        <v>1734</v>
      </c>
      <c r="V23">
        <v>1</v>
      </c>
      <c r="W23" s="86" t="s">
        <v>1122</v>
      </c>
      <c r="X23" s="68"/>
    </row>
    <row r="24" spans="1:24" x14ac:dyDescent="0.25">
      <c r="A24" s="2" t="s">
        <v>1686</v>
      </c>
      <c r="B24" s="78" t="s">
        <v>402</v>
      </c>
      <c r="C24" s="78">
        <v>117</v>
      </c>
      <c r="D24" s="78">
        <v>106</v>
      </c>
      <c r="E24" s="78">
        <v>3</v>
      </c>
      <c r="F24" s="140"/>
      <c r="G24" t="s">
        <v>430</v>
      </c>
      <c r="H24" s="78" t="s">
        <v>388</v>
      </c>
      <c r="I24" t="s">
        <v>389</v>
      </c>
      <c r="J24" s="49" t="s">
        <v>894</v>
      </c>
      <c r="K24" s="49"/>
      <c r="L24" t="s">
        <v>838</v>
      </c>
      <c r="M24" s="154"/>
      <c r="N24" s="154"/>
      <c r="O24" s="154"/>
      <c r="P24" s="155"/>
      <c r="Q24" s="155"/>
      <c r="T24" s="78" t="s">
        <v>1755</v>
      </c>
      <c r="U24" s="164" t="s">
        <v>1734</v>
      </c>
      <c r="V24">
        <v>1</v>
      </c>
      <c r="W24" s="86" t="s">
        <v>1122</v>
      </c>
      <c r="X24" s="22"/>
    </row>
    <row r="25" spans="1:24" x14ac:dyDescent="0.25">
      <c r="A25" s="2" t="s">
        <v>1686</v>
      </c>
      <c r="B25" s="78" t="s">
        <v>402</v>
      </c>
      <c r="C25" s="78">
        <v>117</v>
      </c>
      <c r="D25" s="78">
        <v>107</v>
      </c>
      <c r="E25" s="78">
        <v>3</v>
      </c>
      <c r="F25" s="140"/>
      <c r="G25" t="s">
        <v>431</v>
      </c>
      <c r="H25" s="78" t="s">
        <v>390</v>
      </c>
      <c r="I25" t="s">
        <v>391</v>
      </c>
      <c r="J25" s="49" t="s">
        <v>894</v>
      </c>
      <c r="K25" s="49"/>
      <c r="L25" t="s">
        <v>838</v>
      </c>
      <c r="M25" s="154"/>
      <c r="N25" s="154"/>
      <c r="O25" s="154"/>
      <c r="P25" s="155"/>
      <c r="Q25" s="155"/>
      <c r="T25" s="78" t="s">
        <v>1755</v>
      </c>
      <c r="U25" s="164" t="s">
        <v>1734</v>
      </c>
      <c r="V25">
        <v>1</v>
      </c>
      <c r="W25" s="86" t="s">
        <v>1122</v>
      </c>
    </row>
    <row r="26" spans="1:24" x14ac:dyDescent="0.25">
      <c r="A26" s="2" t="s">
        <v>1686</v>
      </c>
      <c r="B26" s="2" t="s">
        <v>402</v>
      </c>
      <c r="C26" s="2">
        <v>117</v>
      </c>
      <c r="D26" s="2">
        <v>108</v>
      </c>
      <c r="E26" s="2">
        <v>3</v>
      </c>
      <c r="F26" s="140"/>
      <c r="G26" t="s">
        <v>432</v>
      </c>
      <c r="H26" s="78" t="s">
        <v>11</v>
      </c>
      <c r="I26" t="s">
        <v>12</v>
      </c>
      <c r="J26" s="49" t="s">
        <v>894</v>
      </c>
      <c r="K26" s="49"/>
      <c r="L26" t="s">
        <v>838</v>
      </c>
      <c r="M26" s="154"/>
      <c r="N26" s="154"/>
      <c r="O26" s="154"/>
      <c r="P26" s="155"/>
      <c r="Q26" s="155"/>
      <c r="T26" s="78" t="s">
        <v>1755</v>
      </c>
      <c r="U26" s="164" t="s">
        <v>1734</v>
      </c>
      <c r="V26">
        <v>1</v>
      </c>
      <c r="W26" s="86" t="s">
        <v>1122</v>
      </c>
    </row>
    <row r="27" spans="1:24" x14ac:dyDescent="0.25">
      <c r="A27" s="2" t="s">
        <v>1686</v>
      </c>
      <c r="B27" s="2" t="s">
        <v>402</v>
      </c>
      <c r="C27" s="2">
        <v>117</v>
      </c>
      <c r="D27" s="2">
        <v>109</v>
      </c>
      <c r="E27" s="2">
        <v>3</v>
      </c>
      <c r="F27" s="165" t="s">
        <v>428</v>
      </c>
      <c r="G27" t="s">
        <v>428</v>
      </c>
      <c r="H27" s="78" t="s">
        <v>264</v>
      </c>
      <c r="I27" t="s">
        <v>265</v>
      </c>
      <c r="J27" t="s">
        <v>865</v>
      </c>
      <c r="L27" t="s">
        <v>838</v>
      </c>
      <c r="M27" s="154">
        <f>(178.5+14.25)/52</f>
        <v>3.7067307692307692</v>
      </c>
      <c r="N27" s="154">
        <f>48.75/52</f>
        <v>0.9375</v>
      </c>
      <c r="O27" s="154">
        <v>0</v>
      </c>
      <c r="P27" s="155">
        <v>0</v>
      </c>
      <c r="Q27" s="155">
        <f>2362.5</f>
        <v>2362.5</v>
      </c>
      <c r="R27" s="166">
        <v>41974</v>
      </c>
      <c r="T27" s="78" t="s">
        <v>1754</v>
      </c>
      <c r="V27">
        <v>1</v>
      </c>
      <c r="W27" s="86" t="s">
        <v>1122</v>
      </c>
      <c r="X27" s="68"/>
    </row>
    <row r="28" spans="1:24" x14ac:dyDescent="0.25">
      <c r="A28" s="2" t="s">
        <v>1686</v>
      </c>
      <c r="B28" s="2" t="s">
        <v>402</v>
      </c>
      <c r="C28" s="2">
        <v>117</v>
      </c>
      <c r="D28" s="2">
        <v>112</v>
      </c>
      <c r="E28" s="2">
        <v>3</v>
      </c>
      <c r="F28" s="140"/>
      <c r="G28" t="s">
        <v>422</v>
      </c>
      <c r="H28" s="78" t="s">
        <v>392</v>
      </c>
      <c r="I28" t="s">
        <v>393</v>
      </c>
      <c r="J28" s="49" t="s">
        <v>894</v>
      </c>
      <c r="K28" s="49"/>
      <c r="L28" t="s">
        <v>838</v>
      </c>
      <c r="M28" s="154"/>
      <c r="N28" s="154"/>
      <c r="O28" s="154"/>
      <c r="P28" s="155"/>
      <c r="Q28" s="155"/>
      <c r="T28" s="78" t="s">
        <v>1755</v>
      </c>
      <c r="U28" s="164" t="s">
        <v>1734</v>
      </c>
      <c r="V28">
        <v>1</v>
      </c>
      <c r="W28" s="86" t="s">
        <v>1122</v>
      </c>
      <c r="X28" s="68"/>
    </row>
    <row r="29" spans="1:24" x14ac:dyDescent="0.25">
      <c r="A29" s="2" t="s">
        <v>1686</v>
      </c>
      <c r="B29" s="78" t="s">
        <v>402</v>
      </c>
      <c r="C29" s="78">
        <v>117</v>
      </c>
      <c r="D29" s="78">
        <v>113</v>
      </c>
      <c r="E29" s="78">
        <v>3</v>
      </c>
      <c r="F29" s="140"/>
      <c r="G29" t="s">
        <v>421</v>
      </c>
      <c r="H29" s="78" t="s">
        <v>394</v>
      </c>
      <c r="I29" t="s">
        <v>395</v>
      </c>
      <c r="J29" s="49" t="s">
        <v>894</v>
      </c>
      <c r="K29" s="49"/>
      <c r="L29" t="s">
        <v>838</v>
      </c>
      <c r="M29" s="154"/>
      <c r="N29" s="154"/>
      <c r="O29" s="154"/>
      <c r="P29" s="155"/>
      <c r="Q29" s="155"/>
      <c r="T29" s="78" t="s">
        <v>1755</v>
      </c>
      <c r="U29" s="164" t="s">
        <v>1734</v>
      </c>
      <c r="V29">
        <v>1</v>
      </c>
      <c r="W29" s="86" t="s">
        <v>1122</v>
      </c>
      <c r="X29" s="68"/>
    </row>
    <row r="30" spans="1:24" x14ac:dyDescent="0.25">
      <c r="A30" s="2" t="s">
        <v>1686</v>
      </c>
      <c r="B30" s="2" t="s">
        <v>402</v>
      </c>
      <c r="C30" s="2">
        <v>117</v>
      </c>
      <c r="D30" s="2">
        <v>115</v>
      </c>
      <c r="E30" s="2">
        <v>3</v>
      </c>
      <c r="F30" s="140" t="s">
        <v>417</v>
      </c>
      <c r="G30" t="s">
        <v>416</v>
      </c>
      <c r="H30" s="78" t="s">
        <v>396</v>
      </c>
      <c r="I30" t="s">
        <v>397</v>
      </c>
      <c r="J30" s="49" t="s">
        <v>894</v>
      </c>
      <c r="K30" s="49"/>
      <c r="L30" t="s">
        <v>838</v>
      </c>
      <c r="M30" s="154"/>
      <c r="N30" s="154"/>
      <c r="O30" s="154"/>
      <c r="P30" s="155"/>
      <c r="Q30" s="155"/>
      <c r="T30" s="78" t="s">
        <v>1755</v>
      </c>
      <c r="U30" s="164" t="s">
        <v>1734</v>
      </c>
      <c r="V30">
        <v>1</v>
      </c>
      <c r="W30" s="86" t="s">
        <v>1122</v>
      </c>
      <c r="X30" s="68"/>
    </row>
    <row r="31" spans="1:24" x14ac:dyDescent="0.25">
      <c r="A31" s="2" t="s">
        <v>1686</v>
      </c>
      <c r="B31" s="69" t="s">
        <v>402</v>
      </c>
      <c r="C31" s="69">
        <v>117</v>
      </c>
      <c r="D31" s="69">
        <v>116</v>
      </c>
      <c r="E31" s="69">
        <v>3</v>
      </c>
      <c r="F31" s="141"/>
      <c r="G31" s="68" t="s">
        <v>424</v>
      </c>
      <c r="H31" s="69" t="s">
        <v>398</v>
      </c>
      <c r="I31" s="68" t="s">
        <v>399</v>
      </c>
      <c r="J31" s="74" t="s">
        <v>894</v>
      </c>
      <c r="K31" s="74"/>
      <c r="L31" s="68" t="s">
        <v>838</v>
      </c>
      <c r="M31" s="170"/>
      <c r="N31" s="170"/>
      <c r="O31" s="170"/>
      <c r="P31" s="162"/>
      <c r="Q31" s="162"/>
      <c r="R31" s="68"/>
      <c r="S31" s="68"/>
      <c r="T31" s="78" t="s">
        <v>1755</v>
      </c>
      <c r="U31" s="164" t="s">
        <v>1734</v>
      </c>
      <c r="V31" s="68">
        <v>1</v>
      </c>
      <c r="W31" s="86" t="s">
        <v>1122</v>
      </c>
      <c r="X31" s="68"/>
    </row>
    <row r="32" spans="1:24" x14ac:dyDescent="0.25">
      <c r="A32" s="2" t="s">
        <v>1686</v>
      </c>
      <c r="B32" s="69" t="s">
        <v>402</v>
      </c>
      <c r="C32" s="69">
        <v>117</v>
      </c>
      <c r="D32" s="69">
        <v>195</v>
      </c>
      <c r="E32" s="69">
        <v>3</v>
      </c>
      <c r="F32" s="165" t="s">
        <v>464</v>
      </c>
      <c r="G32" s="68" t="s">
        <v>465</v>
      </c>
      <c r="H32" s="69" t="s">
        <v>86</v>
      </c>
      <c r="I32" s="68" t="s">
        <v>87</v>
      </c>
      <c r="J32" s="68" t="s">
        <v>866</v>
      </c>
      <c r="K32" s="68"/>
      <c r="L32" s="68" t="s">
        <v>856</v>
      </c>
      <c r="M32" s="170">
        <v>0</v>
      </c>
      <c r="N32" s="170">
        <v>0</v>
      </c>
      <c r="O32" s="170">
        <v>0</v>
      </c>
      <c r="P32" s="162">
        <v>0</v>
      </c>
      <c r="Q32" s="162">
        <f>4410</f>
        <v>4410</v>
      </c>
      <c r="R32" s="160">
        <v>42309</v>
      </c>
      <c r="S32" s="68"/>
      <c r="T32" s="69" t="s">
        <v>1754</v>
      </c>
      <c r="U32" s="68"/>
      <c r="V32" s="68">
        <v>1</v>
      </c>
      <c r="W32" s="86" t="s">
        <v>1122</v>
      </c>
    </row>
    <row r="33" spans="1:23" x14ac:dyDescent="0.25">
      <c r="A33" s="2" t="s">
        <v>1686</v>
      </c>
      <c r="B33" s="69" t="s">
        <v>404</v>
      </c>
      <c r="C33" s="69">
        <v>138</v>
      </c>
      <c r="D33" s="69">
        <v>103</v>
      </c>
      <c r="E33" s="69">
        <v>3</v>
      </c>
      <c r="F33" s="140"/>
      <c r="G33" s="68" t="s">
        <v>406</v>
      </c>
      <c r="H33" s="69" t="s">
        <v>11</v>
      </c>
      <c r="I33" s="68" t="s">
        <v>12</v>
      </c>
      <c r="J33" s="74" t="s">
        <v>894</v>
      </c>
      <c r="K33" s="74"/>
      <c r="L33" s="68" t="s">
        <v>838</v>
      </c>
      <c r="M33" s="170"/>
      <c r="N33" s="170"/>
      <c r="O33" s="170"/>
      <c r="P33" s="162"/>
      <c r="Q33" s="162"/>
      <c r="R33" s="68"/>
      <c r="S33" s="68"/>
      <c r="T33" s="69" t="s">
        <v>1755</v>
      </c>
      <c r="U33" s="164" t="s">
        <v>1734</v>
      </c>
      <c r="V33" s="68">
        <v>1</v>
      </c>
      <c r="W33" s="86" t="s">
        <v>1122</v>
      </c>
    </row>
    <row r="34" spans="1:23" x14ac:dyDescent="0.25">
      <c r="A34" s="2" t="s">
        <v>1686</v>
      </c>
      <c r="B34" s="78" t="s">
        <v>176</v>
      </c>
      <c r="C34" s="78">
        <v>8</v>
      </c>
      <c r="D34" s="78">
        <v>190</v>
      </c>
      <c r="E34" s="78">
        <v>3</v>
      </c>
      <c r="F34" t="s">
        <v>648</v>
      </c>
      <c r="G34" t="s">
        <v>649</v>
      </c>
      <c r="H34" s="78" t="s">
        <v>86</v>
      </c>
      <c r="I34" t="s">
        <v>87</v>
      </c>
      <c r="J34" t="s">
        <v>878</v>
      </c>
      <c r="L34" t="s">
        <v>856</v>
      </c>
      <c r="M34" s="154">
        <f>(52*2)/52</f>
        <v>2</v>
      </c>
      <c r="N34" s="154">
        <v>0</v>
      </c>
      <c r="O34" s="154">
        <v>0</v>
      </c>
      <c r="P34" s="155">
        <v>0</v>
      </c>
      <c r="Q34" s="155">
        <f>8050</f>
        <v>8050</v>
      </c>
      <c r="R34" s="166">
        <v>42962</v>
      </c>
      <c r="T34" s="78" t="s">
        <v>1754</v>
      </c>
      <c r="V34">
        <v>1</v>
      </c>
      <c r="W34" s="77" t="s">
        <v>1187</v>
      </c>
    </row>
    <row r="35" spans="1:23" ht="15" customHeight="1" x14ac:dyDescent="0.25">
      <c r="A35" s="2" t="s">
        <v>1686</v>
      </c>
      <c r="B35" s="78" t="s">
        <v>176</v>
      </c>
      <c r="C35" s="78">
        <v>8</v>
      </c>
      <c r="D35" s="78">
        <v>230</v>
      </c>
      <c r="E35" s="2">
        <v>3</v>
      </c>
      <c r="F35" t="s">
        <v>650</v>
      </c>
      <c r="G35" t="s">
        <v>651</v>
      </c>
      <c r="H35" s="78" t="s">
        <v>86</v>
      </c>
      <c r="I35" t="s">
        <v>87</v>
      </c>
      <c r="J35" t="s">
        <v>878</v>
      </c>
      <c r="L35" t="s">
        <v>856</v>
      </c>
      <c r="M35" s="154">
        <f>2.51923076923077+1.80769230769231</f>
        <v>4.3269230769230802</v>
      </c>
      <c r="N35" s="154">
        <v>0</v>
      </c>
      <c r="O35" s="154">
        <v>0</v>
      </c>
      <c r="P35" s="155">
        <v>0</v>
      </c>
      <c r="Q35" s="155">
        <f>20300</f>
        <v>20300</v>
      </c>
      <c r="R35" s="166">
        <v>43586</v>
      </c>
      <c r="T35" s="78" t="s">
        <v>1754</v>
      </c>
      <c r="V35">
        <v>1</v>
      </c>
      <c r="W35" s="77" t="s">
        <v>1187</v>
      </c>
    </row>
    <row r="36" spans="1:23" x14ac:dyDescent="0.25">
      <c r="A36" s="2" t="s">
        <v>1686</v>
      </c>
      <c r="B36" s="78" t="s">
        <v>176</v>
      </c>
      <c r="C36" s="78">
        <v>8</v>
      </c>
      <c r="D36" s="78">
        <v>239</v>
      </c>
      <c r="E36" s="2">
        <v>3</v>
      </c>
      <c r="F36" t="s">
        <v>1055</v>
      </c>
      <c r="G36" t="s">
        <v>645</v>
      </c>
      <c r="H36" s="78">
        <v>2300</v>
      </c>
      <c r="I36" t="s">
        <v>87</v>
      </c>
      <c r="J36" t="s">
        <v>878</v>
      </c>
      <c r="L36" t="s">
        <v>864</v>
      </c>
      <c r="M36" s="154">
        <f>0.5+0.519230769230769+1.57692307692308</f>
        <v>2.5961538461538494</v>
      </c>
      <c r="N36" s="154">
        <v>0</v>
      </c>
      <c r="O36" s="154">
        <f>(2*7)/52</f>
        <v>0.26923076923076922</v>
      </c>
      <c r="P36" s="155">
        <v>0</v>
      </c>
      <c r="Q36" s="155">
        <f>3850</f>
        <v>3850</v>
      </c>
      <c r="R36" s="166">
        <v>43252</v>
      </c>
      <c r="T36" s="78" t="s">
        <v>1754</v>
      </c>
      <c r="V36">
        <v>1</v>
      </c>
      <c r="W36" s="77" t="s">
        <v>1187</v>
      </c>
    </row>
    <row r="37" spans="1:23" x14ac:dyDescent="0.25">
      <c r="A37" s="2" t="s">
        <v>1686</v>
      </c>
      <c r="B37" s="78" t="s">
        <v>176</v>
      </c>
      <c r="C37" s="78">
        <v>8</v>
      </c>
      <c r="D37" s="78">
        <v>240</v>
      </c>
      <c r="E37" s="2">
        <v>3</v>
      </c>
      <c r="F37" t="s">
        <v>644</v>
      </c>
      <c r="G37" t="s">
        <v>645</v>
      </c>
      <c r="H37" s="78" t="s">
        <v>86</v>
      </c>
      <c r="I37" t="s">
        <v>87</v>
      </c>
      <c r="J37" t="s">
        <v>878</v>
      </c>
      <c r="L37" t="s">
        <v>864</v>
      </c>
      <c r="M37" s="154">
        <v>5.7884615384615401</v>
      </c>
      <c r="N37" s="154">
        <v>11.2692307692308</v>
      </c>
      <c r="O37" s="154">
        <f>(2*10)/52</f>
        <v>0.38461538461538464</v>
      </c>
      <c r="P37" s="155">
        <v>0</v>
      </c>
      <c r="Q37" s="155">
        <f>9100</f>
        <v>9100</v>
      </c>
      <c r="R37" s="166">
        <v>43405</v>
      </c>
      <c r="T37" s="78" t="s">
        <v>1754</v>
      </c>
      <c r="V37">
        <v>1</v>
      </c>
      <c r="W37" s="77" t="s">
        <v>1187</v>
      </c>
    </row>
    <row r="38" spans="1:23" x14ac:dyDescent="0.25">
      <c r="A38" s="2" t="s">
        <v>1686</v>
      </c>
      <c r="B38" s="78" t="s">
        <v>619</v>
      </c>
      <c r="C38" s="78">
        <v>14</v>
      </c>
      <c r="D38" s="78">
        <v>806</v>
      </c>
      <c r="E38" s="2">
        <v>3</v>
      </c>
      <c r="F38" t="s">
        <v>655</v>
      </c>
      <c r="G38" t="s">
        <v>656</v>
      </c>
      <c r="H38" s="78" t="s">
        <v>86</v>
      </c>
      <c r="I38" t="s">
        <v>87</v>
      </c>
      <c r="J38" t="s">
        <v>878</v>
      </c>
      <c r="L38" t="s">
        <v>856</v>
      </c>
      <c r="M38" s="154">
        <f>8.19230769230769+1.13461538461538+5.91346153846154</f>
        <v>15.24038461538461</v>
      </c>
      <c r="N38" s="154">
        <v>0</v>
      </c>
      <c r="O38" s="154">
        <f>(2*6)/52</f>
        <v>0.23076923076923078</v>
      </c>
      <c r="P38" s="155">
        <f>21600</f>
        <v>21600</v>
      </c>
      <c r="Q38" s="155">
        <f>16800</f>
        <v>16800</v>
      </c>
      <c r="R38" s="166">
        <v>43435</v>
      </c>
      <c r="T38" s="78" t="s">
        <v>1754</v>
      </c>
      <c r="V38">
        <v>1</v>
      </c>
      <c r="W38" s="77" t="s">
        <v>1187</v>
      </c>
    </row>
    <row r="39" spans="1:23" x14ac:dyDescent="0.25">
      <c r="A39" s="2" t="s">
        <v>1686</v>
      </c>
      <c r="B39" s="78" t="s">
        <v>619</v>
      </c>
      <c r="C39" s="78">
        <v>14</v>
      </c>
      <c r="D39" s="78">
        <v>807</v>
      </c>
      <c r="E39" s="78">
        <v>3</v>
      </c>
      <c r="F39" t="s">
        <v>657</v>
      </c>
      <c r="G39" t="s">
        <v>658</v>
      </c>
      <c r="H39" s="78" t="s">
        <v>86</v>
      </c>
      <c r="I39" t="s">
        <v>87</v>
      </c>
      <c r="J39" t="s">
        <v>878</v>
      </c>
      <c r="L39" t="s">
        <v>856</v>
      </c>
      <c r="M39" s="154">
        <f>12.3076923076923+3.36538461538462+12.0384615384615</f>
        <v>27.711538461538417</v>
      </c>
      <c r="N39" s="154">
        <v>0</v>
      </c>
      <c r="O39" s="154">
        <f>(2*10)/52</f>
        <v>0.38461538461538464</v>
      </c>
      <c r="P39" s="155">
        <f>21600</f>
        <v>21600</v>
      </c>
      <c r="Q39" s="155">
        <f>39550</f>
        <v>39550</v>
      </c>
      <c r="R39" s="166">
        <v>43435</v>
      </c>
      <c r="T39" s="78" t="s">
        <v>1754</v>
      </c>
      <c r="V39">
        <v>1</v>
      </c>
      <c r="W39" s="77" t="s">
        <v>1187</v>
      </c>
    </row>
    <row r="40" spans="1:23" ht="15" customHeight="1" x14ac:dyDescent="0.25">
      <c r="A40" s="2" t="s">
        <v>1686</v>
      </c>
      <c r="B40" s="78" t="s">
        <v>619</v>
      </c>
      <c r="C40" s="2">
        <v>14</v>
      </c>
      <c r="D40" s="2">
        <v>811</v>
      </c>
      <c r="E40" s="2">
        <v>3</v>
      </c>
      <c r="F40" t="s">
        <v>659</v>
      </c>
      <c r="G40" t="s">
        <v>660</v>
      </c>
      <c r="H40" s="78">
        <v>2300</v>
      </c>
      <c r="I40" t="s">
        <v>87</v>
      </c>
      <c r="J40" t="s">
        <v>878</v>
      </c>
      <c r="L40" t="s">
        <v>838</v>
      </c>
      <c r="M40" s="154">
        <f>0.5+0.326923076923077+0.826923076923077</f>
        <v>1.653846153846154</v>
      </c>
      <c r="N40" s="154">
        <v>0</v>
      </c>
      <c r="O40" s="154">
        <v>0</v>
      </c>
      <c r="P40" s="155">
        <v>0</v>
      </c>
      <c r="Q40" s="155">
        <f>3150</f>
        <v>3150</v>
      </c>
      <c r="R40" s="166">
        <v>43435</v>
      </c>
      <c r="T40" s="78" t="s">
        <v>1754</v>
      </c>
      <c r="V40">
        <v>1</v>
      </c>
      <c r="W40" s="77" t="s">
        <v>1187</v>
      </c>
    </row>
    <row r="41" spans="1:23" s="68" customFormat="1" ht="15" customHeight="1" x14ac:dyDescent="0.25">
      <c r="A41" s="78"/>
      <c r="B41" s="78"/>
      <c r="C41" s="78"/>
      <c r="D41" s="78"/>
      <c r="E41"/>
      <c r="F41"/>
      <c r="G41" s="78"/>
      <c r="H41"/>
      <c r="I41"/>
      <c r="J41" s="78"/>
      <c r="K41"/>
      <c r="L41"/>
      <c r="M41"/>
      <c r="T41" s="165"/>
    </row>
    <row r="42" spans="1:23" s="68" customFormat="1" ht="15" customHeight="1" x14ac:dyDescent="0.25">
      <c r="A42" s="78"/>
      <c r="B42" s="78"/>
      <c r="C42" s="78"/>
      <c r="D42" s="78"/>
      <c r="E42"/>
      <c r="F42"/>
      <c r="G42" s="78"/>
      <c r="H42"/>
      <c r="I42"/>
      <c r="J42" s="78"/>
      <c r="K42"/>
      <c r="L42"/>
      <c r="M42"/>
      <c r="T42" s="165"/>
    </row>
    <row r="43" spans="1:23" s="68" customFormat="1" ht="15" customHeight="1" x14ac:dyDescent="0.25">
      <c r="G43" s="69"/>
      <c r="T43" s="165"/>
    </row>
  </sheetData>
  <mergeCells count="4">
    <mergeCell ref="A2:D2"/>
    <mergeCell ref="A3:B3"/>
    <mergeCell ref="M8:O8"/>
    <mergeCell ref="P8:Q8"/>
  </mergeCells>
  <hyperlinks>
    <hyperlink ref="G10" r:id="rId1" xr:uid="{00000000-0004-0000-0800-000000000000}"/>
    <hyperlink ref="G24" r:id="rId2" xr:uid="{00000000-0004-0000-0800-000001000000}"/>
    <hyperlink ref="G25" r:id="rId3" xr:uid="{00000000-0004-0000-0800-000002000000}"/>
    <hyperlink ref="G26" r:id="rId4" xr:uid="{00000000-0004-0000-0800-000003000000}"/>
    <hyperlink ref="G33" r:id="rId5" xr:uid="{00000000-0004-0000-0800-000004000000}"/>
    <hyperlink ref="G12" r:id="rId6" xr:uid="{00000000-0004-0000-0800-000007000000}"/>
  </hyperlinks>
  <pageMargins left="0.25" right="0.25" top="0.75" bottom="0.75" header="0.3" footer="0.3"/>
  <pageSetup paperSize="8" scale="54" orientation="landscape" r:id="rId7"/>
  <tableParts count="1"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W44"/>
  <sheetViews>
    <sheetView zoomScale="70" zoomScaleNormal="70" workbookViewId="0">
      <selection activeCell="G24" sqref="G24"/>
    </sheetView>
  </sheetViews>
  <sheetFormatPr defaultRowHeight="15" x14ac:dyDescent="0.25"/>
  <cols>
    <col min="1" max="1" width="9.140625" style="2" customWidth="1"/>
    <col min="2" max="2" width="19.28515625" style="2" bestFit="1" customWidth="1"/>
    <col min="3" max="3" width="10.85546875" style="2" customWidth="1"/>
    <col min="4" max="4" width="14.7109375" style="2" customWidth="1"/>
    <col min="5" max="5" width="10.42578125" customWidth="1"/>
    <col min="6" max="6" width="39.140625" bestFit="1" customWidth="1"/>
    <col min="7" max="7" width="55.7109375" style="2" customWidth="1"/>
    <col min="8" max="8" width="9.85546875" style="10" customWidth="1"/>
    <col min="9" max="9" width="15" bestFit="1" customWidth="1"/>
    <col min="10" max="10" width="21" style="2" bestFit="1" customWidth="1"/>
    <col min="11" max="11" width="14.140625" customWidth="1"/>
    <col min="12" max="12" width="11.28515625" customWidth="1"/>
    <col min="13" max="13" width="11.5703125" customWidth="1"/>
    <col min="14" max="14" width="10.42578125" customWidth="1"/>
    <col min="15" max="15" width="12.7109375" customWidth="1"/>
    <col min="16" max="16" width="8.28515625" bestFit="1" customWidth="1"/>
    <col min="17" max="17" width="13.85546875" bestFit="1" customWidth="1"/>
    <col min="18" max="18" width="15.5703125" customWidth="1"/>
    <col min="19" max="19" width="11.28515625" customWidth="1"/>
    <col min="20" max="20" width="12.28515625" style="164" customWidth="1"/>
    <col min="21" max="21" width="33.5703125" customWidth="1"/>
    <col min="23" max="23" width="9.5703125" customWidth="1"/>
  </cols>
  <sheetData>
    <row r="1" spans="1:23" ht="18.75" x14ac:dyDescent="0.3">
      <c r="A1" s="19" t="s">
        <v>845</v>
      </c>
      <c r="B1" s="6"/>
      <c r="C1" s="7"/>
    </row>
    <row r="2" spans="1:23" ht="15.75" thickBot="1" x14ac:dyDescent="0.3">
      <c r="A2" s="184" t="s">
        <v>365</v>
      </c>
      <c r="B2" s="184"/>
      <c r="C2" s="184"/>
      <c r="D2" s="184"/>
    </row>
    <row r="3" spans="1:23" x14ac:dyDescent="0.25">
      <c r="A3" s="184" t="s">
        <v>178</v>
      </c>
      <c r="B3" s="184"/>
      <c r="C3" s="20">
        <f>K7</f>
        <v>35</v>
      </c>
      <c r="J3" s="40" t="s">
        <v>838</v>
      </c>
      <c r="K3" s="41">
        <f>COUNTIFS(L:L,J3)</f>
        <v>4</v>
      </c>
    </row>
    <row r="4" spans="1:23" x14ac:dyDescent="0.25">
      <c r="A4" s="15" t="s">
        <v>311</v>
      </c>
      <c r="B4" s="20"/>
      <c r="J4" s="42" t="s">
        <v>856</v>
      </c>
      <c r="K4" s="43">
        <f>COUNTIFS(L:L,J4)</f>
        <v>29</v>
      </c>
    </row>
    <row r="5" spans="1:23" x14ac:dyDescent="0.25">
      <c r="A5" s="8" t="s">
        <v>179</v>
      </c>
      <c r="B5"/>
      <c r="C5"/>
      <c r="D5"/>
      <c r="J5" s="42" t="s">
        <v>860</v>
      </c>
      <c r="K5" s="43">
        <f>COUNTIFS(L:L,J5)</f>
        <v>1</v>
      </c>
    </row>
    <row r="6" spans="1:23" ht="15.75" thickBot="1" x14ac:dyDescent="0.3">
      <c r="B6" s="189"/>
      <c r="C6" s="189"/>
      <c r="J6" s="44" t="s">
        <v>864</v>
      </c>
      <c r="K6" s="45">
        <f>COUNTIFS(L:L,J6)</f>
        <v>1</v>
      </c>
    </row>
    <row r="7" spans="1:23" x14ac:dyDescent="0.25">
      <c r="J7" s="78"/>
      <c r="K7" s="78">
        <f>SUM(K3:K6)</f>
        <v>35</v>
      </c>
    </row>
    <row r="8" spans="1:23" x14ac:dyDescent="0.25">
      <c r="A8" s="78"/>
      <c r="B8" s="78"/>
      <c r="C8" s="78"/>
      <c r="D8" s="78"/>
      <c r="G8" s="78"/>
      <c r="H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s="68" customFormat="1" x14ac:dyDescent="0.25">
      <c r="A10" s="69" t="s">
        <v>1123</v>
      </c>
      <c r="B10" s="85" t="s">
        <v>176</v>
      </c>
      <c r="C10" s="81">
        <v>8</v>
      </c>
      <c r="D10" s="80">
        <v>474</v>
      </c>
      <c r="E10" s="80">
        <v>3</v>
      </c>
      <c r="F10" s="174" t="s">
        <v>1128</v>
      </c>
      <c r="G10" s="82" t="s">
        <v>1128</v>
      </c>
      <c r="H10" s="81">
        <v>1610</v>
      </c>
      <c r="I10" s="83" t="s">
        <v>92</v>
      </c>
      <c r="J10" s="84" t="s">
        <v>894</v>
      </c>
      <c r="L10" t="s">
        <v>838</v>
      </c>
      <c r="M10" s="154"/>
      <c r="N10" s="154"/>
      <c r="O10" s="154"/>
      <c r="P10" s="155"/>
      <c r="Q10" s="155"/>
      <c r="R10" s="166"/>
      <c r="S10"/>
      <c r="T10" s="78" t="s">
        <v>1755</v>
      </c>
      <c r="U10" t="s">
        <v>1734</v>
      </c>
      <c r="V10" s="68">
        <v>1</v>
      </c>
      <c r="W10" s="77"/>
    </row>
    <row r="11" spans="1:23" ht="15" customHeight="1" x14ac:dyDescent="0.25">
      <c r="A11" s="2" t="s">
        <v>1123</v>
      </c>
      <c r="B11" s="78" t="s">
        <v>171</v>
      </c>
      <c r="C11" s="78">
        <v>28</v>
      </c>
      <c r="D11" s="78">
        <v>62</v>
      </c>
      <c r="E11" s="78">
        <v>3</v>
      </c>
      <c r="F11" s="175" t="s">
        <v>620</v>
      </c>
      <c r="G11" t="s">
        <v>621</v>
      </c>
      <c r="H11" s="2" t="s">
        <v>7</v>
      </c>
      <c r="I11" s="10" t="s">
        <v>8</v>
      </c>
      <c r="J11" t="s">
        <v>871</v>
      </c>
      <c r="L11" t="s">
        <v>856</v>
      </c>
      <c r="M11" s="154"/>
      <c r="N11" s="154"/>
      <c r="O11" s="154"/>
      <c r="P11" s="155"/>
      <c r="Q11" s="155"/>
      <c r="T11" s="78" t="s">
        <v>1755</v>
      </c>
      <c r="U11" t="s">
        <v>1717</v>
      </c>
      <c r="V11">
        <v>1</v>
      </c>
      <c r="W11" s="77" t="s">
        <v>1129</v>
      </c>
    </row>
    <row r="12" spans="1:23" ht="15" customHeight="1" x14ac:dyDescent="0.25">
      <c r="A12" s="2" t="s">
        <v>1123</v>
      </c>
      <c r="B12" s="69" t="s">
        <v>171</v>
      </c>
      <c r="C12" s="78">
        <v>28</v>
      </c>
      <c r="D12" s="78">
        <v>63</v>
      </c>
      <c r="E12" s="78">
        <v>3</v>
      </c>
      <c r="F12" t="s">
        <v>1027</v>
      </c>
      <c r="G12" t="s">
        <v>773</v>
      </c>
      <c r="H12" s="2" t="s">
        <v>507</v>
      </c>
      <c r="I12" s="22" t="s">
        <v>76</v>
      </c>
      <c r="J12" t="s">
        <v>1028</v>
      </c>
      <c r="L12" t="s">
        <v>856</v>
      </c>
      <c r="M12" s="154">
        <f>(12+82.5)/52</f>
        <v>1.8173076923076923</v>
      </c>
      <c r="N12" s="154">
        <f>160.8/52</f>
        <v>3.0923076923076924</v>
      </c>
      <c r="O12" s="154">
        <v>0</v>
      </c>
      <c r="P12" s="155">
        <v>0</v>
      </c>
      <c r="Q12" s="155">
        <f>57629.03</f>
        <v>57629.03</v>
      </c>
      <c r="R12" s="166">
        <v>41426</v>
      </c>
      <c r="T12" s="78" t="s">
        <v>1754</v>
      </c>
      <c r="V12">
        <v>1</v>
      </c>
      <c r="W12" s="77"/>
    </row>
    <row r="13" spans="1:23" ht="15" customHeight="1" x14ac:dyDescent="0.25">
      <c r="A13" s="2" t="s">
        <v>1123</v>
      </c>
      <c r="B13" s="69" t="s">
        <v>171</v>
      </c>
      <c r="C13" s="78">
        <v>28</v>
      </c>
      <c r="D13" s="78">
        <v>64</v>
      </c>
      <c r="E13" s="78">
        <v>3</v>
      </c>
      <c r="F13" t="s">
        <v>622</v>
      </c>
      <c r="G13" t="s">
        <v>623</v>
      </c>
      <c r="H13" s="72" t="s">
        <v>67</v>
      </c>
      <c r="I13" s="22" t="s">
        <v>68</v>
      </c>
      <c r="J13" s="65" t="s">
        <v>474</v>
      </c>
      <c r="L13" t="s">
        <v>856</v>
      </c>
      <c r="M13" s="154">
        <f>(12+107.68)/52</f>
        <v>2.3015384615384615</v>
      </c>
      <c r="N13" s="154">
        <f>116/52</f>
        <v>2.2307692307692308</v>
      </c>
      <c r="O13" s="154">
        <v>0</v>
      </c>
      <c r="P13" s="155">
        <v>0</v>
      </c>
      <c r="Q13" s="155">
        <f>49045.16</f>
        <v>49045.16</v>
      </c>
      <c r="R13" s="166">
        <v>41426</v>
      </c>
      <c r="T13" s="78" t="s">
        <v>1754</v>
      </c>
      <c r="V13">
        <v>1</v>
      </c>
      <c r="W13" s="77"/>
    </row>
    <row r="14" spans="1:23" ht="15" customHeight="1" x14ac:dyDescent="0.25">
      <c r="A14" s="2" t="s">
        <v>1123</v>
      </c>
      <c r="B14" s="69" t="s">
        <v>171</v>
      </c>
      <c r="C14" s="78">
        <v>28</v>
      </c>
      <c r="D14" s="78">
        <v>67</v>
      </c>
      <c r="E14" s="78">
        <v>3</v>
      </c>
      <c r="F14" t="s">
        <v>134</v>
      </c>
      <c r="G14" s="68" t="s">
        <v>135</v>
      </c>
      <c r="H14" s="72" t="s">
        <v>19</v>
      </c>
      <c r="I14" s="22" t="s">
        <v>20</v>
      </c>
      <c r="J14" t="s">
        <v>1028</v>
      </c>
      <c r="L14" t="s">
        <v>856</v>
      </c>
      <c r="M14" s="154">
        <f>1.34615384615385+2.15384615384615</f>
        <v>3.5</v>
      </c>
      <c r="N14" s="154">
        <v>0.96153846153846201</v>
      </c>
      <c r="O14" s="154">
        <v>0</v>
      </c>
      <c r="P14" s="155">
        <v>0</v>
      </c>
      <c r="Q14" s="155">
        <f>27300</f>
        <v>27300</v>
      </c>
      <c r="R14" s="166">
        <v>43435</v>
      </c>
      <c r="T14" s="78" t="s">
        <v>1754</v>
      </c>
      <c r="V14">
        <v>1</v>
      </c>
      <c r="W14" s="77"/>
    </row>
    <row r="15" spans="1:23" ht="15" customHeight="1" x14ac:dyDescent="0.25">
      <c r="A15" s="2" t="s">
        <v>1123</v>
      </c>
      <c r="B15" s="69" t="s">
        <v>171</v>
      </c>
      <c r="C15" s="78">
        <v>28</v>
      </c>
      <c r="D15" s="78">
        <v>70</v>
      </c>
      <c r="E15" s="78">
        <v>3</v>
      </c>
      <c r="F15" s="175" t="s">
        <v>128</v>
      </c>
      <c r="G15" s="68" t="s">
        <v>129</v>
      </c>
      <c r="H15" s="72" t="s">
        <v>86</v>
      </c>
      <c r="I15" s="22" t="s">
        <v>87</v>
      </c>
      <c r="J15" s="65" t="s">
        <v>360</v>
      </c>
      <c r="L15" t="s">
        <v>856</v>
      </c>
      <c r="M15" s="154">
        <f>1.45192307692308+1.31903846153846</f>
        <v>2.77096153846154</v>
      </c>
      <c r="N15" s="154">
        <v>0.49038461538461497</v>
      </c>
      <c r="O15" s="154">
        <v>0</v>
      </c>
      <c r="P15" s="155">
        <v>0</v>
      </c>
      <c r="Q15" s="155">
        <f>18550</f>
        <v>18550</v>
      </c>
      <c r="R15" s="166">
        <v>43862</v>
      </c>
      <c r="T15" s="78" t="s">
        <v>1755</v>
      </c>
      <c r="U15" s="164" t="s">
        <v>1716</v>
      </c>
      <c r="V15" s="13">
        <v>1</v>
      </c>
      <c r="W15" s="77"/>
    </row>
    <row r="16" spans="1:23" ht="15" customHeight="1" x14ac:dyDescent="0.25">
      <c r="A16" s="2" t="s">
        <v>1123</v>
      </c>
      <c r="B16" s="69" t="s">
        <v>172</v>
      </c>
      <c r="C16" s="78">
        <v>51</v>
      </c>
      <c r="D16" s="78">
        <v>106</v>
      </c>
      <c r="E16" s="78">
        <v>3</v>
      </c>
      <c r="F16" s="140" t="s">
        <v>136</v>
      </c>
      <c r="G16" s="68" t="s">
        <v>137</v>
      </c>
      <c r="H16" s="78" t="s">
        <v>88</v>
      </c>
      <c r="I16" s="22" t="s">
        <v>89</v>
      </c>
      <c r="J16" s="65" t="s">
        <v>1035</v>
      </c>
      <c r="L16" t="s">
        <v>856</v>
      </c>
      <c r="M16" s="154"/>
      <c r="N16" s="154"/>
      <c r="O16" s="154"/>
      <c r="P16" s="155"/>
      <c r="Q16" s="155"/>
      <c r="T16" s="78" t="s">
        <v>1755</v>
      </c>
      <c r="U16" s="164" t="s">
        <v>1734</v>
      </c>
      <c r="V16">
        <v>1</v>
      </c>
      <c r="W16" s="77"/>
    </row>
    <row r="17" spans="1:23" ht="15" customHeight="1" x14ac:dyDescent="0.25">
      <c r="A17" s="2" t="s">
        <v>1123</v>
      </c>
      <c r="B17" s="69" t="s">
        <v>172</v>
      </c>
      <c r="C17" s="78">
        <v>51</v>
      </c>
      <c r="D17" s="78">
        <v>511</v>
      </c>
      <c r="E17" s="78">
        <v>3</v>
      </c>
      <c r="F17" s="140" t="s">
        <v>138</v>
      </c>
      <c r="G17" s="68" t="s">
        <v>139</v>
      </c>
      <c r="H17" s="78" t="s">
        <v>88</v>
      </c>
      <c r="I17" s="22" t="s">
        <v>89</v>
      </c>
      <c r="J17" s="65" t="s">
        <v>1035</v>
      </c>
      <c r="L17" t="s">
        <v>856</v>
      </c>
      <c r="M17" s="154"/>
      <c r="N17" s="154"/>
      <c r="O17" s="154"/>
      <c r="P17" s="155"/>
      <c r="Q17" s="155"/>
      <c r="T17" s="78" t="s">
        <v>1755</v>
      </c>
      <c r="U17" t="s">
        <v>1734</v>
      </c>
      <c r="V17">
        <v>1</v>
      </c>
      <c r="W17" s="77"/>
    </row>
    <row r="18" spans="1:23" ht="15" customHeight="1" x14ac:dyDescent="0.25">
      <c r="A18" s="2" t="s">
        <v>1123</v>
      </c>
      <c r="B18" s="69" t="s">
        <v>172</v>
      </c>
      <c r="C18" s="78">
        <v>51</v>
      </c>
      <c r="D18" s="78">
        <v>541</v>
      </c>
      <c r="E18" s="78">
        <v>3</v>
      </c>
      <c r="F18" s="140" t="s">
        <v>476</v>
      </c>
      <c r="G18" t="s">
        <v>477</v>
      </c>
      <c r="H18" s="78" t="s">
        <v>102</v>
      </c>
      <c r="I18" s="22" t="s">
        <v>103</v>
      </c>
      <c r="J18" s="65" t="s">
        <v>475</v>
      </c>
      <c r="L18" t="s">
        <v>856</v>
      </c>
      <c r="M18" s="154"/>
      <c r="N18" s="154"/>
      <c r="O18" s="154"/>
      <c r="P18" s="155"/>
      <c r="Q18" s="155"/>
      <c r="T18" s="78" t="s">
        <v>1755</v>
      </c>
      <c r="U18" t="s">
        <v>1734</v>
      </c>
      <c r="V18">
        <v>1</v>
      </c>
      <c r="W18" s="77"/>
    </row>
    <row r="19" spans="1:23" ht="15" customHeight="1" x14ac:dyDescent="0.25">
      <c r="A19" s="2" t="s">
        <v>1123</v>
      </c>
      <c r="B19" s="69" t="s">
        <v>172</v>
      </c>
      <c r="C19" s="78">
        <v>51</v>
      </c>
      <c r="D19" s="78">
        <v>561</v>
      </c>
      <c r="E19" s="78">
        <v>3</v>
      </c>
      <c r="F19" s="175" t="s">
        <v>119</v>
      </c>
      <c r="G19" s="68" t="s">
        <v>120</v>
      </c>
      <c r="H19" s="78" t="s">
        <v>9</v>
      </c>
      <c r="I19" s="22" t="s">
        <v>10</v>
      </c>
      <c r="J19" s="65" t="s">
        <v>362</v>
      </c>
      <c r="L19" t="s">
        <v>856</v>
      </c>
      <c r="M19" s="154"/>
      <c r="N19" s="154"/>
      <c r="O19" s="154"/>
      <c r="P19" s="155"/>
      <c r="Q19" s="155"/>
      <c r="R19" s="166">
        <v>43070</v>
      </c>
      <c r="T19" s="78" t="s">
        <v>1755</v>
      </c>
      <c r="U19" t="s">
        <v>1743</v>
      </c>
      <c r="V19">
        <v>1</v>
      </c>
      <c r="W19" s="77"/>
    </row>
    <row r="20" spans="1:23" ht="15" customHeight="1" x14ac:dyDescent="0.25">
      <c r="A20" s="2" t="s">
        <v>1123</v>
      </c>
      <c r="B20" s="69" t="s">
        <v>172</v>
      </c>
      <c r="C20" s="78">
        <v>51</v>
      </c>
      <c r="D20" s="78">
        <v>571</v>
      </c>
      <c r="E20" s="78">
        <v>3</v>
      </c>
      <c r="F20" s="140" t="s">
        <v>478</v>
      </c>
      <c r="G20" t="s">
        <v>479</v>
      </c>
      <c r="H20" s="78" t="s">
        <v>195</v>
      </c>
      <c r="I20" s="22" t="s">
        <v>196</v>
      </c>
      <c r="J20" s="65" t="s">
        <v>474</v>
      </c>
      <c r="L20" t="s">
        <v>856</v>
      </c>
      <c r="M20" s="154"/>
      <c r="N20" s="154"/>
      <c r="O20" s="154"/>
      <c r="P20" s="155"/>
      <c r="Q20" s="155"/>
      <c r="T20" s="78" t="s">
        <v>1755</v>
      </c>
      <c r="U20" t="s">
        <v>1734</v>
      </c>
      <c r="V20">
        <v>1</v>
      </c>
      <c r="W20" s="77"/>
    </row>
    <row r="21" spans="1:23" x14ac:dyDescent="0.25">
      <c r="A21" s="2" t="s">
        <v>1123</v>
      </c>
      <c r="B21" s="69" t="s">
        <v>172</v>
      </c>
      <c r="C21" s="78">
        <v>51</v>
      </c>
      <c r="D21" s="78">
        <v>581</v>
      </c>
      <c r="E21" s="78">
        <v>3</v>
      </c>
      <c r="F21" s="140" t="s">
        <v>480</v>
      </c>
      <c r="G21" t="s">
        <v>481</v>
      </c>
      <c r="H21" s="78" t="s">
        <v>5</v>
      </c>
      <c r="I21" s="22" t="s">
        <v>6</v>
      </c>
      <c r="J21" s="65" t="s">
        <v>475</v>
      </c>
      <c r="L21" t="s">
        <v>856</v>
      </c>
      <c r="M21" s="154"/>
      <c r="N21" s="154"/>
      <c r="O21" s="154"/>
      <c r="P21" s="155"/>
      <c r="Q21" s="155"/>
      <c r="T21" s="78" t="s">
        <v>1755</v>
      </c>
      <c r="U21" t="s">
        <v>1734</v>
      </c>
      <c r="V21">
        <v>1</v>
      </c>
      <c r="W21" s="77"/>
    </row>
    <row r="22" spans="1:23" ht="15" customHeight="1" x14ac:dyDescent="0.25">
      <c r="A22" s="2" t="s">
        <v>1123</v>
      </c>
      <c r="B22" s="69" t="s">
        <v>172</v>
      </c>
      <c r="C22" s="78">
        <v>51</v>
      </c>
      <c r="D22" s="78">
        <v>591</v>
      </c>
      <c r="E22" s="78">
        <v>3</v>
      </c>
      <c r="F22" s="140" t="s">
        <v>727</v>
      </c>
      <c r="G22" t="s">
        <v>728</v>
      </c>
      <c r="H22" s="78" t="s">
        <v>17</v>
      </c>
      <c r="I22" s="22" t="s">
        <v>18</v>
      </c>
      <c r="J22" s="65" t="s">
        <v>474</v>
      </c>
      <c r="L22" t="s">
        <v>856</v>
      </c>
      <c r="M22" s="154"/>
      <c r="N22" s="154"/>
      <c r="O22" s="154"/>
      <c r="P22" s="155"/>
      <c r="Q22" s="155"/>
      <c r="T22" s="78" t="s">
        <v>1755</v>
      </c>
      <c r="U22" t="s">
        <v>1734</v>
      </c>
      <c r="V22">
        <v>1</v>
      </c>
      <c r="W22" s="77"/>
    </row>
    <row r="23" spans="1:23" ht="15" customHeight="1" x14ac:dyDescent="0.25">
      <c r="A23" s="2" t="s">
        <v>1123</v>
      </c>
      <c r="B23" s="69" t="s">
        <v>172</v>
      </c>
      <c r="C23" s="78">
        <v>51</v>
      </c>
      <c r="D23" s="78">
        <v>601</v>
      </c>
      <c r="E23" s="78">
        <v>3</v>
      </c>
      <c r="F23" s="165" t="s">
        <v>117</v>
      </c>
      <c r="G23" s="68" t="s">
        <v>118</v>
      </c>
      <c r="H23" s="78" t="s">
        <v>90</v>
      </c>
      <c r="I23" s="22" t="s">
        <v>76</v>
      </c>
      <c r="J23"/>
      <c r="L23" t="s">
        <v>856</v>
      </c>
      <c r="M23" s="154">
        <v>1.3365384615384599</v>
      </c>
      <c r="N23" s="154">
        <v>0</v>
      </c>
      <c r="O23" s="154">
        <v>0</v>
      </c>
      <c r="P23" s="155">
        <v>0</v>
      </c>
      <c r="Q23" s="155">
        <v>0</v>
      </c>
      <c r="R23" s="166">
        <v>43435</v>
      </c>
      <c r="T23" s="78" t="s">
        <v>1754</v>
      </c>
      <c r="V23">
        <v>1</v>
      </c>
      <c r="W23" s="77"/>
    </row>
    <row r="24" spans="1:23" ht="15" customHeight="1" x14ac:dyDescent="0.25">
      <c r="A24" s="2" t="s">
        <v>1123</v>
      </c>
      <c r="B24" s="69" t="s">
        <v>172</v>
      </c>
      <c r="C24" s="78">
        <v>51</v>
      </c>
      <c r="D24" s="78">
        <v>621</v>
      </c>
      <c r="E24" s="78">
        <v>3</v>
      </c>
      <c r="F24" s="140" t="s">
        <v>125</v>
      </c>
      <c r="G24" s="1" t="s">
        <v>1131</v>
      </c>
      <c r="H24" s="78">
        <v>2100</v>
      </c>
      <c r="I24" s="10" t="s">
        <v>8</v>
      </c>
      <c r="J24" t="s">
        <v>1031</v>
      </c>
      <c r="L24" t="s">
        <v>856</v>
      </c>
      <c r="M24" s="154"/>
      <c r="N24" s="154"/>
      <c r="O24" s="154"/>
      <c r="P24" s="155"/>
      <c r="Q24" s="155"/>
      <c r="T24" s="78" t="s">
        <v>1755</v>
      </c>
      <c r="U24" t="s">
        <v>1734</v>
      </c>
      <c r="V24">
        <v>1</v>
      </c>
      <c r="W24" s="77"/>
    </row>
    <row r="25" spans="1:23" ht="15" customHeight="1" x14ac:dyDescent="0.25">
      <c r="A25" s="2" t="s">
        <v>1123</v>
      </c>
      <c r="B25" s="69" t="s">
        <v>172</v>
      </c>
      <c r="C25" s="78">
        <v>51</v>
      </c>
      <c r="D25" s="78">
        <v>631</v>
      </c>
      <c r="E25" s="78">
        <v>3</v>
      </c>
      <c r="F25" s="140" t="s">
        <v>130</v>
      </c>
      <c r="G25" s="68" t="s">
        <v>131</v>
      </c>
      <c r="H25" s="78" t="s">
        <v>86</v>
      </c>
      <c r="I25" s="22" t="s">
        <v>87</v>
      </c>
      <c r="J25" t="s">
        <v>1031</v>
      </c>
      <c r="L25" t="s">
        <v>856</v>
      </c>
      <c r="M25" s="154"/>
      <c r="N25" s="154"/>
      <c r="O25" s="154"/>
      <c r="P25" s="155"/>
      <c r="Q25" s="155"/>
      <c r="T25" s="78" t="s">
        <v>1755</v>
      </c>
      <c r="U25" s="164" t="s">
        <v>1734</v>
      </c>
      <c r="V25">
        <v>1</v>
      </c>
      <c r="W25" s="77"/>
    </row>
    <row r="26" spans="1:23" ht="15" customHeight="1" x14ac:dyDescent="0.25">
      <c r="A26" s="2" t="s">
        <v>1123</v>
      </c>
      <c r="B26" s="69" t="s">
        <v>173</v>
      </c>
      <c r="C26" s="78">
        <v>53</v>
      </c>
      <c r="D26" s="78">
        <v>1</v>
      </c>
      <c r="E26" s="78">
        <v>3</v>
      </c>
      <c r="F26" s="140" t="s">
        <v>482</v>
      </c>
      <c r="G26" t="s">
        <v>483</v>
      </c>
      <c r="H26" s="78" t="s">
        <v>69</v>
      </c>
      <c r="I26" s="22" t="s">
        <v>70</v>
      </c>
      <c r="J26" t="s">
        <v>486</v>
      </c>
      <c r="L26" t="s">
        <v>856</v>
      </c>
      <c r="M26" s="154"/>
      <c r="N26" s="154"/>
      <c r="O26" s="154"/>
      <c r="P26" s="155"/>
      <c r="Q26" s="155"/>
      <c r="T26" s="78" t="s">
        <v>1755</v>
      </c>
      <c r="U26" s="164" t="s">
        <v>1734</v>
      </c>
      <c r="V26">
        <v>1</v>
      </c>
      <c r="W26" s="77"/>
    </row>
    <row r="27" spans="1:23" x14ac:dyDescent="0.25">
      <c r="A27" s="2" t="s">
        <v>1123</v>
      </c>
      <c r="B27" s="69" t="s">
        <v>173</v>
      </c>
      <c r="C27" s="78">
        <v>54</v>
      </c>
      <c r="D27" s="78">
        <v>402</v>
      </c>
      <c r="E27" s="78">
        <v>3</v>
      </c>
      <c r="F27" s="140" t="s">
        <v>484</v>
      </c>
      <c r="G27" t="s">
        <v>485</v>
      </c>
      <c r="H27" s="78" t="s">
        <v>25</v>
      </c>
      <c r="I27" s="22" t="s">
        <v>26</v>
      </c>
      <c r="J27" t="s">
        <v>488</v>
      </c>
      <c r="L27" t="s">
        <v>856</v>
      </c>
      <c r="M27" s="154"/>
      <c r="N27" s="154"/>
      <c r="O27" s="154"/>
      <c r="P27" s="155"/>
      <c r="Q27" s="155"/>
      <c r="T27" s="78" t="s">
        <v>1755</v>
      </c>
      <c r="U27" s="164" t="s">
        <v>1734</v>
      </c>
      <c r="V27">
        <v>1</v>
      </c>
      <c r="W27" s="77"/>
    </row>
    <row r="28" spans="1:23" ht="15" customHeight="1" x14ac:dyDescent="0.25">
      <c r="A28" s="2" t="s">
        <v>1123</v>
      </c>
      <c r="B28" s="69" t="s">
        <v>173</v>
      </c>
      <c r="C28" s="78">
        <v>54</v>
      </c>
      <c r="D28" s="78">
        <v>404</v>
      </c>
      <c r="E28" s="78">
        <v>3</v>
      </c>
      <c r="F28" s="175" t="s">
        <v>489</v>
      </c>
      <c r="G28" t="s">
        <v>490</v>
      </c>
      <c r="H28" s="78" t="s">
        <v>467</v>
      </c>
      <c r="I28" s="22" t="s">
        <v>468</v>
      </c>
      <c r="J28" s="64" t="s">
        <v>487</v>
      </c>
      <c r="L28" t="s">
        <v>856</v>
      </c>
      <c r="M28" s="154"/>
      <c r="N28" s="154"/>
      <c r="O28" s="154"/>
      <c r="P28" s="155"/>
      <c r="Q28" s="155"/>
      <c r="T28" s="78" t="s">
        <v>1755</v>
      </c>
      <c r="U28" s="164" t="s">
        <v>1712</v>
      </c>
      <c r="V28">
        <v>1</v>
      </c>
      <c r="W28" s="77"/>
    </row>
    <row r="29" spans="1:23" ht="15" customHeight="1" x14ac:dyDescent="0.25">
      <c r="A29" s="2" t="s">
        <v>1123</v>
      </c>
      <c r="B29" s="69" t="s">
        <v>173</v>
      </c>
      <c r="C29" s="78">
        <v>54</v>
      </c>
      <c r="D29" s="78">
        <v>503</v>
      </c>
      <c r="E29" s="78">
        <v>3</v>
      </c>
      <c r="F29" t="s">
        <v>1032</v>
      </c>
      <c r="G29" s="68" t="s">
        <v>114</v>
      </c>
      <c r="H29" s="78" t="s">
        <v>91</v>
      </c>
      <c r="I29" s="22" t="s">
        <v>92</v>
      </c>
      <c r="J29" t="s">
        <v>1031</v>
      </c>
      <c r="L29" t="s">
        <v>838</v>
      </c>
      <c r="M29" s="154">
        <v>2.1346153846153801</v>
      </c>
      <c r="N29" s="154">
        <v>0</v>
      </c>
      <c r="O29" s="154">
        <v>0</v>
      </c>
      <c r="P29" s="155">
        <v>0</v>
      </c>
      <c r="Q29" s="155">
        <v>0</v>
      </c>
      <c r="R29" s="166">
        <v>43435</v>
      </c>
      <c r="T29" s="78" t="s">
        <v>1754</v>
      </c>
      <c r="V29">
        <v>1</v>
      </c>
      <c r="W29" s="77"/>
    </row>
    <row r="30" spans="1:23" x14ac:dyDescent="0.25">
      <c r="A30" s="2" t="s">
        <v>1123</v>
      </c>
      <c r="B30" s="69" t="s">
        <v>173</v>
      </c>
      <c r="C30" s="78">
        <v>54</v>
      </c>
      <c r="D30" s="78">
        <v>516</v>
      </c>
      <c r="E30" s="78">
        <v>3</v>
      </c>
      <c r="F30" s="140" t="s">
        <v>491</v>
      </c>
      <c r="G30" t="s">
        <v>492</v>
      </c>
      <c r="H30" s="2" t="s">
        <v>25</v>
      </c>
      <c r="I30" s="22" t="s">
        <v>26</v>
      </c>
      <c r="J30" t="s">
        <v>488</v>
      </c>
      <c r="L30" t="s">
        <v>856</v>
      </c>
      <c r="M30" s="154"/>
      <c r="N30" s="154"/>
      <c r="O30" s="154"/>
      <c r="P30" s="155"/>
      <c r="Q30" s="155"/>
      <c r="T30" s="78" t="s">
        <v>1755</v>
      </c>
      <c r="U30" s="164" t="s">
        <v>1734</v>
      </c>
      <c r="V30">
        <v>1</v>
      </c>
      <c r="W30" s="77"/>
    </row>
    <row r="31" spans="1:23" ht="15" customHeight="1" x14ac:dyDescent="0.25">
      <c r="A31" s="2" t="s">
        <v>1123</v>
      </c>
      <c r="B31" s="69" t="s">
        <v>173</v>
      </c>
      <c r="C31" s="78">
        <v>54</v>
      </c>
      <c r="D31" s="78">
        <v>960</v>
      </c>
      <c r="E31" s="78">
        <v>3</v>
      </c>
      <c r="F31" s="140" t="s">
        <v>493</v>
      </c>
      <c r="G31" t="s">
        <v>494</v>
      </c>
      <c r="H31" s="78" t="s">
        <v>9</v>
      </c>
      <c r="I31" s="22" t="s">
        <v>10</v>
      </c>
      <c r="J31" s="62" t="s">
        <v>894</v>
      </c>
      <c r="L31" t="s">
        <v>860</v>
      </c>
      <c r="M31" s="154"/>
      <c r="N31" s="154"/>
      <c r="O31" s="154"/>
      <c r="P31" s="155"/>
      <c r="Q31" s="155"/>
      <c r="T31" s="78" t="s">
        <v>1755</v>
      </c>
      <c r="U31" s="164" t="s">
        <v>1734</v>
      </c>
      <c r="V31">
        <v>1</v>
      </c>
      <c r="W31" s="77"/>
    </row>
    <row r="32" spans="1:23" ht="15" customHeight="1" x14ac:dyDescent="0.25">
      <c r="A32" s="2" t="s">
        <v>1123</v>
      </c>
      <c r="B32" s="69" t="s">
        <v>174</v>
      </c>
      <c r="C32" s="78">
        <v>56</v>
      </c>
      <c r="D32" s="78">
        <v>970</v>
      </c>
      <c r="E32" s="78">
        <v>3</v>
      </c>
      <c r="F32" t="s">
        <v>1033</v>
      </c>
      <c r="G32" s="68" t="s">
        <v>113</v>
      </c>
      <c r="H32" s="2" t="s">
        <v>93</v>
      </c>
      <c r="I32" s="22" t="s">
        <v>92</v>
      </c>
      <c r="J32" t="s">
        <v>1031</v>
      </c>
      <c r="L32" t="s">
        <v>856</v>
      </c>
      <c r="M32" s="154">
        <f>5.36538461538461+3.44230769230769</f>
        <v>8.8076923076922995</v>
      </c>
      <c r="N32" s="154">
        <v>0</v>
      </c>
      <c r="O32" s="154">
        <v>0</v>
      </c>
      <c r="P32" s="155">
        <v>0</v>
      </c>
      <c r="Q32" s="155">
        <f>12687.5</f>
        <v>12687.5</v>
      </c>
      <c r="R32" s="166">
        <v>43862</v>
      </c>
      <c r="T32" s="78" t="s">
        <v>1754</v>
      </c>
      <c r="V32">
        <v>1</v>
      </c>
      <c r="W32" s="77"/>
    </row>
    <row r="33" spans="1:23" ht="15" customHeight="1" x14ac:dyDescent="0.25">
      <c r="A33" s="2" t="s">
        <v>1123</v>
      </c>
      <c r="B33" s="69" t="s">
        <v>472</v>
      </c>
      <c r="C33" s="78">
        <v>61</v>
      </c>
      <c r="D33" s="78">
        <v>140</v>
      </c>
      <c r="E33" s="78">
        <v>3</v>
      </c>
      <c r="F33" t="s">
        <v>541</v>
      </c>
      <c r="G33" t="s">
        <v>542</v>
      </c>
      <c r="H33" s="78" t="s">
        <v>9</v>
      </c>
      <c r="I33" s="22" t="s">
        <v>10</v>
      </c>
      <c r="J33" s="63" t="s">
        <v>894</v>
      </c>
      <c r="L33" t="s">
        <v>864</v>
      </c>
      <c r="M33" s="154"/>
      <c r="N33" s="154"/>
      <c r="O33" s="154"/>
      <c r="P33" s="155"/>
      <c r="Q33" s="155"/>
      <c r="T33" s="78" t="s">
        <v>1755</v>
      </c>
      <c r="U33" s="164" t="s">
        <v>1705</v>
      </c>
      <c r="V33">
        <v>1</v>
      </c>
      <c r="W33" s="77"/>
    </row>
    <row r="34" spans="1:23" x14ac:dyDescent="0.25">
      <c r="A34" s="2" t="s">
        <v>1123</v>
      </c>
      <c r="B34" s="69" t="s">
        <v>472</v>
      </c>
      <c r="C34" s="78">
        <v>61</v>
      </c>
      <c r="D34" s="78">
        <v>141</v>
      </c>
      <c r="E34" s="78">
        <v>3</v>
      </c>
      <c r="F34" s="175" t="s">
        <v>111</v>
      </c>
      <c r="G34" s="68" t="s">
        <v>112</v>
      </c>
      <c r="H34" s="78" t="s">
        <v>94</v>
      </c>
      <c r="I34" s="22" t="s">
        <v>24</v>
      </c>
      <c r="J34" s="65" t="s">
        <v>360</v>
      </c>
      <c r="L34" t="s">
        <v>856</v>
      </c>
      <c r="M34" s="154">
        <f>1.72115384615385+1.88461538461538</f>
        <v>3.6057692307692299</v>
      </c>
      <c r="N34" s="154">
        <v>0.90384615384615397</v>
      </c>
      <c r="O34" s="154">
        <v>0</v>
      </c>
      <c r="P34" s="155">
        <v>0</v>
      </c>
      <c r="Q34" s="155">
        <f>13412.5</f>
        <v>13412.5</v>
      </c>
      <c r="R34" s="166">
        <v>43862</v>
      </c>
      <c r="T34" s="78" t="s">
        <v>1755</v>
      </c>
      <c r="U34" s="164" t="s">
        <v>1716</v>
      </c>
      <c r="V34" s="13">
        <v>1</v>
      </c>
      <c r="W34" s="77"/>
    </row>
    <row r="35" spans="1:23" x14ac:dyDescent="0.25">
      <c r="A35" s="2" t="s">
        <v>1123</v>
      </c>
      <c r="B35" s="69" t="s">
        <v>472</v>
      </c>
      <c r="C35" s="78">
        <v>61</v>
      </c>
      <c r="D35" s="78">
        <v>144</v>
      </c>
      <c r="E35" s="78">
        <v>3</v>
      </c>
      <c r="F35" s="1" t="s">
        <v>1029</v>
      </c>
      <c r="G35" t="s">
        <v>849</v>
      </c>
      <c r="H35" s="2" t="s">
        <v>9</v>
      </c>
      <c r="I35" s="22" t="s">
        <v>10</v>
      </c>
      <c r="J35" t="s">
        <v>1028</v>
      </c>
      <c r="L35" t="s">
        <v>856</v>
      </c>
      <c r="M35" s="154">
        <f>3.53846153846154+1.51846153846154</f>
        <v>5.0569230769230806</v>
      </c>
      <c r="N35" s="154">
        <v>1.6153846153846201</v>
      </c>
      <c r="O35" s="154">
        <v>0</v>
      </c>
      <c r="P35" s="155">
        <v>0</v>
      </c>
      <c r="Q35" s="155">
        <f>9100</f>
        <v>9100</v>
      </c>
      <c r="R35" s="166">
        <v>43556</v>
      </c>
      <c r="T35" s="78" t="s">
        <v>1754</v>
      </c>
      <c r="V35">
        <v>1</v>
      </c>
      <c r="W35" s="77"/>
    </row>
    <row r="36" spans="1:23" x14ac:dyDescent="0.25">
      <c r="A36" s="2" t="s">
        <v>1123</v>
      </c>
      <c r="B36" s="69" t="s">
        <v>472</v>
      </c>
      <c r="C36" s="78">
        <v>61</v>
      </c>
      <c r="D36" s="78">
        <v>145</v>
      </c>
      <c r="E36" s="78">
        <v>3</v>
      </c>
      <c r="F36" t="s">
        <v>1030</v>
      </c>
      <c r="G36" t="s">
        <v>109</v>
      </c>
      <c r="H36" s="78" t="s">
        <v>95</v>
      </c>
      <c r="I36" s="22" t="s">
        <v>24</v>
      </c>
      <c r="J36" t="s">
        <v>1028</v>
      </c>
      <c r="L36" t="s">
        <v>856</v>
      </c>
      <c r="M36" s="154">
        <f>1.41346153846154+0.115384615384615</f>
        <v>1.5288461538461551</v>
      </c>
      <c r="N36" s="154">
        <v>0</v>
      </c>
      <c r="O36" s="154">
        <v>0</v>
      </c>
      <c r="P36" s="155">
        <v>0</v>
      </c>
      <c r="Q36" s="155">
        <v>0</v>
      </c>
      <c r="R36" s="166">
        <v>43435</v>
      </c>
      <c r="T36" s="78" t="s">
        <v>1754</v>
      </c>
      <c r="V36">
        <v>1</v>
      </c>
      <c r="W36" s="77"/>
    </row>
    <row r="37" spans="1:23" x14ac:dyDescent="0.25">
      <c r="A37" s="2" t="s">
        <v>1123</v>
      </c>
      <c r="B37" s="69" t="s">
        <v>472</v>
      </c>
      <c r="C37" s="78">
        <v>61</v>
      </c>
      <c r="D37" s="78">
        <v>154</v>
      </c>
      <c r="E37" s="78">
        <v>3</v>
      </c>
      <c r="F37" s="140" t="s">
        <v>121</v>
      </c>
      <c r="G37" s="68" t="s">
        <v>122</v>
      </c>
      <c r="H37" s="78" t="s">
        <v>9</v>
      </c>
      <c r="I37" s="22" t="s">
        <v>10</v>
      </c>
      <c r="J37" t="s">
        <v>359</v>
      </c>
      <c r="L37" t="s">
        <v>856</v>
      </c>
      <c r="M37" s="154"/>
      <c r="N37" s="154"/>
      <c r="O37" s="154"/>
      <c r="P37" s="155"/>
      <c r="Q37" s="155"/>
      <c r="T37" s="78" t="s">
        <v>1755</v>
      </c>
      <c r="U37" s="164" t="s">
        <v>1734</v>
      </c>
      <c r="V37">
        <v>1</v>
      </c>
      <c r="W37" s="77"/>
    </row>
    <row r="38" spans="1:23" x14ac:dyDescent="0.25">
      <c r="A38" s="2" t="s">
        <v>1123</v>
      </c>
      <c r="B38" s="69" t="s">
        <v>472</v>
      </c>
      <c r="C38" s="78">
        <v>61</v>
      </c>
      <c r="D38" s="78">
        <v>300</v>
      </c>
      <c r="E38" s="78">
        <v>3</v>
      </c>
      <c r="F38" s="140" t="s">
        <v>495</v>
      </c>
      <c r="G38" t="s">
        <v>496</v>
      </c>
      <c r="H38" s="78" t="s">
        <v>9</v>
      </c>
      <c r="I38" s="22" t="s">
        <v>10</v>
      </c>
      <c r="J38" t="s">
        <v>863</v>
      </c>
      <c r="L38" t="s">
        <v>856</v>
      </c>
      <c r="M38" s="154"/>
      <c r="N38" s="154"/>
      <c r="O38" s="154"/>
      <c r="P38" s="155"/>
      <c r="Q38" s="155"/>
      <c r="T38" s="78" t="s">
        <v>1755</v>
      </c>
      <c r="U38" s="164" t="s">
        <v>1734</v>
      </c>
      <c r="V38">
        <v>1</v>
      </c>
      <c r="W38" s="77"/>
    </row>
    <row r="39" spans="1:23" ht="15" customHeight="1" x14ac:dyDescent="0.25">
      <c r="A39" s="2" t="s">
        <v>1123</v>
      </c>
      <c r="B39" s="69" t="s">
        <v>473</v>
      </c>
      <c r="C39" s="78">
        <v>191</v>
      </c>
      <c r="D39" s="78">
        <v>251</v>
      </c>
      <c r="E39" s="78">
        <v>3</v>
      </c>
      <c r="F39" t="s">
        <v>497</v>
      </c>
      <c r="G39" t="s">
        <v>498</v>
      </c>
      <c r="H39" s="78" t="s">
        <v>21</v>
      </c>
      <c r="I39" s="22" t="s">
        <v>22</v>
      </c>
      <c r="J39" s="65" t="s">
        <v>474</v>
      </c>
      <c r="L39" t="s">
        <v>856</v>
      </c>
      <c r="M39" s="154">
        <v>6.0096153846153904</v>
      </c>
      <c r="N39" s="154">
        <v>1.6346153846153799</v>
      </c>
      <c r="O39" s="154">
        <f>(2*3)/52</f>
        <v>0.11538461538461539</v>
      </c>
      <c r="P39" s="155">
        <v>0</v>
      </c>
      <c r="Q39" s="155">
        <v>0</v>
      </c>
      <c r="R39" s="166">
        <v>43831</v>
      </c>
      <c r="T39" s="78" t="s">
        <v>1754</v>
      </c>
      <c r="U39" t="s">
        <v>1766</v>
      </c>
      <c r="V39">
        <v>1</v>
      </c>
      <c r="W39" s="77"/>
    </row>
    <row r="40" spans="1:23" ht="15" customHeight="1" x14ac:dyDescent="0.25">
      <c r="A40" s="2" t="s">
        <v>1123</v>
      </c>
      <c r="B40" s="69" t="s">
        <v>473</v>
      </c>
      <c r="C40" s="78">
        <v>191</v>
      </c>
      <c r="D40" s="78">
        <v>301</v>
      </c>
      <c r="E40" s="78">
        <v>3</v>
      </c>
      <c r="F40" t="s">
        <v>1047</v>
      </c>
      <c r="G40" t="s">
        <v>499</v>
      </c>
      <c r="H40" s="78" t="s">
        <v>469</v>
      </c>
      <c r="I40" s="22" t="s">
        <v>24</v>
      </c>
      <c r="J40" s="67" t="s">
        <v>866</v>
      </c>
      <c r="L40" t="s">
        <v>856</v>
      </c>
      <c r="M40" s="154">
        <f>1.235+1.35557692307692</f>
        <v>2.5905769230769202</v>
      </c>
      <c r="N40" s="154">
        <v>0</v>
      </c>
      <c r="O40" s="154">
        <v>0</v>
      </c>
      <c r="P40" s="155">
        <v>0</v>
      </c>
      <c r="Q40" s="155">
        <f>8288</f>
        <v>8288</v>
      </c>
      <c r="R40" s="166">
        <v>43831</v>
      </c>
      <c r="T40" s="78" t="s">
        <v>1754</v>
      </c>
      <c r="V40" s="13">
        <v>1</v>
      </c>
      <c r="W40" s="77"/>
    </row>
    <row r="41" spans="1:23" ht="15" customHeight="1" x14ac:dyDescent="0.25">
      <c r="A41" s="2" t="s">
        <v>1123</v>
      </c>
      <c r="B41" s="69" t="s">
        <v>473</v>
      </c>
      <c r="C41" s="78">
        <v>191</v>
      </c>
      <c r="D41" s="78">
        <v>402</v>
      </c>
      <c r="E41" s="78">
        <v>3</v>
      </c>
      <c r="F41" t="s">
        <v>1048</v>
      </c>
      <c r="G41" t="s">
        <v>500</v>
      </c>
      <c r="H41" s="78" t="s">
        <v>9</v>
      </c>
      <c r="I41" s="22" t="s">
        <v>10</v>
      </c>
      <c r="J41" s="68" t="s">
        <v>866</v>
      </c>
      <c r="L41" t="s">
        <v>856</v>
      </c>
      <c r="M41" s="154">
        <f>1.41346153846154+1.60576923076923</f>
        <v>3.0192307692307701</v>
      </c>
      <c r="N41" s="154">
        <v>1.1826923076923099</v>
      </c>
      <c r="O41" s="154">
        <v>0</v>
      </c>
      <c r="P41" s="155">
        <v>0</v>
      </c>
      <c r="Q41" s="155">
        <f>7588</f>
        <v>7588</v>
      </c>
      <c r="R41" s="166">
        <v>43831</v>
      </c>
      <c r="T41" s="78" t="s">
        <v>1754</v>
      </c>
      <c r="V41" s="13">
        <v>1</v>
      </c>
      <c r="W41" s="77"/>
    </row>
    <row r="42" spans="1:23" x14ac:dyDescent="0.25">
      <c r="A42" s="2" t="s">
        <v>1123</v>
      </c>
      <c r="B42" s="69" t="s">
        <v>473</v>
      </c>
      <c r="C42" s="69">
        <v>191</v>
      </c>
      <c r="D42" s="69">
        <v>403</v>
      </c>
      <c r="E42" s="78">
        <v>3</v>
      </c>
      <c r="F42" s="68" t="s">
        <v>1049</v>
      </c>
      <c r="G42" s="68" t="s">
        <v>501</v>
      </c>
      <c r="H42" s="69" t="s">
        <v>470</v>
      </c>
      <c r="I42" s="70" t="s">
        <v>24</v>
      </c>
      <c r="J42" s="68" t="s">
        <v>866</v>
      </c>
      <c r="L42" s="68" t="s">
        <v>838</v>
      </c>
      <c r="M42" s="170">
        <f>0.721153846153846+1.25</f>
        <v>1.971153846153846</v>
      </c>
      <c r="N42" s="170">
        <v>0</v>
      </c>
      <c r="O42" s="170">
        <v>0</v>
      </c>
      <c r="P42" s="162">
        <v>0</v>
      </c>
      <c r="Q42" s="162">
        <f>10325</f>
        <v>10325</v>
      </c>
      <c r="R42" s="166">
        <v>43831</v>
      </c>
      <c r="S42" s="68"/>
      <c r="T42" s="69" t="s">
        <v>1754</v>
      </c>
      <c r="U42" s="68"/>
      <c r="V42" s="13">
        <v>1</v>
      </c>
      <c r="W42" s="77"/>
    </row>
    <row r="43" spans="1:23" x14ac:dyDescent="0.25">
      <c r="A43" s="2" t="s">
        <v>1123</v>
      </c>
      <c r="B43" s="69" t="s">
        <v>473</v>
      </c>
      <c r="C43" s="78">
        <v>191</v>
      </c>
      <c r="D43" s="78">
        <v>404</v>
      </c>
      <c r="E43" s="78">
        <v>3</v>
      </c>
      <c r="F43" s="140" t="s">
        <v>1050</v>
      </c>
      <c r="G43" t="s">
        <v>502</v>
      </c>
      <c r="H43" s="78" t="s">
        <v>86</v>
      </c>
      <c r="I43" s="22" t="s">
        <v>87</v>
      </c>
      <c r="J43" s="68" t="s">
        <v>1051</v>
      </c>
      <c r="L43" t="s">
        <v>856</v>
      </c>
      <c r="M43" s="154"/>
      <c r="N43" s="154"/>
      <c r="O43" s="154"/>
      <c r="P43" s="155"/>
      <c r="Q43" s="155"/>
      <c r="T43" s="78" t="s">
        <v>1755</v>
      </c>
      <c r="U43" t="s">
        <v>1734</v>
      </c>
      <c r="V43" s="13">
        <v>1</v>
      </c>
      <c r="W43" s="77"/>
    </row>
    <row r="44" spans="1:23" x14ac:dyDescent="0.25">
      <c r="A44" s="2" t="s">
        <v>1123</v>
      </c>
      <c r="B44" s="69" t="s">
        <v>473</v>
      </c>
      <c r="C44" s="78">
        <v>191</v>
      </c>
      <c r="D44" s="78">
        <v>451</v>
      </c>
      <c r="E44" s="78">
        <v>3</v>
      </c>
      <c r="F44" t="s">
        <v>1052</v>
      </c>
      <c r="G44" s="68" t="s">
        <v>503</v>
      </c>
      <c r="H44" s="78" t="s">
        <v>471</v>
      </c>
      <c r="I44" s="22" t="s">
        <v>24</v>
      </c>
      <c r="J44" s="68" t="s">
        <v>866</v>
      </c>
      <c r="L44" t="s">
        <v>838</v>
      </c>
      <c r="M44" s="154">
        <f>1.65384615384615+1.125</f>
        <v>2.7788461538461497</v>
      </c>
      <c r="N44" s="154">
        <v>0</v>
      </c>
      <c r="O44" s="154">
        <v>0</v>
      </c>
      <c r="P44" s="155">
        <v>0</v>
      </c>
      <c r="Q44" s="155">
        <f>10150</f>
        <v>10150</v>
      </c>
      <c r="R44" s="166">
        <v>43831</v>
      </c>
      <c r="T44" s="78" t="s">
        <v>1754</v>
      </c>
      <c r="V44" s="13">
        <v>1</v>
      </c>
      <c r="W44" s="77"/>
    </row>
  </sheetData>
  <mergeCells count="5">
    <mergeCell ref="P8:Q8"/>
    <mergeCell ref="A2:D2"/>
    <mergeCell ref="A3:B3"/>
    <mergeCell ref="B6:C6"/>
    <mergeCell ref="M8:O8"/>
  </mergeCells>
  <hyperlinks>
    <hyperlink ref="F18" r:id="rId1" xr:uid="{00000000-0004-0000-0900-000002000000}"/>
    <hyperlink ref="F20" r:id="rId2" xr:uid="{00000000-0004-0000-0900-000003000000}"/>
    <hyperlink ref="F21" r:id="rId3" xr:uid="{00000000-0004-0000-0900-000004000000}"/>
    <hyperlink ref="F27" r:id="rId4" xr:uid="{00000000-0004-0000-0900-000005000000}"/>
    <hyperlink ref="F28" r:id="rId5" xr:uid="{00000000-0004-0000-0900-000006000000}"/>
    <hyperlink ref="F31" r:id="rId6" xr:uid="{00000000-0004-0000-0900-000007000000}"/>
    <hyperlink ref="F39" r:id="rId7" xr:uid="{00000000-0004-0000-0900-000009000000}"/>
    <hyperlink ref="F33" r:id="rId8" xr:uid="{00000000-0004-0000-0900-00000A000000}"/>
    <hyperlink ref="F22" r:id="rId9" display="Ejendomsselskabet Virum Torv 4 ApS_x000a_Grønnevej 54, Engbakken 64-66,_x000a_Engbakken 64-66 Grønnevej 52-56 Virum Torv 2-4 Frederiksdalsvej 72-74 mfl" xr:uid="{00000000-0004-0000-0900-000010000000}"/>
    <hyperlink ref="C22" r:id="rId10" display="E/F Rytterparken_x000a_Rytterparken 1-115" xr:uid="{00000000-0004-0000-0900-000011000000}"/>
    <hyperlink ref="B22" r:id="rId11" display="732_x000a_i" xr:uid="{00000000-0004-0000-0900-000012000000}"/>
    <hyperlink ref="F12" r:id="rId12" display="Nyvej 8 A-B, 10 A-B_x000a_Nyvej 8 A-B, 10 A-B" xr:uid="{00000000-0004-0000-0900-000015000000}"/>
    <hyperlink ref="F13" r:id="rId13" xr:uid="{00000000-0004-0000-0900-000016000000}"/>
    <hyperlink ref="F26" r:id="rId14" xr:uid="{00000000-0004-0000-0900-000018000000}"/>
    <hyperlink ref="F30" r:id="rId15" xr:uid="{00000000-0004-0000-0900-000019000000}"/>
    <hyperlink ref="F38" r:id="rId16" xr:uid="{00000000-0004-0000-0900-00001C000000}"/>
    <hyperlink ref="F11" r:id="rId17" xr:uid="{00000000-0004-0000-0900-000021000000}"/>
  </hyperlinks>
  <pageMargins left="0.7" right="0.7" top="0.75" bottom="0.75" header="0.3" footer="0.3"/>
  <pageSetup paperSize="8" scale="54" fitToHeight="0" orientation="landscape" r:id="rId18"/>
  <tableParts count="1">
    <tablePart r:id="rId1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X28"/>
  <sheetViews>
    <sheetView zoomScale="80" zoomScaleNormal="80" workbookViewId="0">
      <selection activeCell="P10" sqref="P10"/>
    </sheetView>
  </sheetViews>
  <sheetFormatPr defaultRowHeight="15" x14ac:dyDescent="0.25"/>
  <cols>
    <col min="1" max="1" width="9.140625" style="2"/>
    <col min="2" max="2" width="21.85546875" bestFit="1" customWidth="1"/>
    <col min="3" max="3" width="10.85546875" style="2" customWidth="1"/>
    <col min="4" max="4" width="15.140625" style="2" customWidth="1"/>
    <col min="5" max="5" width="10.42578125" customWidth="1"/>
    <col min="6" max="6" width="25.28515625" bestFit="1" customWidth="1"/>
    <col min="7" max="7" width="39.42578125" style="2" customWidth="1"/>
    <col min="8" max="8" width="9.85546875" style="2" customWidth="1"/>
    <col min="9" max="9" width="15" bestFit="1" customWidth="1"/>
    <col min="10" max="10" width="18" bestFit="1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6" max="16" width="12.7109375" bestFit="1" customWidth="1"/>
    <col min="17" max="17" width="13.7109375" bestFit="1" customWidth="1"/>
    <col min="18" max="18" width="15.85546875" customWidth="1"/>
    <col min="19" max="19" width="11.42578125" customWidth="1"/>
    <col min="20" max="20" width="12" style="164" customWidth="1"/>
    <col min="21" max="21" width="30.140625" customWidth="1"/>
  </cols>
  <sheetData>
    <row r="1" spans="1:24" ht="18.75" x14ac:dyDescent="0.3">
      <c r="A1" s="30" t="s">
        <v>1053</v>
      </c>
      <c r="B1" s="26"/>
      <c r="C1" s="7"/>
    </row>
    <row r="2" spans="1:24" ht="15.75" thickBot="1" x14ac:dyDescent="0.3">
      <c r="A2" s="183" t="s">
        <v>365</v>
      </c>
      <c r="B2" s="183"/>
      <c r="C2" s="183"/>
      <c r="D2" s="183"/>
    </row>
    <row r="3" spans="1:24" x14ac:dyDescent="0.25">
      <c r="A3" s="183" t="s">
        <v>178</v>
      </c>
      <c r="B3" s="183"/>
      <c r="C3" s="20">
        <f>K7</f>
        <v>17</v>
      </c>
      <c r="J3" s="40" t="s">
        <v>838</v>
      </c>
      <c r="K3" s="41">
        <f>COUNTIFS(L:L,J3)</f>
        <v>2</v>
      </c>
    </row>
    <row r="4" spans="1:24" x14ac:dyDescent="0.25">
      <c r="A4" s="29" t="s">
        <v>311</v>
      </c>
      <c r="B4" s="10"/>
      <c r="C4" s="12"/>
      <c r="J4" s="42" t="s">
        <v>856</v>
      </c>
      <c r="K4" s="43">
        <f>COUNTIFS(L:L,J4)</f>
        <v>12</v>
      </c>
    </row>
    <row r="5" spans="1:24" x14ac:dyDescent="0.25">
      <c r="A5" s="8" t="s">
        <v>179</v>
      </c>
      <c r="B5" s="68"/>
      <c r="C5" s="12"/>
      <c r="D5" s="12"/>
      <c r="J5" s="42" t="s">
        <v>860</v>
      </c>
      <c r="K5" s="43">
        <f>COUNTIFS(L:L,J5)</f>
        <v>0</v>
      </c>
    </row>
    <row r="6" spans="1:24" ht="15.75" thickBot="1" x14ac:dyDescent="0.3">
      <c r="B6" s="188"/>
      <c r="C6" s="188"/>
      <c r="J6" s="44" t="s">
        <v>864</v>
      </c>
      <c r="K6" s="45">
        <f>COUNTIFS(L:L,J6)</f>
        <v>3</v>
      </c>
    </row>
    <row r="7" spans="1:24" x14ac:dyDescent="0.25">
      <c r="J7" s="78"/>
      <c r="K7" s="78">
        <f>SUM(K3:K6)</f>
        <v>17</v>
      </c>
    </row>
    <row r="8" spans="1:24" x14ac:dyDescent="0.25">
      <c r="A8" s="78"/>
      <c r="B8" s="78"/>
      <c r="C8" s="78"/>
      <c r="D8" s="78"/>
      <c r="G8" s="78"/>
      <c r="H8"/>
      <c r="K8" s="78"/>
      <c r="M8" s="186" t="s">
        <v>1220</v>
      </c>
      <c r="N8" s="186"/>
      <c r="O8" s="186"/>
      <c r="P8" s="185" t="s">
        <v>1684</v>
      </c>
      <c r="Q8" s="185"/>
    </row>
    <row r="9" spans="1:24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4" ht="15" customHeight="1" x14ac:dyDescent="0.25">
      <c r="A10" s="2" t="s">
        <v>1187</v>
      </c>
      <c r="B10" s="94" t="s">
        <v>176</v>
      </c>
      <c r="C10" s="2">
        <v>8</v>
      </c>
      <c r="D10" s="2">
        <v>188</v>
      </c>
      <c r="E10" s="71">
        <v>3</v>
      </c>
      <c r="F10" t="s">
        <v>755</v>
      </c>
      <c r="G10" t="s">
        <v>756</v>
      </c>
      <c r="H10" s="2" t="s">
        <v>86</v>
      </c>
      <c r="I10" t="s">
        <v>87</v>
      </c>
      <c r="J10" t="s">
        <v>876</v>
      </c>
      <c r="L10" t="s">
        <v>856</v>
      </c>
      <c r="M10" s="148">
        <f>2.53846153846154+5+0.730769230769231</f>
        <v>8.2692307692307718</v>
      </c>
      <c r="N10" s="148">
        <v>0</v>
      </c>
      <c r="O10" s="148">
        <f>(2*6)/52</f>
        <v>0.23076923076923078</v>
      </c>
      <c r="P10" s="147">
        <v>0</v>
      </c>
      <c r="Q10" s="147">
        <f>19250</f>
        <v>19250</v>
      </c>
      <c r="R10" s="166">
        <v>42948</v>
      </c>
      <c r="T10" s="78" t="s">
        <v>1754</v>
      </c>
      <c r="U10" t="s">
        <v>1718</v>
      </c>
      <c r="V10">
        <v>1</v>
      </c>
      <c r="W10" s="77" t="s">
        <v>1122</v>
      </c>
      <c r="X10" s="76"/>
    </row>
    <row r="11" spans="1:24" ht="15" customHeight="1" x14ac:dyDescent="0.25">
      <c r="A11" s="2" t="s">
        <v>1187</v>
      </c>
      <c r="B11" s="94" t="s">
        <v>176</v>
      </c>
      <c r="C11" s="78">
        <v>8</v>
      </c>
      <c r="D11" s="78">
        <v>234</v>
      </c>
      <c r="E11" s="78">
        <v>3</v>
      </c>
      <c r="F11" t="s">
        <v>583</v>
      </c>
      <c r="G11" t="s">
        <v>584</v>
      </c>
      <c r="H11" s="78" t="s">
        <v>86</v>
      </c>
      <c r="I11" t="s">
        <v>87</v>
      </c>
      <c r="J11" t="s">
        <v>876</v>
      </c>
      <c r="L11" t="s">
        <v>856</v>
      </c>
      <c r="M11" s="148">
        <f>1.69230769230769+5.03846153846154</f>
        <v>6.7307692307692299</v>
      </c>
      <c r="N11" s="148">
        <v>1.29807692307692</v>
      </c>
      <c r="O11" s="148">
        <f>(2*8)/52</f>
        <v>0.30769230769230771</v>
      </c>
      <c r="P11" s="147">
        <v>0</v>
      </c>
      <c r="Q11" s="147">
        <f>22400</f>
        <v>22400</v>
      </c>
      <c r="R11" s="166">
        <v>43344</v>
      </c>
      <c r="T11" s="78" t="s">
        <v>1754</v>
      </c>
      <c r="V11">
        <v>1</v>
      </c>
      <c r="W11" s="77" t="s">
        <v>1122</v>
      </c>
      <c r="X11" s="76"/>
    </row>
    <row r="12" spans="1:24" x14ac:dyDescent="0.25">
      <c r="A12" s="2" t="s">
        <v>1187</v>
      </c>
      <c r="B12" s="94" t="s">
        <v>176</v>
      </c>
      <c r="C12" s="78">
        <v>8</v>
      </c>
      <c r="D12" s="78">
        <v>298</v>
      </c>
      <c r="E12" s="78">
        <v>3</v>
      </c>
      <c r="F12" t="s">
        <v>1056</v>
      </c>
      <c r="G12" t="s">
        <v>1057</v>
      </c>
      <c r="H12" s="78">
        <v>2300</v>
      </c>
      <c r="I12" s="78" t="s">
        <v>87</v>
      </c>
      <c r="J12" s="10" t="s">
        <v>876</v>
      </c>
      <c r="K12" s="10"/>
      <c r="L12" s="10" t="s">
        <v>856</v>
      </c>
      <c r="M12" s="154">
        <f>1.69230769230769+5.69230769230769+0.115384615384615</f>
        <v>7.4999999999999947</v>
      </c>
      <c r="N12" s="154">
        <v>2.6538461538461502</v>
      </c>
      <c r="O12" s="154">
        <f>(2*8)/52</f>
        <v>0.30769230769230771</v>
      </c>
      <c r="P12" s="155">
        <v>0</v>
      </c>
      <c r="Q12" s="155">
        <f>25200</f>
        <v>25200</v>
      </c>
      <c r="R12" s="144">
        <v>43631</v>
      </c>
      <c r="S12" s="10"/>
      <c r="T12" s="78" t="s">
        <v>1754</v>
      </c>
      <c r="U12" s="10"/>
      <c r="V12">
        <v>1</v>
      </c>
      <c r="W12" s="77" t="s">
        <v>1122</v>
      </c>
    </row>
    <row r="13" spans="1:24" x14ac:dyDescent="0.25">
      <c r="A13" s="2" t="s">
        <v>1187</v>
      </c>
      <c r="B13" s="94" t="s">
        <v>176</v>
      </c>
      <c r="C13" s="78">
        <v>8</v>
      </c>
      <c r="D13" s="78">
        <v>911</v>
      </c>
      <c r="E13" s="71">
        <v>3</v>
      </c>
      <c r="F13" t="s">
        <v>1061</v>
      </c>
      <c r="G13" t="s">
        <v>1062</v>
      </c>
      <c r="H13" s="78">
        <v>2300</v>
      </c>
      <c r="I13" s="10" t="s">
        <v>87</v>
      </c>
      <c r="J13" t="s">
        <v>876</v>
      </c>
      <c r="L13" t="s">
        <v>856</v>
      </c>
      <c r="M13" s="154">
        <f>0.513076923076923+1.47769230769231+0.625</f>
        <v>2.6157692307692333</v>
      </c>
      <c r="N13" s="154">
        <v>0.40384615384615402</v>
      </c>
      <c r="O13" s="154">
        <v>0</v>
      </c>
      <c r="P13" s="155">
        <v>0</v>
      </c>
      <c r="Q13" s="155">
        <f>9800</f>
        <v>9800</v>
      </c>
      <c r="R13" s="166">
        <v>43831</v>
      </c>
      <c r="T13" s="78" t="s">
        <v>1754</v>
      </c>
      <c r="V13">
        <v>1</v>
      </c>
      <c r="W13" s="77" t="s">
        <v>1122</v>
      </c>
    </row>
    <row r="14" spans="1:24" ht="15" customHeight="1" x14ac:dyDescent="0.25">
      <c r="A14" s="2" t="s">
        <v>1187</v>
      </c>
      <c r="B14" s="94" t="s">
        <v>619</v>
      </c>
      <c r="C14" s="2">
        <v>14</v>
      </c>
      <c r="D14" s="2">
        <v>801</v>
      </c>
      <c r="E14" s="71">
        <v>3</v>
      </c>
      <c r="F14" t="s">
        <v>617</v>
      </c>
      <c r="G14" t="s">
        <v>618</v>
      </c>
      <c r="H14" s="2" t="s">
        <v>86</v>
      </c>
      <c r="I14" t="s">
        <v>87</v>
      </c>
      <c r="J14" t="s">
        <v>876</v>
      </c>
      <c r="L14" t="s">
        <v>856</v>
      </c>
      <c r="M14" s="154">
        <f>515.5/52</f>
        <v>9.9134615384615383</v>
      </c>
      <c r="N14" s="154">
        <f>232/52</f>
        <v>4.4615384615384617</v>
      </c>
      <c r="O14" s="154">
        <f>(2*1)/52</f>
        <v>3.8461538461538464E-2</v>
      </c>
      <c r="P14" s="155">
        <v>0</v>
      </c>
      <c r="Q14" s="155">
        <f>38500</f>
        <v>38500</v>
      </c>
      <c r="R14" s="166">
        <v>42795</v>
      </c>
      <c r="T14" s="78" t="s">
        <v>1754</v>
      </c>
      <c r="V14">
        <v>1</v>
      </c>
      <c r="W14" s="77" t="s">
        <v>1122</v>
      </c>
      <c r="X14" s="76"/>
    </row>
    <row r="15" spans="1:24" ht="15" customHeight="1" x14ac:dyDescent="0.25">
      <c r="A15" s="2" t="s">
        <v>1187</v>
      </c>
      <c r="B15" s="69" t="s">
        <v>171</v>
      </c>
      <c r="C15" s="78">
        <v>28</v>
      </c>
      <c r="D15" s="78">
        <v>61</v>
      </c>
      <c r="E15" s="78">
        <v>3</v>
      </c>
      <c r="F15" t="s">
        <v>1036</v>
      </c>
      <c r="G15" t="s">
        <v>110</v>
      </c>
      <c r="H15" s="78" t="s">
        <v>85</v>
      </c>
      <c r="I15" s="22" t="s">
        <v>24</v>
      </c>
      <c r="J15" s="66" t="s">
        <v>872</v>
      </c>
      <c r="K15" s="66"/>
      <c r="L15" t="s">
        <v>856</v>
      </c>
      <c r="M15" s="154">
        <f>0.413461538461538+1.36538461538462</f>
        <v>1.7788461538461582</v>
      </c>
      <c r="N15" s="154">
        <v>0</v>
      </c>
      <c r="O15" s="154">
        <v>0</v>
      </c>
      <c r="P15" s="155">
        <v>0</v>
      </c>
      <c r="Q15" s="155">
        <f>8050</f>
        <v>8050</v>
      </c>
      <c r="R15" s="166">
        <v>43800</v>
      </c>
      <c r="T15" s="78" t="s">
        <v>1754</v>
      </c>
      <c r="V15" s="13">
        <v>1</v>
      </c>
      <c r="W15" s="77" t="s">
        <v>1123</v>
      </c>
      <c r="X15" s="76"/>
    </row>
    <row r="16" spans="1:24" ht="15" customHeight="1" x14ac:dyDescent="0.25">
      <c r="A16" s="2" t="s">
        <v>1187</v>
      </c>
      <c r="B16" s="69" t="s">
        <v>172</v>
      </c>
      <c r="C16" s="78">
        <v>51</v>
      </c>
      <c r="D16" s="78">
        <v>122</v>
      </c>
      <c r="E16" s="78">
        <v>3</v>
      </c>
      <c r="F16" t="s">
        <v>691</v>
      </c>
      <c r="G16" t="s">
        <v>1043</v>
      </c>
      <c r="H16" s="78" t="s">
        <v>1044</v>
      </c>
      <c r="I16" s="22" t="s">
        <v>24</v>
      </c>
      <c r="J16" s="66" t="s">
        <v>872</v>
      </c>
      <c r="K16" s="66"/>
      <c r="L16" t="s">
        <v>856</v>
      </c>
      <c r="M16" s="154">
        <f>48.27/52</f>
        <v>0.92826923076923085</v>
      </c>
      <c r="N16" s="154">
        <f>126.78/52</f>
        <v>2.438076923076923</v>
      </c>
      <c r="O16" s="154">
        <v>0</v>
      </c>
      <c r="P16" s="155">
        <v>0</v>
      </c>
      <c r="Q16" s="155">
        <f>10645</f>
        <v>10645</v>
      </c>
      <c r="R16" s="166">
        <v>41579</v>
      </c>
      <c r="T16" s="78" t="s">
        <v>1754</v>
      </c>
      <c r="U16" t="s">
        <v>1720</v>
      </c>
      <c r="V16" s="13">
        <v>1</v>
      </c>
      <c r="W16" s="77" t="s">
        <v>1123</v>
      </c>
      <c r="X16" s="76"/>
    </row>
    <row r="17" spans="1:24" ht="15" customHeight="1" x14ac:dyDescent="0.25">
      <c r="A17" s="2" t="s">
        <v>1187</v>
      </c>
      <c r="B17" s="69" t="s">
        <v>172</v>
      </c>
      <c r="C17" s="78">
        <v>51</v>
      </c>
      <c r="D17" s="78">
        <v>276</v>
      </c>
      <c r="E17" s="78">
        <v>3</v>
      </c>
      <c r="F17" s="175" t="s">
        <v>1009</v>
      </c>
      <c r="G17" t="s">
        <v>1037</v>
      </c>
      <c r="H17" s="78" t="s">
        <v>1038</v>
      </c>
      <c r="I17" s="22" t="s">
        <v>24</v>
      </c>
      <c r="J17" s="66" t="s">
        <v>872</v>
      </c>
      <c r="K17" s="66"/>
      <c r="L17" t="s">
        <v>856</v>
      </c>
      <c r="M17" s="154"/>
      <c r="N17" s="154"/>
      <c r="O17" s="154"/>
      <c r="P17" s="155"/>
      <c r="Q17" s="155"/>
      <c r="R17" s="166">
        <v>41579</v>
      </c>
      <c r="T17" s="78" t="s">
        <v>1754</v>
      </c>
      <c r="U17" s="164" t="s">
        <v>1723</v>
      </c>
      <c r="V17" s="13">
        <v>1</v>
      </c>
      <c r="W17" s="77" t="s">
        <v>1123</v>
      </c>
    </row>
    <row r="18" spans="1:24" ht="15" customHeight="1" x14ac:dyDescent="0.25">
      <c r="A18" s="2" t="s">
        <v>1187</v>
      </c>
      <c r="B18" s="69" t="s">
        <v>692</v>
      </c>
      <c r="C18" s="78">
        <v>61</v>
      </c>
      <c r="D18" s="78">
        <v>146</v>
      </c>
      <c r="E18" s="71">
        <v>3</v>
      </c>
      <c r="F18" t="s">
        <v>1039</v>
      </c>
      <c r="G18" t="s">
        <v>694</v>
      </c>
      <c r="H18" s="78" t="s">
        <v>674</v>
      </c>
      <c r="I18" s="22" t="s">
        <v>24</v>
      </c>
      <c r="J18" s="66" t="s">
        <v>872</v>
      </c>
      <c r="K18" s="66"/>
      <c r="L18" t="s">
        <v>856</v>
      </c>
      <c r="M18" s="154">
        <v>1.9230769230769201E-2</v>
      </c>
      <c r="N18" s="154">
        <v>0</v>
      </c>
      <c r="O18" s="154">
        <v>0</v>
      </c>
      <c r="P18" s="155">
        <v>0</v>
      </c>
      <c r="Q18" s="155">
        <f>4375</f>
        <v>4375</v>
      </c>
      <c r="R18" s="166">
        <v>42917</v>
      </c>
      <c r="T18" s="78" t="s">
        <v>1765</v>
      </c>
      <c r="V18" s="13">
        <v>1</v>
      </c>
      <c r="W18" s="77" t="s">
        <v>1123</v>
      </c>
      <c r="X18" s="76"/>
    </row>
    <row r="19" spans="1:24" ht="15" customHeight="1" x14ac:dyDescent="0.25">
      <c r="A19" s="2" t="s">
        <v>1187</v>
      </c>
      <c r="B19" s="69" t="s">
        <v>472</v>
      </c>
      <c r="C19" s="78">
        <v>61</v>
      </c>
      <c r="D19" s="78">
        <v>148</v>
      </c>
      <c r="E19" s="71">
        <v>3</v>
      </c>
      <c r="F19" t="s">
        <v>1040</v>
      </c>
      <c r="G19" t="s">
        <v>776</v>
      </c>
      <c r="H19" s="78" t="s">
        <v>314</v>
      </c>
      <c r="I19" s="22" t="s">
        <v>76</v>
      </c>
      <c r="J19" s="66" t="s">
        <v>872</v>
      </c>
      <c r="K19" s="66"/>
      <c r="L19" t="s">
        <v>856</v>
      </c>
      <c r="M19" s="154">
        <f>(6.4+21.6)/52</f>
        <v>0.53846153846153844</v>
      </c>
      <c r="N19" s="154">
        <f>62.9/52</f>
        <v>1.2096153846153845</v>
      </c>
      <c r="O19" s="154">
        <v>0</v>
      </c>
      <c r="P19" s="155">
        <v>0</v>
      </c>
      <c r="Q19" s="155">
        <f>19974.19</f>
        <v>19974.189999999999</v>
      </c>
      <c r="R19" s="166">
        <v>41426</v>
      </c>
      <c r="T19" s="78" t="s">
        <v>1754</v>
      </c>
      <c r="U19" s="164" t="s">
        <v>1720</v>
      </c>
      <c r="V19" s="13">
        <v>1</v>
      </c>
      <c r="W19" s="77" t="s">
        <v>1123</v>
      </c>
      <c r="X19" s="68"/>
    </row>
    <row r="20" spans="1:24" ht="15" customHeight="1" x14ac:dyDescent="0.25">
      <c r="A20" s="2" t="s">
        <v>1187</v>
      </c>
      <c r="B20" s="69" t="s">
        <v>692</v>
      </c>
      <c r="C20" s="78">
        <v>61</v>
      </c>
      <c r="D20" s="78">
        <v>151</v>
      </c>
      <c r="E20" s="78">
        <v>3</v>
      </c>
      <c r="F20" s="175" t="s">
        <v>1041</v>
      </c>
      <c r="G20" t="s">
        <v>695</v>
      </c>
      <c r="H20" s="78" t="s">
        <v>183</v>
      </c>
      <c r="I20" s="22" t="s">
        <v>24</v>
      </c>
      <c r="J20" s="66" t="s">
        <v>872</v>
      </c>
      <c r="K20" s="66"/>
      <c r="L20" t="s">
        <v>856</v>
      </c>
      <c r="M20" s="154"/>
      <c r="N20" s="154"/>
      <c r="O20" s="154"/>
      <c r="P20" s="155"/>
      <c r="Q20" s="155"/>
      <c r="R20" s="166">
        <v>38596</v>
      </c>
      <c r="T20" s="78" t="s">
        <v>1754</v>
      </c>
      <c r="U20" s="164" t="s">
        <v>1729</v>
      </c>
      <c r="V20" s="13">
        <v>1</v>
      </c>
      <c r="W20" s="77" t="s">
        <v>1130</v>
      </c>
      <c r="X20" s="76"/>
    </row>
    <row r="21" spans="1:24" x14ac:dyDescent="0.25">
      <c r="A21" s="2" t="s">
        <v>1187</v>
      </c>
      <c r="B21" s="69" t="s">
        <v>692</v>
      </c>
      <c r="C21" s="2">
        <v>61</v>
      </c>
      <c r="D21" s="2">
        <v>282</v>
      </c>
      <c r="E21" s="71">
        <v>3</v>
      </c>
      <c r="F21" t="s">
        <v>1042</v>
      </c>
      <c r="G21" t="s">
        <v>696</v>
      </c>
      <c r="H21" s="2" t="s">
        <v>675</v>
      </c>
      <c r="I21" s="22" t="s">
        <v>24</v>
      </c>
      <c r="J21" s="66" t="s">
        <v>872</v>
      </c>
      <c r="K21" s="66"/>
      <c r="L21" t="s">
        <v>856</v>
      </c>
      <c r="M21" s="154">
        <f>32.9/52</f>
        <v>0.63269230769230766</v>
      </c>
      <c r="N21" s="154">
        <f>79.02/52</f>
        <v>1.5196153846153846</v>
      </c>
      <c r="O21" s="154">
        <v>0</v>
      </c>
      <c r="P21" s="155">
        <v>0</v>
      </c>
      <c r="Q21" s="155">
        <f>6440</f>
        <v>6440</v>
      </c>
      <c r="R21" s="166">
        <v>41579</v>
      </c>
      <c r="T21" s="78" t="s">
        <v>1754</v>
      </c>
      <c r="U21" s="164" t="s">
        <v>1720</v>
      </c>
      <c r="V21" s="13">
        <v>1</v>
      </c>
      <c r="W21" s="77" t="s">
        <v>1130</v>
      </c>
    </row>
    <row r="22" spans="1:24" x14ac:dyDescent="0.25">
      <c r="A22" s="2" t="s">
        <v>1187</v>
      </c>
      <c r="B22" s="94" t="s">
        <v>625</v>
      </c>
      <c r="C22" s="78">
        <v>87</v>
      </c>
      <c r="D22" s="78">
        <v>514</v>
      </c>
      <c r="E22" s="78">
        <v>3</v>
      </c>
      <c r="F22" t="s">
        <v>638</v>
      </c>
      <c r="G22" t="s">
        <v>639</v>
      </c>
      <c r="H22" s="78" t="s">
        <v>86</v>
      </c>
      <c r="I22" t="s">
        <v>87</v>
      </c>
      <c r="J22" t="s">
        <v>876</v>
      </c>
      <c r="L22" t="s">
        <v>838</v>
      </c>
      <c r="M22" s="154">
        <f>1.83653846153846+7.20615384615385+2.73557692307692</f>
        <v>11.778269230769229</v>
      </c>
      <c r="N22" s="154">
        <v>0</v>
      </c>
      <c r="O22" s="154">
        <v>0</v>
      </c>
      <c r="P22" s="155">
        <f>(21600+30000)</f>
        <v>51600</v>
      </c>
      <c r="Q22" s="155">
        <f>11900</f>
        <v>11900</v>
      </c>
      <c r="R22" s="166">
        <v>43983</v>
      </c>
      <c r="T22" s="78" t="s">
        <v>1754</v>
      </c>
      <c r="V22">
        <v>1</v>
      </c>
      <c r="W22" s="77" t="s">
        <v>1122</v>
      </c>
    </row>
    <row r="23" spans="1:24" ht="15" customHeight="1" x14ac:dyDescent="0.25">
      <c r="A23" s="2" t="s">
        <v>1187</v>
      </c>
      <c r="B23" s="78" t="s">
        <v>693</v>
      </c>
      <c r="C23" s="78">
        <v>160</v>
      </c>
      <c r="D23" s="78">
        <v>110</v>
      </c>
      <c r="E23" s="78">
        <v>3</v>
      </c>
      <c r="F23" t="s">
        <v>700</v>
      </c>
      <c r="G23" t="s">
        <v>701</v>
      </c>
      <c r="H23" s="78" t="s">
        <v>676</v>
      </c>
      <c r="I23" t="s">
        <v>24</v>
      </c>
      <c r="J23" t="s">
        <v>875</v>
      </c>
      <c r="L23" t="s">
        <v>838</v>
      </c>
      <c r="M23" s="154">
        <f>(180+1407+321)/52</f>
        <v>36.692307692307693</v>
      </c>
      <c r="N23" s="154">
        <f>15/52</f>
        <v>0.28846153846153844</v>
      </c>
      <c r="O23" s="154">
        <f>24/52</f>
        <v>0.46153846153846156</v>
      </c>
      <c r="P23" s="155">
        <f>(21600+30000)</f>
        <v>51600</v>
      </c>
      <c r="Q23" s="155">
        <f>142800</f>
        <v>142800</v>
      </c>
      <c r="R23" s="166">
        <v>42461</v>
      </c>
      <c r="T23" s="78" t="s">
        <v>1754</v>
      </c>
      <c r="V23">
        <v>1</v>
      </c>
      <c r="W23" s="77" t="s">
        <v>1130</v>
      </c>
    </row>
    <row r="24" spans="1:24" ht="15" customHeight="1" x14ac:dyDescent="0.25">
      <c r="A24" s="2" t="s">
        <v>1187</v>
      </c>
      <c r="B24" s="78"/>
      <c r="C24" s="78">
        <v>800</v>
      </c>
      <c r="D24" s="78">
        <v>35</v>
      </c>
      <c r="E24" s="78">
        <v>3</v>
      </c>
      <c r="F24" t="s">
        <v>1045</v>
      </c>
      <c r="G24" s="1" t="s">
        <v>1046</v>
      </c>
      <c r="H24" s="78">
        <v>2900</v>
      </c>
      <c r="I24" s="22" t="s">
        <v>22</v>
      </c>
      <c r="J24" s="66" t="s">
        <v>872</v>
      </c>
      <c r="K24" s="66"/>
      <c r="L24" t="s">
        <v>864</v>
      </c>
      <c r="M24" s="154">
        <f>89/52</f>
        <v>1.7115384615384615</v>
      </c>
      <c r="N24" s="154">
        <v>0</v>
      </c>
      <c r="O24" s="154">
        <v>0</v>
      </c>
      <c r="P24" s="147">
        <v>0</v>
      </c>
      <c r="Q24" s="155">
        <f>2100</f>
        <v>2100</v>
      </c>
      <c r="R24" s="166">
        <v>42644</v>
      </c>
      <c r="T24" s="78" t="s">
        <v>1754</v>
      </c>
      <c r="V24" s="13">
        <v>1</v>
      </c>
      <c r="W24" s="77" t="s">
        <v>1122</v>
      </c>
    </row>
    <row r="25" spans="1:24" ht="15" customHeight="1" x14ac:dyDescent="0.25">
      <c r="A25" s="2" t="s">
        <v>1187</v>
      </c>
      <c r="B25" s="94" t="s">
        <v>709</v>
      </c>
      <c r="C25" s="2">
        <v>800</v>
      </c>
      <c r="D25" s="78">
        <v>48</v>
      </c>
      <c r="E25" s="2">
        <v>3</v>
      </c>
      <c r="F25" t="s">
        <v>785</v>
      </c>
      <c r="G25" t="s">
        <v>786</v>
      </c>
      <c r="H25" s="2" t="s">
        <v>736</v>
      </c>
      <c r="I25" t="s">
        <v>737</v>
      </c>
      <c r="J25" t="s">
        <v>876</v>
      </c>
      <c r="L25" t="s">
        <v>864</v>
      </c>
      <c r="M25" s="154">
        <f>0.375+3.32692313194274+1.56730771064758</f>
        <v>5.2692308425903196</v>
      </c>
      <c r="N25" s="154">
        <v>0</v>
      </c>
      <c r="O25" s="154">
        <f>(12*7)/52</f>
        <v>1.6153846153846154</v>
      </c>
      <c r="P25" s="155">
        <v>0</v>
      </c>
      <c r="Q25" s="155">
        <f>10850</f>
        <v>10850</v>
      </c>
      <c r="R25" s="166">
        <v>42887</v>
      </c>
      <c r="T25" s="78" t="s">
        <v>1754</v>
      </c>
      <c r="V25">
        <v>1</v>
      </c>
      <c r="W25" s="77" t="s">
        <v>1123</v>
      </c>
    </row>
    <row r="26" spans="1:24" x14ac:dyDescent="0.25">
      <c r="A26" s="2" t="s">
        <v>1187</v>
      </c>
      <c r="B26" s="78" t="s">
        <v>709</v>
      </c>
      <c r="C26" s="78">
        <v>800</v>
      </c>
      <c r="D26" s="78">
        <v>60</v>
      </c>
      <c r="E26" s="78">
        <v>3</v>
      </c>
      <c r="F26" s="175" t="s">
        <v>781</v>
      </c>
      <c r="G26" t="s">
        <v>782</v>
      </c>
      <c r="H26" s="78" t="s">
        <v>183</v>
      </c>
      <c r="I26" t="s">
        <v>24</v>
      </c>
      <c r="J26" t="s">
        <v>866</v>
      </c>
      <c r="L26" t="s">
        <v>864</v>
      </c>
      <c r="M26" s="154"/>
      <c r="N26" s="154"/>
      <c r="O26" s="154"/>
      <c r="P26" s="155"/>
      <c r="Q26" s="155"/>
      <c r="R26" s="166">
        <v>42644</v>
      </c>
      <c r="T26" s="78" t="s">
        <v>1754</v>
      </c>
      <c r="U26" t="s">
        <v>1719</v>
      </c>
      <c r="V26">
        <v>1</v>
      </c>
      <c r="W26" s="77" t="s">
        <v>1141</v>
      </c>
    </row>
    <row r="28" spans="1:24" ht="18.75" x14ac:dyDescent="0.3">
      <c r="B28" s="79" t="s">
        <v>1102</v>
      </c>
    </row>
  </sheetData>
  <mergeCells count="5">
    <mergeCell ref="P8:Q8"/>
    <mergeCell ref="A2:D2"/>
    <mergeCell ref="A3:B3"/>
    <mergeCell ref="B6:C6"/>
    <mergeCell ref="M8:O8"/>
  </mergeCells>
  <hyperlinks>
    <hyperlink ref="F25" r:id="rId1" display="E/F Byhuse_x000a_c/o ADVICE Ejd. Adm._x000a_Niels Neergaards Gade" xr:uid="{00000000-0004-0000-0A00-000000000000}"/>
    <hyperlink ref="D14" r:id="rId2" display="801_x000a_i" xr:uid="{00000000-0004-0000-0A00-000001000000}"/>
    <hyperlink ref="F14" r:id="rId3" xr:uid="{00000000-0004-0000-0A00-000002000000}"/>
    <hyperlink ref="F23" r:id="rId4" display="IP Sankt Petri Passage_x000a_Sankt Petri Passage 1-7_x000a_Sankt Petri Passage 5 Nørregade 21 Nørregade 31-33 Larslejsstræde 4-6" xr:uid="{00000000-0004-0000-0900-000023000000}"/>
    <hyperlink ref="F16" r:id="rId5" display="Rømersgade 7 m.fl._x000a_Rømersgade 7_x000a_Rømersgade 7A" xr:uid="{00000000-0004-0000-0900-00001D000000}"/>
    <hyperlink ref="G15" r:id="rId6" xr:uid="{00000000-0004-0000-0900-000020000000}"/>
    <hyperlink ref="F26" r:id="rId7" display="Domus Vista (Fælles have)_x000a_c/o Akelius Management ApS_x000a_Nordens Plads 4" xr:uid="{00000000-0004-0000-0A00-000007000000}"/>
  </hyperlinks>
  <pageMargins left="0.7" right="0.7" top="0.75" bottom="0.75" header="0.3" footer="0.3"/>
  <pageSetup paperSize="8" scale="58" fitToHeight="0" orientation="landscape" r:id="rId8"/>
  <tableParts count="1"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V18"/>
  <sheetViews>
    <sheetView zoomScaleNormal="100" workbookViewId="0">
      <selection activeCell="H44" sqref="H44"/>
    </sheetView>
  </sheetViews>
  <sheetFormatPr defaultRowHeight="15" x14ac:dyDescent="0.25"/>
  <cols>
    <col min="1" max="1" width="9.140625" style="2" customWidth="1"/>
    <col min="2" max="2" width="15.42578125" style="2" bestFit="1" customWidth="1"/>
    <col min="3" max="3" width="9.140625" style="2" customWidth="1"/>
    <col min="4" max="4" width="12" style="2" bestFit="1" customWidth="1"/>
    <col min="5" max="5" width="31.28515625" bestFit="1" customWidth="1"/>
    <col min="6" max="6" width="89.7109375" bestFit="1" customWidth="1"/>
    <col min="7" max="7" width="9.140625" style="2" customWidth="1"/>
    <col min="8" max="8" width="13.85546875" style="2" bestFit="1" customWidth="1"/>
    <col min="9" max="9" width="22.85546875" customWidth="1"/>
    <col min="10" max="10" width="12.140625" style="2" customWidth="1"/>
    <col min="11" max="11" width="10.7109375" bestFit="1" customWidth="1"/>
  </cols>
  <sheetData>
    <row r="1" spans="1:22" ht="18.75" x14ac:dyDescent="0.3">
      <c r="A1" s="19" t="s">
        <v>1101</v>
      </c>
      <c r="B1" s="26"/>
      <c r="C1" s="7"/>
    </row>
    <row r="2" spans="1:22" ht="15.75" thickBot="1" x14ac:dyDescent="0.3">
      <c r="A2" s="183" t="s">
        <v>365</v>
      </c>
      <c r="B2" s="183"/>
      <c r="C2" s="183"/>
      <c r="D2" s="183"/>
    </row>
    <row r="3" spans="1:22" x14ac:dyDescent="0.25">
      <c r="A3" s="183" t="s">
        <v>178</v>
      </c>
      <c r="B3" s="183"/>
      <c r="C3" s="20">
        <f>K7</f>
        <v>0</v>
      </c>
      <c r="J3" s="40" t="s">
        <v>838</v>
      </c>
      <c r="K3" s="41">
        <f>COUNTIFS(L:L,J3)</f>
        <v>0</v>
      </c>
    </row>
    <row r="4" spans="1:22" x14ac:dyDescent="0.25">
      <c r="A4" s="15" t="s">
        <v>311</v>
      </c>
      <c r="C4" s="12"/>
      <c r="J4" s="42" t="s">
        <v>856</v>
      </c>
      <c r="K4" s="43">
        <f>COUNTIFS(L:L,J4)</f>
        <v>0</v>
      </c>
    </row>
    <row r="5" spans="1:22" x14ac:dyDescent="0.25">
      <c r="A5" s="8" t="s">
        <v>179</v>
      </c>
      <c r="C5" s="12"/>
      <c r="D5" s="12"/>
      <c r="J5" s="42" t="s">
        <v>860</v>
      </c>
      <c r="K5" s="43">
        <f>COUNTIFS(L:L,J5)</f>
        <v>0</v>
      </c>
    </row>
    <row r="6" spans="1:22" ht="15.75" thickBot="1" x14ac:dyDescent="0.3">
      <c r="B6" s="189"/>
      <c r="C6" s="189"/>
      <c r="J6" s="44" t="s">
        <v>864</v>
      </c>
      <c r="K6" s="45">
        <f>COUNTIFS(L:L,J6)</f>
        <v>0</v>
      </c>
    </row>
    <row r="7" spans="1:22" x14ac:dyDescent="0.25">
      <c r="J7" s="78"/>
      <c r="K7" s="78">
        <f>SUM(K3:K6)</f>
        <v>0</v>
      </c>
    </row>
    <row r="8" spans="1:22" x14ac:dyDescent="0.25">
      <c r="A8" s="78"/>
      <c r="B8" s="78"/>
      <c r="C8" s="78"/>
      <c r="D8" s="78"/>
      <c r="G8" s="78"/>
      <c r="H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2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1223</v>
      </c>
      <c r="U9" t="s">
        <v>836</v>
      </c>
      <c r="V9" s="77" t="s">
        <v>1127</v>
      </c>
    </row>
    <row r="14" spans="1:22" x14ac:dyDescent="0.25">
      <c r="C14" s="78"/>
      <c r="D14" s="78"/>
      <c r="E14" s="78"/>
    </row>
    <row r="17" spans="11:11" ht="15.75" thickBot="1" x14ac:dyDescent="0.3"/>
    <row r="18" spans="11:11" ht="21.75" thickBot="1" x14ac:dyDescent="0.4">
      <c r="K18" s="39"/>
    </row>
  </sheetData>
  <mergeCells count="5">
    <mergeCell ref="P8:Q8"/>
    <mergeCell ref="A2:D2"/>
    <mergeCell ref="A3:B3"/>
    <mergeCell ref="B6:C6"/>
    <mergeCell ref="M8:O8"/>
  </mergeCells>
  <pageMargins left="0.7" right="0.7" top="0.75" bottom="0.75" header="0.3" footer="0.3"/>
  <pageSetup paperSize="8" scale="5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W38"/>
  <sheetViews>
    <sheetView zoomScale="80" zoomScaleNormal="80" workbookViewId="0">
      <selection activeCell="J48" sqref="J48"/>
    </sheetView>
  </sheetViews>
  <sheetFormatPr defaultRowHeight="15" x14ac:dyDescent="0.25"/>
  <cols>
    <col min="2" max="2" width="19.42578125" style="22" bestFit="1" customWidth="1"/>
    <col min="3" max="3" width="10.85546875" style="2" customWidth="1"/>
    <col min="4" max="4" width="15.140625" style="2" customWidth="1"/>
    <col min="5" max="5" width="10.42578125" customWidth="1"/>
    <col min="6" max="6" width="16.5703125" bestFit="1" customWidth="1"/>
    <col min="7" max="7" width="42.42578125" customWidth="1"/>
    <col min="8" max="8" width="9.85546875" style="2" customWidth="1"/>
    <col min="9" max="9" width="14.5703125" bestFit="1" customWidth="1"/>
    <col min="10" max="10" width="31" style="2" bestFit="1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6" max="16" width="7.7109375" customWidth="1"/>
    <col min="17" max="17" width="12.7109375" bestFit="1" customWidth="1"/>
    <col min="18" max="18" width="15.85546875" customWidth="1"/>
    <col min="19" max="19" width="11.42578125" customWidth="1"/>
    <col min="20" max="20" width="12" style="164" customWidth="1"/>
    <col min="21" max="21" width="25.85546875" customWidth="1"/>
  </cols>
  <sheetData>
    <row r="1" spans="1:23" ht="18.75" x14ac:dyDescent="0.3">
      <c r="A1" s="28" t="s">
        <v>918</v>
      </c>
      <c r="B1" s="35"/>
      <c r="C1" s="7"/>
      <c r="U1" s="164"/>
    </row>
    <row r="2" spans="1:23" ht="15.75" thickBot="1" x14ac:dyDescent="0.3">
      <c r="A2" s="183" t="s">
        <v>917</v>
      </c>
      <c r="B2" s="183"/>
      <c r="C2" s="183"/>
      <c r="D2" s="183"/>
      <c r="U2" s="164"/>
    </row>
    <row r="3" spans="1:23" x14ac:dyDescent="0.25">
      <c r="A3" s="183" t="s">
        <v>178</v>
      </c>
      <c r="B3" s="183"/>
      <c r="C3" s="20">
        <f>K7</f>
        <v>29</v>
      </c>
      <c r="J3" s="40" t="s">
        <v>838</v>
      </c>
      <c r="K3" s="41">
        <f>COUNTIFS(L:L,J3)</f>
        <v>3</v>
      </c>
      <c r="U3" s="164"/>
    </row>
    <row r="4" spans="1:23" x14ac:dyDescent="0.25">
      <c r="A4" s="27" t="s">
        <v>311</v>
      </c>
      <c r="C4" s="20"/>
      <c r="J4" s="42" t="s">
        <v>856</v>
      </c>
      <c r="K4" s="43">
        <f>COUNTIFS(L:L,J4)</f>
        <v>25</v>
      </c>
      <c r="U4" s="164"/>
    </row>
    <row r="5" spans="1:23" x14ac:dyDescent="0.25">
      <c r="A5" s="8" t="s">
        <v>179</v>
      </c>
      <c r="C5" s="12"/>
      <c r="D5" s="12"/>
      <c r="J5" s="42" t="s">
        <v>860</v>
      </c>
      <c r="K5" s="43">
        <f>COUNTIFS(L:L,J5)</f>
        <v>0</v>
      </c>
      <c r="U5" s="164"/>
    </row>
    <row r="6" spans="1:23" ht="15.75" thickBot="1" x14ac:dyDescent="0.3">
      <c r="B6" s="189"/>
      <c r="C6" s="189"/>
      <c r="J6" s="44" t="s">
        <v>864</v>
      </c>
      <c r="K6" s="45">
        <f>COUNTIFS(L:L,J6)</f>
        <v>1</v>
      </c>
      <c r="U6" s="164"/>
    </row>
    <row r="7" spans="1:23" x14ac:dyDescent="0.25">
      <c r="J7" s="78"/>
      <c r="K7" s="78">
        <f>SUM(K3:K6)</f>
        <v>29</v>
      </c>
      <c r="U7" s="164"/>
    </row>
    <row r="8" spans="1:23" x14ac:dyDescent="0.25">
      <c r="A8" s="78"/>
      <c r="B8" s="78"/>
      <c r="C8" s="78"/>
      <c r="D8" s="78"/>
      <c r="G8" s="78"/>
      <c r="H8"/>
      <c r="J8"/>
      <c r="K8" s="78"/>
      <c r="M8" s="186" t="s">
        <v>1220</v>
      </c>
      <c r="N8" s="186"/>
      <c r="O8" s="186"/>
      <c r="P8" s="185" t="s">
        <v>1684</v>
      </c>
      <c r="Q8" s="185"/>
      <c r="U8" s="164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t="s">
        <v>1688</v>
      </c>
      <c r="B10" s="78" t="s">
        <v>176</v>
      </c>
      <c r="C10" s="78">
        <v>8</v>
      </c>
      <c r="D10" s="78">
        <v>732</v>
      </c>
      <c r="E10" s="78">
        <v>4</v>
      </c>
      <c r="F10" t="s">
        <v>714</v>
      </c>
      <c r="G10" t="s">
        <v>715</v>
      </c>
      <c r="H10" s="78" t="s">
        <v>704</v>
      </c>
      <c r="I10" t="s">
        <v>705</v>
      </c>
      <c r="J10" s="111" t="s">
        <v>870</v>
      </c>
      <c r="K10" s="111"/>
      <c r="L10" t="s">
        <v>856</v>
      </c>
      <c r="M10" s="148">
        <f>0.971153846153846+4.51923076923077+1.34615384615385</f>
        <v>6.8365384615384661</v>
      </c>
      <c r="N10" s="148">
        <v>5.0576923076923102</v>
      </c>
      <c r="O10" s="148">
        <v>0</v>
      </c>
      <c r="P10" s="147">
        <v>0</v>
      </c>
      <c r="Q10" s="147">
        <f>23100</f>
        <v>23100</v>
      </c>
      <c r="R10" s="166">
        <v>43831</v>
      </c>
      <c r="T10" s="78" t="s">
        <v>1754</v>
      </c>
      <c r="U10" s="164"/>
      <c r="V10">
        <v>1</v>
      </c>
      <c r="W10" s="77"/>
    </row>
    <row r="11" spans="1:23" ht="15" customHeight="1" x14ac:dyDescent="0.25">
      <c r="A11" t="s">
        <v>1688</v>
      </c>
      <c r="B11" s="78" t="s">
        <v>903</v>
      </c>
      <c r="C11" s="78">
        <v>8</v>
      </c>
      <c r="D11" s="78">
        <v>739</v>
      </c>
      <c r="E11" s="78">
        <v>4</v>
      </c>
      <c r="F11" t="s">
        <v>159</v>
      </c>
      <c r="G11" s="1" t="s">
        <v>160</v>
      </c>
      <c r="H11" s="78" t="s">
        <v>77</v>
      </c>
      <c r="I11" s="10" t="s">
        <v>78</v>
      </c>
      <c r="J11" s="111" t="s">
        <v>870</v>
      </c>
      <c r="K11" s="111"/>
      <c r="L11" t="s">
        <v>856</v>
      </c>
      <c r="M11" s="148">
        <f>0.788461538461538+3.40384615384615+1.61538461538462</f>
        <v>5.8076923076923084</v>
      </c>
      <c r="N11" s="148">
        <v>4.75</v>
      </c>
      <c r="O11" s="148">
        <f>(2*4)/52</f>
        <v>0.15384615384615385</v>
      </c>
      <c r="P11" s="147">
        <v>0</v>
      </c>
      <c r="Q11" s="147">
        <f>7350</f>
        <v>7350</v>
      </c>
      <c r="R11" s="166">
        <v>43831</v>
      </c>
      <c r="T11" s="78" t="s">
        <v>1754</v>
      </c>
      <c r="U11" s="164"/>
      <c r="V11">
        <v>1</v>
      </c>
      <c r="W11" s="77"/>
    </row>
    <row r="12" spans="1:23" ht="15" customHeight="1" x14ac:dyDescent="0.25">
      <c r="A12" t="s">
        <v>1688</v>
      </c>
      <c r="B12" s="78" t="s">
        <v>175</v>
      </c>
      <c r="C12" s="78">
        <v>140</v>
      </c>
      <c r="D12" s="78">
        <v>926</v>
      </c>
      <c r="E12" s="78">
        <v>4</v>
      </c>
      <c r="F12" t="s">
        <v>731</v>
      </c>
      <c r="G12" t="s">
        <v>732</v>
      </c>
      <c r="H12" s="78" t="s">
        <v>704</v>
      </c>
      <c r="I12" s="10" t="s">
        <v>705</v>
      </c>
      <c r="J12" s="112" t="s">
        <v>904</v>
      </c>
      <c r="K12" s="112"/>
      <c r="L12" t="s">
        <v>856</v>
      </c>
      <c r="M12" s="148">
        <v>3.0769230769230802</v>
      </c>
      <c r="N12" s="148">
        <v>0</v>
      </c>
      <c r="O12" s="148">
        <v>0</v>
      </c>
      <c r="P12" s="147">
        <v>0</v>
      </c>
      <c r="Q12" s="147">
        <f>21546</f>
        <v>21546</v>
      </c>
      <c r="R12" s="166">
        <v>43831</v>
      </c>
      <c r="T12" s="78" t="s">
        <v>1754</v>
      </c>
      <c r="U12" s="164"/>
      <c r="V12">
        <v>1</v>
      </c>
      <c r="W12" s="77"/>
    </row>
    <row r="13" spans="1:23" ht="15" customHeight="1" x14ac:dyDescent="0.25">
      <c r="A13" t="s">
        <v>1688</v>
      </c>
      <c r="B13" s="78" t="s">
        <v>572</v>
      </c>
      <c r="C13" s="78">
        <v>9</v>
      </c>
      <c r="D13" s="78">
        <v>522</v>
      </c>
      <c r="E13" s="78">
        <v>4</v>
      </c>
      <c r="F13" s="178" t="s">
        <v>570</v>
      </c>
      <c r="G13" t="s">
        <v>571</v>
      </c>
      <c r="H13" s="78" t="s">
        <v>15</v>
      </c>
      <c r="I13" s="10" t="s">
        <v>16</v>
      </c>
      <c r="J13" s="49" t="s">
        <v>894</v>
      </c>
      <c r="K13" s="49"/>
      <c r="L13" t="s">
        <v>838</v>
      </c>
      <c r="M13" s="148">
        <f>1.11538461538462+2.46153846153846+0.153846153846154</f>
        <v>3.7307692307692344</v>
      </c>
      <c r="N13" s="148">
        <v>1.70192307692308</v>
      </c>
      <c r="O13" s="148">
        <v>0</v>
      </c>
      <c r="P13" s="147">
        <v>0</v>
      </c>
      <c r="Q13" s="147">
        <f>13300</f>
        <v>13300</v>
      </c>
      <c r="R13" s="166">
        <v>43556</v>
      </c>
      <c r="T13" s="78" t="s">
        <v>1755</v>
      </c>
      <c r="U13" s="164" t="s">
        <v>1727</v>
      </c>
      <c r="V13">
        <v>1</v>
      </c>
      <c r="W13" s="77"/>
    </row>
    <row r="14" spans="1:23" ht="15" customHeight="1" x14ac:dyDescent="0.25">
      <c r="A14" t="s">
        <v>1688</v>
      </c>
      <c r="B14" s="78" t="s">
        <v>572</v>
      </c>
      <c r="C14" s="78">
        <v>9</v>
      </c>
      <c r="D14" s="78">
        <v>520</v>
      </c>
      <c r="E14" s="78">
        <v>4</v>
      </c>
      <c r="F14" s="178" t="s">
        <v>575</v>
      </c>
      <c r="G14" t="s">
        <v>576</v>
      </c>
      <c r="H14" s="78" t="s">
        <v>15</v>
      </c>
      <c r="I14" t="s">
        <v>16</v>
      </c>
      <c r="J14" t="s">
        <v>902</v>
      </c>
      <c r="L14" t="s">
        <v>838</v>
      </c>
      <c r="M14" s="148"/>
      <c r="N14" s="148"/>
      <c r="O14" s="148"/>
      <c r="P14" s="147"/>
      <c r="Q14" s="147"/>
      <c r="T14" s="78" t="s">
        <v>1755</v>
      </c>
      <c r="U14" s="164"/>
      <c r="V14">
        <v>1</v>
      </c>
      <c r="W14" s="77"/>
    </row>
    <row r="15" spans="1:23" ht="15" customHeight="1" x14ac:dyDescent="0.25">
      <c r="A15" t="s">
        <v>1688</v>
      </c>
      <c r="B15" s="78" t="s">
        <v>572</v>
      </c>
      <c r="C15" s="78">
        <v>9</v>
      </c>
      <c r="D15" s="78">
        <v>521</v>
      </c>
      <c r="E15" s="78">
        <v>4</v>
      </c>
      <c r="F15" s="178" t="s">
        <v>568</v>
      </c>
      <c r="G15" t="s">
        <v>569</v>
      </c>
      <c r="H15" s="78" t="s">
        <v>15</v>
      </c>
      <c r="I15" t="s">
        <v>16</v>
      </c>
      <c r="J15" t="s">
        <v>902</v>
      </c>
      <c r="L15" t="s">
        <v>838</v>
      </c>
      <c r="M15" s="148"/>
      <c r="N15" s="148"/>
      <c r="O15" s="148"/>
      <c r="P15" s="147"/>
      <c r="Q15" s="147"/>
      <c r="T15" s="78" t="s">
        <v>1755</v>
      </c>
      <c r="V15">
        <v>1</v>
      </c>
      <c r="W15" s="77"/>
    </row>
    <row r="16" spans="1:23" ht="15" customHeight="1" x14ac:dyDescent="0.25">
      <c r="A16" t="s">
        <v>1688</v>
      </c>
      <c r="B16" s="78" t="s">
        <v>903</v>
      </c>
      <c r="C16" s="78">
        <v>8</v>
      </c>
      <c r="D16" s="78">
        <v>733</v>
      </c>
      <c r="E16" s="78">
        <v>4</v>
      </c>
      <c r="F16" t="s">
        <v>153</v>
      </c>
      <c r="G16" s="1" t="s">
        <v>154</v>
      </c>
      <c r="H16" s="78" t="s">
        <v>5</v>
      </c>
      <c r="I16" s="10" t="s">
        <v>6</v>
      </c>
      <c r="J16" s="10" t="s">
        <v>816</v>
      </c>
      <c r="K16" s="10"/>
      <c r="L16" t="s">
        <v>856</v>
      </c>
      <c r="M16" s="148">
        <f>1.71153846153846+0.461538461538462</f>
        <v>2.173076923076922</v>
      </c>
      <c r="N16" s="148">
        <v>0.53846153846153799</v>
      </c>
      <c r="O16" s="148">
        <v>0</v>
      </c>
      <c r="P16" s="147">
        <v>0</v>
      </c>
      <c r="Q16" s="147">
        <f>2828</f>
        <v>2828</v>
      </c>
      <c r="T16" s="78" t="s">
        <v>1755</v>
      </c>
      <c r="V16">
        <v>1</v>
      </c>
      <c r="W16" s="77"/>
    </row>
    <row r="17" spans="1:23" ht="15" customHeight="1" x14ac:dyDescent="0.25">
      <c r="A17" t="s">
        <v>1688</v>
      </c>
      <c r="B17" s="78" t="s">
        <v>175</v>
      </c>
      <c r="C17" s="78">
        <v>140</v>
      </c>
      <c r="D17" s="78">
        <v>907</v>
      </c>
      <c r="E17" s="78">
        <v>4</v>
      </c>
      <c r="F17" s="165" t="s">
        <v>155</v>
      </c>
      <c r="G17" s="1" t="s">
        <v>156</v>
      </c>
      <c r="H17" s="78" t="s">
        <v>5</v>
      </c>
      <c r="I17" s="10" t="s">
        <v>6</v>
      </c>
      <c r="J17" s="10" t="s">
        <v>816</v>
      </c>
      <c r="K17" s="10"/>
      <c r="L17" t="s">
        <v>856</v>
      </c>
      <c r="M17" s="148">
        <v>1.5</v>
      </c>
      <c r="N17" s="148">
        <v>0</v>
      </c>
      <c r="O17" s="148">
        <v>0</v>
      </c>
      <c r="P17" s="147">
        <v>0</v>
      </c>
      <c r="Q17" s="147">
        <v>1813</v>
      </c>
      <c r="T17" s="78" t="s">
        <v>1755</v>
      </c>
      <c r="V17">
        <v>1</v>
      </c>
      <c r="W17" s="77"/>
    </row>
    <row r="18" spans="1:23" x14ac:dyDescent="0.25">
      <c r="A18" t="s">
        <v>1688</v>
      </c>
      <c r="B18" s="78" t="s">
        <v>175</v>
      </c>
      <c r="C18" s="78">
        <v>140</v>
      </c>
      <c r="D18" s="78">
        <v>908</v>
      </c>
      <c r="E18" s="78">
        <v>4</v>
      </c>
      <c r="F18" s="165" t="s">
        <v>147</v>
      </c>
      <c r="G18" s="1" t="s">
        <v>148</v>
      </c>
      <c r="H18" s="78" t="s">
        <v>21</v>
      </c>
      <c r="I18" s="10" t="s">
        <v>22</v>
      </c>
      <c r="J18" s="10" t="s">
        <v>816</v>
      </c>
      <c r="K18" s="10"/>
      <c r="L18" t="s">
        <v>856</v>
      </c>
      <c r="M18" s="148">
        <f>(16+8)/52</f>
        <v>0.46153846153846156</v>
      </c>
      <c r="N18" s="148">
        <v>0</v>
      </c>
      <c r="O18" s="148">
        <v>0</v>
      </c>
      <c r="P18" s="147">
        <v>0</v>
      </c>
      <c r="Q18" s="147">
        <f>2646</f>
        <v>2646</v>
      </c>
      <c r="T18" s="78" t="s">
        <v>1755</v>
      </c>
      <c r="V18">
        <v>1</v>
      </c>
      <c r="W18" s="77"/>
    </row>
    <row r="19" spans="1:23" ht="15" customHeight="1" x14ac:dyDescent="0.25">
      <c r="A19" t="s">
        <v>1688</v>
      </c>
      <c r="B19" s="78" t="s">
        <v>175</v>
      </c>
      <c r="C19" s="78">
        <v>140</v>
      </c>
      <c r="D19" s="78">
        <v>916</v>
      </c>
      <c r="E19" s="78">
        <v>4</v>
      </c>
      <c r="F19" t="s">
        <v>123</v>
      </c>
      <c r="G19" s="1" t="s">
        <v>124</v>
      </c>
      <c r="H19" s="78" t="s">
        <v>9</v>
      </c>
      <c r="I19" s="10" t="s">
        <v>10</v>
      </c>
      <c r="J19" s="10" t="s">
        <v>816</v>
      </c>
      <c r="K19" s="10"/>
      <c r="L19" t="s">
        <v>856</v>
      </c>
      <c r="M19" s="148">
        <f>(78+39)/52</f>
        <v>2.25</v>
      </c>
      <c r="N19" s="148">
        <v>0</v>
      </c>
      <c r="O19" s="148">
        <v>0</v>
      </c>
      <c r="P19" s="147">
        <v>0</v>
      </c>
      <c r="Q19" s="147">
        <f>15764</f>
        <v>15764</v>
      </c>
      <c r="T19" s="78" t="s">
        <v>1755</v>
      </c>
      <c r="V19">
        <v>1</v>
      </c>
      <c r="W19" s="77"/>
    </row>
    <row r="20" spans="1:23" ht="15" customHeight="1" x14ac:dyDescent="0.25">
      <c r="A20" t="s">
        <v>1688</v>
      </c>
      <c r="B20" s="78" t="s">
        <v>175</v>
      </c>
      <c r="C20" s="78">
        <v>140</v>
      </c>
      <c r="D20" s="78">
        <v>948</v>
      </c>
      <c r="E20" s="78">
        <v>4</v>
      </c>
      <c r="F20" t="s">
        <v>149</v>
      </c>
      <c r="G20" s="1" t="s">
        <v>150</v>
      </c>
      <c r="H20" s="78" t="s">
        <v>21</v>
      </c>
      <c r="I20" s="10" t="s">
        <v>22</v>
      </c>
      <c r="J20" s="10" t="s">
        <v>816</v>
      </c>
      <c r="K20" s="10"/>
      <c r="L20" t="s">
        <v>856</v>
      </c>
      <c r="M20" s="148">
        <f>(11+5.5)/52</f>
        <v>0.31730769230769229</v>
      </c>
      <c r="N20" s="148">
        <v>0</v>
      </c>
      <c r="O20" s="148">
        <v>0</v>
      </c>
      <c r="P20" s="147">
        <v>0</v>
      </c>
      <c r="Q20" s="147">
        <f>2212</f>
        <v>2212</v>
      </c>
      <c r="T20" s="78" t="s">
        <v>1755</v>
      </c>
      <c r="V20">
        <v>1</v>
      </c>
      <c r="W20" s="77"/>
    </row>
    <row r="21" spans="1:23" ht="15" customHeight="1" x14ac:dyDescent="0.25">
      <c r="A21" t="s">
        <v>1688</v>
      </c>
      <c r="B21" s="78" t="s">
        <v>175</v>
      </c>
      <c r="C21" s="78">
        <v>140</v>
      </c>
      <c r="D21" s="78">
        <v>954</v>
      </c>
      <c r="E21" s="78">
        <v>4</v>
      </c>
      <c r="F21" t="s">
        <v>126</v>
      </c>
      <c r="G21" s="1" t="s">
        <v>127</v>
      </c>
      <c r="H21" s="78" t="s">
        <v>7</v>
      </c>
      <c r="I21" s="10" t="s">
        <v>8</v>
      </c>
      <c r="J21" s="10" t="s">
        <v>816</v>
      </c>
      <c r="K21" s="10"/>
      <c r="L21" t="s">
        <v>856</v>
      </c>
      <c r="M21" s="148">
        <f>(30+45)/52</f>
        <v>1.4423076923076923</v>
      </c>
      <c r="N21" s="148">
        <v>0</v>
      </c>
      <c r="O21" s="148">
        <v>0</v>
      </c>
      <c r="P21" s="147">
        <v>0</v>
      </c>
      <c r="Q21" s="147">
        <v>6048</v>
      </c>
      <c r="T21" s="78" t="s">
        <v>1755</v>
      </c>
      <c r="V21">
        <v>1</v>
      </c>
      <c r="W21" s="77"/>
    </row>
    <row r="22" spans="1:23" ht="15" customHeight="1" x14ac:dyDescent="0.25">
      <c r="A22" t="s">
        <v>1688</v>
      </c>
      <c r="B22" s="78" t="s">
        <v>175</v>
      </c>
      <c r="C22" s="78">
        <v>140</v>
      </c>
      <c r="D22" s="78">
        <v>956</v>
      </c>
      <c r="E22" s="78">
        <v>4</v>
      </c>
      <c r="F22" t="s">
        <v>157</v>
      </c>
      <c r="G22" s="1" t="s">
        <v>158</v>
      </c>
      <c r="H22" s="78" t="s">
        <v>102</v>
      </c>
      <c r="I22" s="10" t="s">
        <v>103</v>
      </c>
      <c r="J22" s="10" t="s">
        <v>816</v>
      </c>
      <c r="K22" s="10"/>
      <c r="L22" t="s">
        <v>856</v>
      </c>
      <c r="M22" s="148">
        <f>(12+6)/52</f>
        <v>0.34615384615384615</v>
      </c>
      <c r="N22" s="148">
        <v>0</v>
      </c>
      <c r="O22" s="148">
        <v>0</v>
      </c>
      <c r="P22" s="147">
        <v>0</v>
      </c>
      <c r="Q22" s="147">
        <v>2443</v>
      </c>
      <c r="R22" s="166">
        <v>43922</v>
      </c>
      <c r="T22" s="78" t="s">
        <v>1754</v>
      </c>
      <c r="V22">
        <v>1</v>
      </c>
      <c r="W22" s="77"/>
    </row>
    <row r="23" spans="1:23" ht="15" customHeight="1" x14ac:dyDescent="0.25">
      <c r="A23" t="s">
        <v>1688</v>
      </c>
      <c r="B23" s="78"/>
      <c r="C23" s="78">
        <v>2</v>
      </c>
      <c r="D23" s="78">
        <v>711</v>
      </c>
      <c r="E23" s="78">
        <v>4</v>
      </c>
      <c r="F23" s="175"/>
      <c r="G23" s="1" t="s">
        <v>104</v>
      </c>
      <c r="H23" s="78" t="s">
        <v>67</v>
      </c>
      <c r="I23" s="10" t="s">
        <v>68</v>
      </c>
      <c r="J23" s="10" t="s">
        <v>863</v>
      </c>
      <c r="K23" s="10"/>
      <c r="L23" t="s">
        <v>856</v>
      </c>
      <c r="M23" s="148"/>
      <c r="N23" s="148"/>
      <c r="O23" s="148"/>
      <c r="P23" s="147"/>
      <c r="Q23" s="147"/>
      <c r="T23" s="78" t="s">
        <v>1755</v>
      </c>
      <c r="U23" s="10" t="s">
        <v>1714</v>
      </c>
      <c r="V23">
        <v>1</v>
      </c>
      <c r="W23" s="77"/>
    </row>
    <row r="24" spans="1:23" ht="15" customHeight="1" x14ac:dyDescent="0.25">
      <c r="A24" t="s">
        <v>1688</v>
      </c>
      <c r="B24" s="78"/>
      <c r="C24" s="78">
        <v>2</v>
      </c>
      <c r="D24" s="78">
        <v>713</v>
      </c>
      <c r="E24" s="78">
        <v>4</v>
      </c>
      <c r="F24" s="175"/>
      <c r="G24" s="1" t="s">
        <v>151</v>
      </c>
      <c r="H24" s="78" t="s">
        <v>5</v>
      </c>
      <c r="I24" s="10" t="s">
        <v>6</v>
      </c>
      <c r="J24" s="10" t="s">
        <v>863</v>
      </c>
      <c r="K24" s="10"/>
      <c r="L24" t="s">
        <v>856</v>
      </c>
      <c r="M24" s="148"/>
      <c r="N24" s="148"/>
      <c r="O24" s="148"/>
      <c r="P24" s="147"/>
      <c r="Q24" s="147"/>
      <c r="T24" s="78" t="s">
        <v>1755</v>
      </c>
      <c r="U24" s="10" t="s">
        <v>1728</v>
      </c>
      <c r="V24">
        <v>1</v>
      </c>
      <c r="W24" s="77"/>
    </row>
    <row r="25" spans="1:23" ht="15" customHeight="1" x14ac:dyDescent="0.25">
      <c r="A25" t="s">
        <v>1688</v>
      </c>
      <c r="B25" s="78"/>
      <c r="C25" s="78">
        <v>2</v>
      </c>
      <c r="D25" s="78">
        <v>715</v>
      </c>
      <c r="E25" s="78">
        <v>4</v>
      </c>
      <c r="F25" s="175"/>
      <c r="G25" t="s">
        <v>140</v>
      </c>
      <c r="H25" s="78" t="s">
        <v>67</v>
      </c>
      <c r="I25" s="10" t="s">
        <v>68</v>
      </c>
      <c r="J25" s="10" t="s">
        <v>863</v>
      </c>
      <c r="K25" s="10"/>
      <c r="L25" t="s">
        <v>856</v>
      </c>
      <c r="M25" s="148"/>
      <c r="N25" s="148"/>
      <c r="O25" s="148"/>
      <c r="P25" s="147"/>
      <c r="Q25" s="147"/>
      <c r="T25" s="78" t="s">
        <v>1755</v>
      </c>
      <c r="U25" s="164" t="s">
        <v>1714</v>
      </c>
      <c r="V25">
        <v>1</v>
      </c>
      <c r="W25" s="77"/>
    </row>
    <row r="26" spans="1:23" ht="15" customHeight="1" x14ac:dyDescent="0.25">
      <c r="A26" t="s">
        <v>1688</v>
      </c>
      <c r="B26" s="78"/>
      <c r="C26" s="78">
        <v>2</v>
      </c>
      <c r="D26" s="78">
        <v>717</v>
      </c>
      <c r="E26" s="78">
        <v>4</v>
      </c>
      <c r="F26" s="175" t="s">
        <v>132</v>
      </c>
      <c r="G26" s="1" t="s">
        <v>133</v>
      </c>
      <c r="H26" s="78" t="s">
        <v>19</v>
      </c>
      <c r="I26" s="10" t="s">
        <v>20</v>
      </c>
      <c r="J26" s="10" t="s">
        <v>863</v>
      </c>
      <c r="K26" s="10"/>
      <c r="L26" t="s">
        <v>856</v>
      </c>
      <c r="M26" s="148"/>
      <c r="N26" s="148"/>
      <c r="O26" s="148"/>
      <c r="P26" s="147"/>
      <c r="Q26" s="147"/>
      <c r="T26" s="78" t="s">
        <v>1755</v>
      </c>
      <c r="U26" s="164" t="s">
        <v>1714</v>
      </c>
      <c r="V26">
        <v>1</v>
      </c>
      <c r="W26" s="77"/>
    </row>
    <row r="27" spans="1:23" ht="15" customHeight="1" x14ac:dyDescent="0.25">
      <c r="A27" t="s">
        <v>1688</v>
      </c>
      <c r="B27" s="78"/>
      <c r="C27" s="78">
        <v>2</v>
      </c>
      <c r="D27" s="78">
        <v>719</v>
      </c>
      <c r="E27" s="78">
        <v>4</v>
      </c>
      <c r="F27" s="175"/>
      <c r="G27" t="s">
        <v>143</v>
      </c>
      <c r="H27" s="78" t="s">
        <v>71</v>
      </c>
      <c r="I27" s="10" t="s">
        <v>72</v>
      </c>
      <c r="J27" s="10" t="s">
        <v>863</v>
      </c>
      <c r="K27" s="10"/>
      <c r="L27" t="s">
        <v>856</v>
      </c>
      <c r="M27" s="148"/>
      <c r="N27" s="148"/>
      <c r="O27" s="148"/>
      <c r="P27" s="147"/>
      <c r="Q27" s="147"/>
      <c r="T27" s="78" t="s">
        <v>1755</v>
      </c>
      <c r="U27" s="164" t="s">
        <v>1714</v>
      </c>
      <c r="V27">
        <v>1</v>
      </c>
      <c r="W27" s="77"/>
    </row>
    <row r="28" spans="1:23" ht="15" customHeight="1" x14ac:dyDescent="0.25">
      <c r="A28" t="s">
        <v>1688</v>
      </c>
      <c r="B28" s="78"/>
      <c r="C28" s="78">
        <v>2</v>
      </c>
      <c r="D28" s="78">
        <v>720</v>
      </c>
      <c r="E28" s="78">
        <v>4</v>
      </c>
      <c r="F28" s="175" t="s">
        <v>144</v>
      </c>
      <c r="G28" s="1" t="s">
        <v>1162</v>
      </c>
      <c r="H28" s="78" t="s">
        <v>71</v>
      </c>
      <c r="I28" s="10" t="s">
        <v>72</v>
      </c>
      <c r="J28" s="10" t="s">
        <v>863</v>
      </c>
      <c r="K28" s="10"/>
      <c r="L28" t="s">
        <v>856</v>
      </c>
      <c r="M28" s="148"/>
      <c r="N28" s="148"/>
      <c r="O28" s="148"/>
      <c r="P28" s="147"/>
      <c r="Q28" s="147"/>
      <c r="T28" s="78" t="s">
        <v>1755</v>
      </c>
      <c r="U28" s="164" t="s">
        <v>1714</v>
      </c>
      <c r="V28">
        <v>1</v>
      </c>
      <c r="W28" s="77"/>
    </row>
    <row r="29" spans="1:23" ht="15" customHeight="1" x14ac:dyDescent="0.25">
      <c r="A29" t="s">
        <v>1688</v>
      </c>
      <c r="B29" s="78" t="s">
        <v>175</v>
      </c>
      <c r="C29" s="78">
        <v>140</v>
      </c>
      <c r="D29" s="78">
        <v>910</v>
      </c>
      <c r="E29" s="78">
        <v>4</v>
      </c>
      <c r="F29" t="s">
        <v>165</v>
      </c>
      <c r="G29" s="1" t="s">
        <v>166</v>
      </c>
      <c r="H29" s="78" t="s">
        <v>96</v>
      </c>
      <c r="I29" s="10" t="s">
        <v>97</v>
      </c>
      <c r="J29" s="10" t="s">
        <v>817</v>
      </c>
      <c r="K29" s="10"/>
      <c r="L29" t="s">
        <v>856</v>
      </c>
      <c r="M29" s="148">
        <f>(37.5+75)/52</f>
        <v>2.1634615384615383</v>
      </c>
      <c r="N29" s="148">
        <v>0</v>
      </c>
      <c r="O29" s="148">
        <v>0</v>
      </c>
      <c r="P29" s="147">
        <v>0</v>
      </c>
      <c r="Q29" s="147">
        <v>15050</v>
      </c>
      <c r="T29" s="78" t="s">
        <v>1755</v>
      </c>
      <c r="V29">
        <v>1</v>
      </c>
      <c r="W29" s="77"/>
    </row>
    <row r="30" spans="1:23" ht="15" customHeight="1" x14ac:dyDescent="0.25">
      <c r="A30" t="s">
        <v>1688</v>
      </c>
      <c r="B30" s="78" t="s">
        <v>175</v>
      </c>
      <c r="C30" s="78">
        <v>140</v>
      </c>
      <c r="D30" s="78">
        <v>932</v>
      </c>
      <c r="E30" s="78">
        <v>4</v>
      </c>
      <c r="F30" t="s">
        <v>161</v>
      </c>
      <c r="G30" s="1" t="s">
        <v>162</v>
      </c>
      <c r="H30" s="78" t="s">
        <v>77</v>
      </c>
      <c r="I30" s="10" t="s">
        <v>78</v>
      </c>
      <c r="J30" s="10" t="s">
        <v>817</v>
      </c>
      <c r="K30" s="10"/>
      <c r="L30" t="s">
        <v>856</v>
      </c>
      <c r="M30" s="148">
        <f>(35+17.5)/52</f>
        <v>1.0096153846153846</v>
      </c>
      <c r="N30" s="148">
        <v>0</v>
      </c>
      <c r="O30" s="148">
        <v>0</v>
      </c>
      <c r="P30" s="147">
        <v>0</v>
      </c>
      <c r="Q30" s="147">
        <f>7126</f>
        <v>7126</v>
      </c>
      <c r="R30" s="166">
        <v>43831</v>
      </c>
      <c r="T30" s="78" t="s">
        <v>1754</v>
      </c>
      <c r="V30">
        <v>1</v>
      </c>
      <c r="W30" s="77"/>
    </row>
    <row r="31" spans="1:23" ht="15" customHeight="1" x14ac:dyDescent="0.25">
      <c r="A31" t="s">
        <v>1688</v>
      </c>
      <c r="B31" s="78" t="s">
        <v>175</v>
      </c>
      <c r="C31" s="78">
        <v>140</v>
      </c>
      <c r="D31" s="78">
        <v>935</v>
      </c>
      <c r="E31" s="78">
        <v>4</v>
      </c>
      <c r="F31" t="s">
        <v>145</v>
      </c>
      <c r="G31" s="1" t="s">
        <v>146</v>
      </c>
      <c r="H31" s="78" t="s">
        <v>98</v>
      </c>
      <c r="I31" s="10" t="s">
        <v>99</v>
      </c>
      <c r="J31" s="10" t="s">
        <v>817</v>
      </c>
      <c r="K31" s="10"/>
      <c r="L31" t="s">
        <v>856</v>
      </c>
      <c r="M31" s="148">
        <v>4</v>
      </c>
      <c r="N31" s="148">
        <v>0</v>
      </c>
      <c r="O31" s="148">
        <v>0</v>
      </c>
      <c r="P31" s="147">
        <v>0</v>
      </c>
      <c r="Q31" s="147">
        <v>16800</v>
      </c>
      <c r="R31" s="166">
        <v>43678</v>
      </c>
      <c r="T31" s="78" t="s">
        <v>1754</v>
      </c>
      <c r="V31">
        <v>1</v>
      </c>
      <c r="W31" s="77"/>
    </row>
    <row r="32" spans="1:23" x14ac:dyDescent="0.25">
      <c r="A32" t="s">
        <v>1688</v>
      </c>
      <c r="B32" s="2" t="s">
        <v>175</v>
      </c>
      <c r="C32" s="2">
        <v>140</v>
      </c>
      <c r="D32" s="2">
        <v>952</v>
      </c>
      <c r="E32" s="78">
        <v>4</v>
      </c>
      <c r="F32" t="s">
        <v>167</v>
      </c>
      <c r="G32" s="1" t="s">
        <v>168</v>
      </c>
      <c r="H32" s="2" t="s">
        <v>100</v>
      </c>
      <c r="I32" s="10" t="s">
        <v>101</v>
      </c>
      <c r="J32" s="10" t="s">
        <v>817</v>
      </c>
      <c r="K32" s="10"/>
      <c r="L32" t="s">
        <v>856</v>
      </c>
      <c r="M32" s="148">
        <f>(65+32.5)/52</f>
        <v>1.875</v>
      </c>
      <c r="N32" s="148">
        <v>0</v>
      </c>
      <c r="O32" s="148">
        <v>0</v>
      </c>
      <c r="P32" s="147">
        <v>0</v>
      </c>
      <c r="Q32" s="147">
        <v>13174</v>
      </c>
      <c r="T32" s="78" t="s">
        <v>1755</v>
      </c>
      <c r="V32">
        <v>1</v>
      </c>
      <c r="W32" s="77"/>
    </row>
    <row r="33" spans="1:23" ht="15" customHeight="1" x14ac:dyDescent="0.25">
      <c r="A33" t="s">
        <v>1688</v>
      </c>
      <c r="B33" s="2" t="s">
        <v>175</v>
      </c>
      <c r="C33" s="2">
        <v>140</v>
      </c>
      <c r="D33" s="2">
        <v>957</v>
      </c>
      <c r="E33" s="78">
        <v>4</v>
      </c>
      <c r="F33" t="s">
        <v>141</v>
      </c>
      <c r="G33" s="1" t="s">
        <v>142</v>
      </c>
      <c r="H33" s="2" t="s">
        <v>17</v>
      </c>
      <c r="I33" s="10" t="s">
        <v>18</v>
      </c>
      <c r="J33" s="10" t="s">
        <v>817</v>
      </c>
      <c r="K33" s="10"/>
      <c r="L33" t="s">
        <v>856</v>
      </c>
      <c r="M33" s="148">
        <f>(47+23.5)/52</f>
        <v>1.3557692307692308</v>
      </c>
      <c r="N33" s="148">
        <v>0</v>
      </c>
      <c r="O33" s="148">
        <v>0</v>
      </c>
      <c r="P33" s="147">
        <v>0</v>
      </c>
      <c r="Q33" s="147">
        <v>9450</v>
      </c>
      <c r="T33" s="78" t="s">
        <v>1755</v>
      </c>
      <c r="V33">
        <v>1</v>
      </c>
      <c r="W33" s="77"/>
    </row>
    <row r="34" spans="1:23" x14ac:dyDescent="0.25">
      <c r="A34" t="s">
        <v>1688</v>
      </c>
      <c r="B34" s="2" t="s">
        <v>354</v>
      </c>
      <c r="C34" s="2">
        <v>110</v>
      </c>
      <c r="D34" s="2">
        <v>100</v>
      </c>
      <c r="E34" s="78">
        <v>4</v>
      </c>
      <c r="F34" s="140" t="s">
        <v>331</v>
      </c>
      <c r="G34" t="s">
        <v>1165</v>
      </c>
      <c r="H34" s="2">
        <v>2900</v>
      </c>
      <c r="I34" s="10" t="s">
        <v>22</v>
      </c>
      <c r="J34" s="49"/>
      <c r="K34" s="49"/>
      <c r="L34" t="s">
        <v>864</v>
      </c>
      <c r="M34" s="148"/>
      <c r="N34" s="148"/>
      <c r="O34" s="148"/>
      <c r="P34" s="147"/>
      <c r="Q34" s="147"/>
      <c r="T34" s="78" t="s">
        <v>1755</v>
      </c>
      <c r="U34" t="s">
        <v>1734</v>
      </c>
      <c r="V34">
        <v>1</v>
      </c>
      <c r="W34" s="77" t="s">
        <v>1138</v>
      </c>
    </row>
    <row r="35" spans="1:23" x14ac:dyDescent="0.25">
      <c r="A35" t="s">
        <v>1688</v>
      </c>
      <c r="B35" s="78" t="s">
        <v>354</v>
      </c>
      <c r="C35" s="78">
        <v>110</v>
      </c>
      <c r="D35" s="78">
        <v>122</v>
      </c>
      <c r="E35" s="78">
        <v>4</v>
      </c>
      <c r="F35" s="140" t="s">
        <v>331</v>
      </c>
      <c r="G35" t="s">
        <v>333</v>
      </c>
      <c r="H35" s="2" t="s">
        <v>264</v>
      </c>
      <c r="I35" s="10" t="s">
        <v>265</v>
      </c>
      <c r="J35" s="10"/>
      <c r="K35" s="10"/>
      <c r="L35" t="s">
        <v>856</v>
      </c>
      <c r="M35" s="148"/>
      <c r="N35" s="148"/>
      <c r="O35" s="148"/>
      <c r="P35" s="147"/>
      <c r="Q35" s="147"/>
      <c r="T35" s="78" t="s">
        <v>1755</v>
      </c>
      <c r="U35" t="s">
        <v>1734</v>
      </c>
      <c r="V35">
        <v>1</v>
      </c>
      <c r="W35" s="77" t="s">
        <v>1132</v>
      </c>
    </row>
    <row r="36" spans="1:23" x14ac:dyDescent="0.25">
      <c r="A36" t="s">
        <v>1688</v>
      </c>
      <c r="B36" s="78" t="s">
        <v>354</v>
      </c>
      <c r="C36" s="78">
        <v>110</v>
      </c>
      <c r="D36" s="78">
        <v>125</v>
      </c>
      <c r="E36" s="78">
        <v>4</v>
      </c>
      <c r="F36" s="140" t="s">
        <v>331</v>
      </c>
      <c r="G36" t="s">
        <v>332</v>
      </c>
      <c r="H36" s="2" t="s">
        <v>312</v>
      </c>
      <c r="I36" s="10" t="s">
        <v>313</v>
      </c>
      <c r="J36" s="10"/>
      <c r="K36" s="10"/>
      <c r="L36" t="s">
        <v>856</v>
      </c>
      <c r="M36" s="148"/>
      <c r="N36" s="148"/>
      <c r="O36" s="148"/>
      <c r="P36" s="147"/>
      <c r="Q36" s="147"/>
      <c r="T36" s="78" t="s">
        <v>1755</v>
      </c>
      <c r="U36" t="s">
        <v>1734</v>
      </c>
      <c r="V36">
        <v>1</v>
      </c>
      <c r="W36" s="77" t="s">
        <v>1132</v>
      </c>
    </row>
    <row r="37" spans="1:23" x14ac:dyDescent="0.25">
      <c r="A37" t="s">
        <v>1688</v>
      </c>
      <c r="B37" s="78" t="s">
        <v>354</v>
      </c>
      <c r="C37" s="78">
        <v>110</v>
      </c>
      <c r="D37" s="78">
        <v>126</v>
      </c>
      <c r="E37" s="78">
        <v>4</v>
      </c>
      <c r="F37" s="140" t="s">
        <v>330</v>
      </c>
      <c r="G37" t="s">
        <v>329</v>
      </c>
      <c r="H37" s="2" t="s">
        <v>69</v>
      </c>
      <c r="I37" s="10" t="s">
        <v>70</v>
      </c>
      <c r="J37" s="10"/>
      <c r="K37" s="10"/>
      <c r="L37" t="s">
        <v>856</v>
      </c>
      <c r="M37" s="148"/>
      <c r="N37" s="148"/>
      <c r="O37" s="148"/>
      <c r="P37" s="147"/>
      <c r="Q37" s="147"/>
      <c r="T37" s="78" t="s">
        <v>1755</v>
      </c>
      <c r="U37" t="s">
        <v>1734</v>
      </c>
      <c r="V37">
        <v>1</v>
      </c>
      <c r="W37" s="77" t="s">
        <v>1132</v>
      </c>
    </row>
    <row r="38" spans="1:23" x14ac:dyDescent="0.25">
      <c r="A38" t="s">
        <v>1688</v>
      </c>
      <c r="B38" s="78" t="s">
        <v>354</v>
      </c>
      <c r="C38" s="78">
        <v>110</v>
      </c>
      <c r="D38" s="78">
        <v>142</v>
      </c>
      <c r="E38" s="78">
        <v>4</v>
      </c>
      <c r="F38" s="140" t="s">
        <v>328</v>
      </c>
      <c r="G38" t="s">
        <v>327</v>
      </c>
      <c r="H38" s="2" t="s">
        <v>86</v>
      </c>
      <c r="I38" s="10" t="s">
        <v>87</v>
      </c>
      <c r="J38" s="10"/>
      <c r="K38" s="10"/>
      <c r="L38" t="s">
        <v>856</v>
      </c>
      <c r="M38" s="148"/>
      <c r="N38" s="148"/>
      <c r="O38" s="148"/>
      <c r="P38" s="147"/>
      <c r="Q38" s="147"/>
      <c r="T38" s="78" t="s">
        <v>1755</v>
      </c>
      <c r="U38" t="s">
        <v>1734</v>
      </c>
      <c r="V38">
        <v>1</v>
      </c>
      <c r="W38" s="77" t="s">
        <v>1132</v>
      </c>
    </row>
  </sheetData>
  <mergeCells count="5">
    <mergeCell ref="P8:Q8"/>
    <mergeCell ref="A2:D2"/>
    <mergeCell ref="A3:B3"/>
    <mergeCell ref="B6:C6"/>
    <mergeCell ref="M8:O8"/>
  </mergeCells>
  <hyperlinks>
    <hyperlink ref="G11" r:id="rId1" xr:uid="{00000000-0004-0000-0D00-000000000000}"/>
    <hyperlink ref="G17" r:id="rId2" xr:uid="{00000000-0004-0000-0D00-000001000000}"/>
    <hyperlink ref="G18" r:id="rId3" xr:uid="{00000000-0004-0000-0D00-000002000000}"/>
    <hyperlink ref="G19" r:id="rId4" xr:uid="{00000000-0004-0000-0D00-000003000000}"/>
    <hyperlink ref="G20" r:id="rId5" xr:uid="{00000000-0004-0000-0D00-000004000000}"/>
    <hyperlink ref="G21" r:id="rId6" xr:uid="{00000000-0004-0000-0D00-000005000000}"/>
    <hyperlink ref="G22" r:id="rId7" xr:uid="{00000000-0004-0000-0D00-000006000000}"/>
    <hyperlink ref="G29" r:id="rId8" xr:uid="{00000000-0004-0000-0D00-000007000000}"/>
    <hyperlink ref="G30" r:id="rId9" xr:uid="{00000000-0004-0000-0D00-000008000000}"/>
    <hyperlink ref="G31" r:id="rId10" xr:uid="{00000000-0004-0000-0D00-000009000000}"/>
    <hyperlink ref="G32" r:id="rId11" xr:uid="{00000000-0004-0000-0D00-00000A000000}"/>
    <hyperlink ref="G33" r:id="rId12" xr:uid="{00000000-0004-0000-0D00-00000B000000}"/>
    <hyperlink ref="F12" r:id="rId13" display="Rytterparken_x000a_Rytterparken 1-114_x000a_Rytterparken 115" xr:uid="{00000000-0004-0000-0D00-00000C000000}"/>
    <hyperlink ref="G24" r:id="rId14" xr:uid="{00000000-0004-0000-0D00-00000D000000}"/>
    <hyperlink ref="G23" r:id="rId15" xr:uid="{00000000-0004-0000-0D00-00000E000000}"/>
    <hyperlink ref="G25" r:id="rId16" xr:uid="{00000000-0004-0000-0D00-00000F000000}"/>
    <hyperlink ref="G26" r:id="rId17" xr:uid="{00000000-0004-0000-0D00-000010000000}"/>
    <hyperlink ref="G27" r:id="rId18" xr:uid="{00000000-0004-0000-0D00-000011000000}"/>
    <hyperlink ref="F10" r:id="rId19" display="E/F Rytterparken_x000a_Rytterparken 1-115" xr:uid="{00000000-0004-0000-0D00-000012000000}"/>
    <hyperlink ref="F14" r:id="rId20" xr:uid="{00000000-0004-0000-0D00-000013000000}"/>
    <hyperlink ref="F15" r:id="rId21" xr:uid="{00000000-0004-0000-0D00-000014000000}"/>
    <hyperlink ref="F13" r:id="rId22" xr:uid="{00000000-0004-0000-0D00-000015000000}"/>
    <hyperlink ref="F35" r:id="rId23" xr:uid="{00000000-0004-0000-0D00-000016000000}"/>
    <hyperlink ref="F36" r:id="rId24" xr:uid="{00000000-0004-0000-0D00-000017000000}"/>
    <hyperlink ref="F37" r:id="rId25" xr:uid="{00000000-0004-0000-0D00-000018000000}"/>
    <hyperlink ref="F38" r:id="rId26" xr:uid="{00000000-0004-0000-0D00-000019000000}"/>
    <hyperlink ref="F34" r:id="rId27" xr:uid="{DBFC707E-21D7-4473-92B9-172D694B076D}"/>
  </hyperlinks>
  <pageMargins left="0.7" right="0.7" top="0.75" bottom="0.75" header="0.3" footer="0.3"/>
  <pageSetup paperSize="8" scale="58" fitToHeight="0" orientation="landscape" r:id="rId28"/>
  <tableParts count="1">
    <tablePart r:id="rId2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W47"/>
  <sheetViews>
    <sheetView zoomScale="70" zoomScaleNormal="70" workbookViewId="0">
      <selection activeCell="U22" sqref="U22"/>
    </sheetView>
  </sheetViews>
  <sheetFormatPr defaultRowHeight="15" x14ac:dyDescent="0.25"/>
  <cols>
    <col min="1" max="1" width="9.140625" style="2" customWidth="1"/>
    <col min="2" max="2" width="20.42578125" style="2" bestFit="1" customWidth="1"/>
    <col min="3" max="3" width="10.85546875" style="2" customWidth="1"/>
    <col min="4" max="4" width="15.140625" style="2" customWidth="1"/>
    <col min="5" max="5" width="10.42578125" customWidth="1"/>
    <col min="6" max="6" width="40.5703125" bestFit="1" customWidth="1"/>
    <col min="7" max="7" width="39.85546875" style="2" customWidth="1"/>
    <col min="8" max="8" width="18.28515625" bestFit="1" customWidth="1"/>
    <col min="9" max="9" width="21.7109375" bestFit="1" customWidth="1"/>
    <col min="10" max="10" width="13.5703125" style="2" bestFit="1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8" max="18" width="15.85546875" customWidth="1"/>
    <col min="19" max="19" width="11.42578125" customWidth="1"/>
    <col min="20" max="20" width="12" style="164" customWidth="1"/>
    <col min="21" max="21" width="24.5703125" customWidth="1"/>
  </cols>
  <sheetData>
    <row r="1" spans="1:23" ht="18.75" x14ac:dyDescent="0.3">
      <c r="A1" s="19" t="s">
        <v>1164</v>
      </c>
      <c r="B1" s="6"/>
      <c r="C1" s="7"/>
    </row>
    <row r="2" spans="1:23" ht="15.75" thickBot="1" x14ac:dyDescent="0.3">
      <c r="A2" s="183" t="s">
        <v>513</v>
      </c>
      <c r="B2" s="183"/>
      <c r="C2" s="183"/>
      <c r="D2" s="183"/>
    </row>
    <row r="3" spans="1:23" x14ac:dyDescent="0.25">
      <c r="A3" s="183" t="s">
        <v>178</v>
      </c>
      <c r="B3" s="183"/>
      <c r="C3" s="20">
        <f>K7</f>
        <v>28</v>
      </c>
      <c r="J3" s="40" t="s">
        <v>838</v>
      </c>
      <c r="K3" s="41">
        <f>COUNTIFS(L:L,J3)</f>
        <v>2</v>
      </c>
    </row>
    <row r="4" spans="1:23" x14ac:dyDescent="0.25">
      <c r="A4" s="15" t="s">
        <v>311</v>
      </c>
      <c r="B4" s="20"/>
      <c r="J4" s="42" t="s">
        <v>856</v>
      </c>
      <c r="K4" s="43">
        <f>COUNTIFS(L:L,J4)</f>
        <v>25</v>
      </c>
    </row>
    <row r="5" spans="1:23" x14ac:dyDescent="0.25">
      <c r="A5" s="8" t="s">
        <v>179</v>
      </c>
      <c r="B5" s="60" t="s">
        <v>1163</v>
      </c>
      <c r="C5" s="60"/>
      <c r="J5" s="42" t="s">
        <v>860</v>
      </c>
      <c r="K5" s="43">
        <f>COUNTIFS(L:L,J5)</f>
        <v>0</v>
      </c>
    </row>
    <row r="6" spans="1:23" ht="15.75" thickBot="1" x14ac:dyDescent="0.3">
      <c r="J6" s="44" t="s">
        <v>864</v>
      </c>
      <c r="K6" s="45">
        <f>COUNTIFS(L:L,J6)</f>
        <v>1</v>
      </c>
    </row>
    <row r="7" spans="1:23" x14ac:dyDescent="0.25">
      <c r="A7" s="9"/>
      <c r="B7" s="21"/>
      <c r="C7" s="16"/>
      <c r="J7" s="78"/>
      <c r="K7" s="78">
        <f>SUM(K3:K6)</f>
        <v>28</v>
      </c>
    </row>
    <row r="8" spans="1:23" x14ac:dyDescent="0.25">
      <c r="A8" s="78"/>
      <c r="B8" s="78"/>
      <c r="C8" s="78"/>
      <c r="D8" s="78"/>
      <c r="G8" s="7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1687</v>
      </c>
      <c r="B10" s="2" t="s">
        <v>572</v>
      </c>
      <c r="C10" s="2">
        <v>9</v>
      </c>
      <c r="D10" s="78">
        <v>123</v>
      </c>
      <c r="E10" s="78">
        <v>4</v>
      </c>
      <c r="F10" s="140" t="s">
        <v>559</v>
      </c>
      <c r="G10" t="s">
        <v>560</v>
      </c>
      <c r="H10" s="2" t="s">
        <v>195</v>
      </c>
      <c r="I10" t="s">
        <v>196</v>
      </c>
      <c r="J10" t="s">
        <v>850</v>
      </c>
      <c r="L10" t="s">
        <v>856</v>
      </c>
      <c r="M10" s="148"/>
      <c r="N10" s="148"/>
      <c r="O10" s="148"/>
      <c r="P10" s="147"/>
      <c r="Q10" s="147"/>
      <c r="T10" s="78" t="s">
        <v>1755</v>
      </c>
      <c r="U10" t="s">
        <v>1734</v>
      </c>
      <c r="V10">
        <v>1</v>
      </c>
      <c r="W10" s="77"/>
    </row>
    <row r="11" spans="1:23" ht="15" customHeight="1" x14ac:dyDescent="0.25">
      <c r="A11" s="2" t="s">
        <v>1687</v>
      </c>
      <c r="B11" s="2" t="s">
        <v>572</v>
      </c>
      <c r="C11" s="2">
        <v>9</v>
      </c>
      <c r="D11" s="78">
        <v>237</v>
      </c>
      <c r="E11" s="78">
        <v>4</v>
      </c>
      <c r="F11" s="140" t="s">
        <v>537</v>
      </c>
      <c r="G11" t="s">
        <v>538</v>
      </c>
      <c r="H11" s="2" t="s">
        <v>504</v>
      </c>
      <c r="I11" t="s">
        <v>76</v>
      </c>
      <c r="J11" t="s">
        <v>514</v>
      </c>
      <c r="L11" t="s">
        <v>856</v>
      </c>
      <c r="M11" s="148"/>
      <c r="N11" s="148"/>
      <c r="O11" s="148"/>
      <c r="P11" s="147"/>
      <c r="Q11" s="147"/>
      <c r="T11" s="78" t="s">
        <v>1755</v>
      </c>
      <c r="U11" t="s">
        <v>1734</v>
      </c>
      <c r="V11">
        <v>1</v>
      </c>
      <c r="W11" s="77"/>
    </row>
    <row r="12" spans="1:23" ht="15" customHeight="1" x14ac:dyDescent="0.25">
      <c r="A12" s="2" t="s">
        <v>1687</v>
      </c>
      <c r="B12" s="2" t="s">
        <v>572</v>
      </c>
      <c r="C12" s="2">
        <v>9</v>
      </c>
      <c r="D12" s="78">
        <v>527</v>
      </c>
      <c r="E12" s="78">
        <v>4</v>
      </c>
      <c r="F12" s="140"/>
      <c r="G12" t="s">
        <v>552</v>
      </c>
      <c r="H12" s="2" t="s">
        <v>3</v>
      </c>
      <c r="I12" t="s">
        <v>4</v>
      </c>
      <c r="J12"/>
      <c r="L12" t="s">
        <v>856</v>
      </c>
      <c r="M12" s="148"/>
      <c r="N12" s="148"/>
      <c r="O12" s="148"/>
      <c r="P12" s="147"/>
      <c r="Q12" s="147"/>
      <c r="T12" s="78" t="s">
        <v>1755</v>
      </c>
      <c r="U12" t="s">
        <v>1734</v>
      </c>
      <c r="V12">
        <v>1</v>
      </c>
      <c r="W12" s="77"/>
    </row>
    <row r="13" spans="1:23" ht="15" customHeight="1" x14ac:dyDescent="0.25">
      <c r="A13" s="2" t="s">
        <v>1687</v>
      </c>
      <c r="B13" s="2" t="s">
        <v>572</v>
      </c>
      <c r="C13" s="2">
        <v>9</v>
      </c>
      <c r="D13" s="78">
        <v>528</v>
      </c>
      <c r="E13" s="78">
        <v>4</v>
      </c>
      <c r="F13" s="140"/>
      <c r="G13" t="s">
        <v>555</v>
      </c>
      <c r="H13" s="2" t="s">
        <v>88</v>
      </c>
      <c r="I13" t="s">
        <v>89</v>
      </c>
      <c r="J13"/>
      <c r="L13" t="s">
        <v>856</v>
      </c>
      <c r="M13" s="148"/>
      <c r="N13" s="148"/>
      <c r="O13" s="148"/>
      <c r="P13" s="147"/>
      <c r="Q13" s="147"/>
      <c r="T13" s="78" t="s">
        <v>1755</v>
      </c>
      <c r="U13" t="s">
        <v>1734</v>
      </c>
      <c r="V13">
        <v>1</v>
      </c>
      <c r="W13" s="77"/>
    </row>
    <row r="14" spans="1:23" ht="15" customHeight="1" x14ac:dyDescent="0.25">
      <c r="A14" s="2" t="s">
        <v>1687</v>
      </c>
      <c r="B14" s="2" t="s">
        <v>572</v>
      </c>
      <c r="C14" s="2">
        <v>9</v>
      </c>
      <c r="D14" s="78">
        <v>545</v>
      </c>
      <c r="E14" s="78">
        <v>4</v>
      </c>
      <c r="F14" s="140"/>
      <c r="G14" t="s">
        <v>534</v>
      </c>
      <c r="H14" s="2" t="s">
        <v>505</v>
      </c>
      <c r="I14" t="s">
        <v>24</v>
      </c>
      <c r="J14"/>
      <c r="L14" t="s">
        <v>856</v>
      </c>
      <c r="M14" s="148"/>
      <c r="N14" s="148"/>
      <c r="O14" s="148"/>
      <c r="P14" s="147"/>
      <c r="Q14" s="147"/>
      <c r="T14" s="78" t="s">
        <v>1755</v>
      </c>
      <c r="U14" t="s">
        <v>1734</v>
      </c>
      <c r="V14">
        <v>1</v>
      </c>
      <c r="W14" s="77"/>
    </row>
    <row r="15" spans="1:23" ht="15" customHeight="1" x14ac:dyDescent="0.25">
      <c r="A15" s="2" t="s">
        <v>1687</v>
      </c>
      <c r="B15" s="2" t="s">
        <v>572</v>
      </c>
      <c r="C15" s="2">
        <v>9</v>
      </c>
      <c r="D15" s="78">
        <v>547</v>
      </c>
      <c r="E15" s="78">
        <v>4</v>
      </c>
      <c r="F15" s="175" t="s">
        <v>545</v>
      </c>
      <c r="G15" t="s">
        <v>546</v>
      </c>
      <c r="H15" s="2" t="s">
        <v>506</v>
      </c>
      <c r="I15" t="s">
        <v>76</v>
      </c>
      <c r="J15" t="s">
        <v>858</v>
      </c>
      <c r="L15" t="s">
        <v>856</v>
      </c>
      <c r="M15" s="148"/>
      <c r="N15" s="148"/>
      <c r="O15" s="148"/>
      <c r="P15" s="147"/>
      <c r="Q15" s="147"/>
      <c r="T15" s="78" t="s">
        <v>1755</v>
      </c>
      <c r="U15" s="165" t="s">
        <v>1712</v>
      </c>
      <c r="V15">
        <v>1</v>
      </c>
      <c r="W15" s="77"/>
    </row>
    <row r="16" spans="1:23" ht="15" customHeight="1" x14ac:dyDescent="0.25">
      <c r="A16" s="2" t="s">
        <v>1687</v>
      </c>
      <c r="B16" s="2" t="s">
        <v>572</v>
      </c>
      <c r="C16" s="2">
        <v>9</v>
      </c>
      <c r="D16" s="78">
        <v>603</v>
      </c>
      <c r="E16" s="78">
        <v>4</v>
      </c>
      <c r="F16" s="140" t="s">
        <v>564</v>
      </c>
      <c r="G16" t="s">
        <v>565</v>
      </c>
      <c r="H16" s="2" t="s">
        <v>264</v>
      </c>
      <c r="I16" t="s">
        <v>265</v>
      </c>
      <c r="J16"/>
      <c r="L16" t="s">
        <v>856</v>
      </c>
      <c r="M16" s="148"/>
      <c r="N16" s="148"/>
      <c r="O16" s="148"/>
      <c r="P16" s="147"/>
      <c r="Q16" s="147"/>
      <c r="T16" s="78" t="s">
        <v>1755</v>
      </c>
      <c r="U16" s="165" t="s">
        <v>1734</v>
      </c>
      <c r="V16">
        <v>1</v>
      </c>
      <c r="W16" s="77"/>
    </row>
    <row r="17" spans="1:23" ht="15" customHeight="1" x14ac:dyDescent="0.25">
      <c r="A17" s="2" t="s">
        <v>1687</v>
      </c>
      <c r="B17" s="2" t="s">
        <v>572</v>
      </c>
      <c r="C17" s="2">
        <v>9</v>
      </c>
      <c r="D17" s="78">
        <v>605</v>
      </c>
      <c r="E17" s="78">
        <v>4</v>
      </c>
      <c r="F17" s="140" t="s">
        <v>549</v>
      </c>
      <c r="G17" t="s">
        <v>550</v>
      </c>
      <c r="H17" s="2" t="s">
        <v>7</v>
      </c>
      <c r="I17" t="s">
        <v>8</v>
      </c>
      <c r="J17" s="49" t="s">
        <v>894</v>
      </c>
      <c r="K17" s="49"/>
      <c r="L17" t="s">
        <v>856</v>
      </c>
      <c r="M17" s="148"/>
      <c r="N17" s="148"/>
      <c r="O17" s="148"/>
      <c r="P17" s="147"/>
      <c r="Q17" s="147"/>
      <c r="T17" s="78" t="s">
        <v>1755</v>
      </c>
      <c r="U17" s="165" t="s">
        <v>1734</v>
      </c>
      <c r="V17">
        <v>1</v>
      </c>
      <c r="W17" s="77"/>
    </row>
    <row r="18" spans="1:23" ht="15" customHeight="1" x14ac:dyDescent="0.25">
      <c r="A18" s="2" t="s">
        <v>1687</v>
      </c>
      <c r="B18" s="2" t="s">
        <v>572</v>
      </c>
      <c r="C18" s="2">
        <v>9</v>
      </c>
      <c r="D18" s="78">
        <v>666</v>
      </c>
      <c r="E18" s="78">
        <v>4</v>
      </c>
      <c r="F18" s="140" t="s">
        <v>561</v>
      </c>
      <c r="G18" t="s">
        <v>562</v>
      </c>
      <c r="H18" s="106" t="s">
        <v>195</v>
      </c>
      <c r="I18" t="s">
        <v>196</v>
      </c>
      <c r="J18" s="49" t="s">
        <v>894</v>
      </c>
      <c r="K18" s="49"/>
      <c r="L18" t="s">
        <v>856</v>
      </c>
      <c r="M18" s="148"/>
      <c r="N18" s="148"/>
      <c r="O18" s="148"/>
      <c r="P18" s="147"/>
      <c r="Q18" s="147"/>
      <c r="T18" s="78" t="s">
        <v>1755</v>
      </c>
      <c r="U18" s="165" t="s">
        <v>1734</v>
      </c>
      <c r="V18">
        <v>1</v>
      </c>
      <c r="W18" s="77"/>
    </row>
    <row r="19" spans="1:23" ht="15" customHeight="1" x14ac:dyDescent="0.25">
      <c r="A19" s="2" t="s">
        <v>1687</v>
      </c>
      <c r="B19" s="78" t="s">
        <v>572</v>
      </c>
      <c r="C19" s="78">
        <v>9</v>
      </c>
      <c r="D19" s="78">
        <v>700</v>
      </c>
      <c r="E19" s="78">
        <v>4</v>
      </c>
      <c r="F19" s="140" t="s">
        <v>547</v>
      </c>
      <c r="G19" t="s">
        <v>548</v>
      </c>
      <c r="H19" s="106" t="s">
        <v>9</v>
      </c>
      <c r="I19" t="s">
        <v>10</v>
      </c>
      <c r="J19" t="s">
        <v>901</v>
      </c>
      <c r="L19" t="s">
        <v>856</v>
      </c>
      <c r="M19" s="148"/>
      <c r="N19" s="148"/>
      <c r="O19" s="148"/>
      <c r="P19" s="147"/>
      <c r="Q19" s="147"/>
      <c r="T19" s="78" t="s">
        <v>1755</v>
      </c>
      <c r="U19" s="165" t="s">
        <v>1734</v>
      </c>
      <c r="V19">
        <v>1</v>
      </c>
      <c r="W19" s="77"/>
    </row>
    <row r="20" spans="1:23" ht="15" customHeight="1" x14ac:dyDescent="0.25">
      <c r="A20" s="2" t="s">
        <v>1687</v>
      </c>
      <c r="B20" s="78" t="s">
        <v>572</v>
      </c>
      <c r="C20" s="78">
        <v>9</v>
      </c>
      <c r="D20" s="78">
        <v>855</v>
      </c>
      <c r="E20" s="78">
        <v>4</v>
      </c>
      <c r="F20" s="68" t="s">
        <v>543</v>
      </c>
      <c r="G20" t="s">
        <v>544</v>
      </c>
      <c r="H20" s="106" t="s">
        <v>507</v>
      </c>
      <c r="I20" t="s">
        <v>76</v>
      </c>
      <c r="J20" t="s">
        <v>850</v>
      </c>
      <c r="L20" t="s">
        <v>856</v>
      </c>
      <c r="M20" s="148"/>
      <c r="N20" s="148"/>
      <c r="O20" s="148"/>
      <c r="P20" s="147"/>
      <c r="Q20" s="147"/>
      <c r="R20" s="166">
        <v>39692</v>
      </c>
      <c r="T20" s="78" t="s">
        <v>1755</v>
      </c>
      <c r="U20" t="s">
        <v>1702</v>
      </c>
      <c r="V20">
        <v>1</v>
      </c>
      <c r="W20" s="77"/>
    </row>
    <row r="21" spans="1:23" ht="15" customHeight="1" x14ac:dyDescent="0.25">
      <c r="A21" s="2" t="s">
        <v>1687</v>
      </c>
      <c r="B21" s="78" t="s">
        <v>572</v>
      </c>
      <c r="C21" s="78">
        <v>9</v>
      </c>
      <c r="D21" s="78">
        <v>856</v>
      </c>
      <c r="E21" s="78">
        <v>4</v>
      </c>
      <c r="F21" s="68" t="s">
        <v>539</v>
      </c>
      <c r="G21" t="s">
        <v>540</v>
      </c>
      <c r="H21" s="106" t="s">
        <v>197</v>
      </c>
      <c r="I21" t="s">
        <v>76</v>
      </c>
      <c r="J21" t="s">
        <v>850</v>
      </c>
      <c r="L21" t="s">
        <v>856</v>
      </c>
      <c r="M21" s="148"/>
      <c r="N21" s="148"/>
      <c r="O21" s="148"/>
      <c r="P21" s="147"/>
      <c r="Q21" s="147"/>
      <c r="R21" s="166">
        <v>39692</v>
      </c>
      <c r="T21" s="78" t="s">
        <v>1755</v>
      </c>
      <c r="U21" s="164" t="s">
        <v>1702</v>
      </c>
      <c r="V21">
        <v>1</v>
      </c>
      <c r="W21" s="77"/>
    </row>
    <row r="22" spans="1:23" ht="15" customHeight="1" x14ac:dyDescent="0.25">
      <c r="A22" s="2" t="s">
        <v>1687</v>
      </c>
      <c r="B22" s="2" t="s">
        <v>535</v>
      </c>
      <c r="C22" s="2">
        <v>31</v>
      </c>
      <c r="D22" s="78">
        <v>506</v>
      </c>
      <c r="E22" s="78">
        <v>4</v>
      </c>
      <c r="F22" s="140" t="s">
        <v>535</v>
      </c>
      <c r="G22" t="s">
        <v>536</v>
      </c>
      <c r="H22" s="106" t="s">
        <v>508</v>
      </c>
      <c r="I22" t="s">
        <v>92</v>
      </c>
      <c r="J22" t="s">
        <v>850</v>
      </c>
      <c r="L22" t="s">
        <v>856</v>
      </c>
      <c r="M22" s="148"/>
      <c r="N22" s="148"/>
      <c r="O22" s="148"/>
      <c r="P22" s="147"/>
      <c r="Q22" s="147"/>
      <c r="T22" s="78" t="s">
        <v>1755</v>
      </c>
      <c r="U22" t="s">
        <v>1734</v>
      </c>
      <c r="V22">
        <v>1</v>
      </c>
      <c r="W22" s="77"/>
    </row>
    <row r="23" spans="1:23" ht="15" customHeight="1" x14ac:dyDescent="0.25">
      <c r="A23" s="2" t="s">
        <v>1687</v>
      </c>
      <c r="B23" s="2" t="s">
        <v>535</v>
      </c>
      <c r="C23" s="2">
        <v>31</v>
      </c>
      <c r="D23" s="78">
        <v>507</v>
      </c>
      <c r="E23" s="78">
        <v>4</v>
      </c>
      <c r="F23" s="140" t="s">
        <v>535</v>
      </c>
      <c r="G23" t="s">
        <v>551</v>
      </c>
      <c r="H23" s="106" t="s">
        <v>7</v>
      </c>
      <c r="I23" t="s">
        <v>8</v>
      </c>
      <c r="J23" t="s">
        <v>850</v>
      </c>
      <c r="L23" t="s">
        <v>856</v>
      </c>
      <c r="M23" s="148"/>
      <c r="N23" s="148"/>
      <c r="O23" s="148"/>
      <c r="P23" s="147"/>
      <c r="Q23" s="147"/>
      <c r="T23" s="78" t="s">
        <v>1755</v>
      </c>
      <c r="U23" t="s">
        <v>1734</v>
      </c>
      <c r="V23">
        <v>1</v>
      </c>
      <c r="W23" s="77"/>
    </row>
    <row r="24" spans="1:23" ht="15" customHeight="1" x14ac:dyDescent="0.25">
      <c r="A24" s="2" t="s">
        <v>1687</v>
      </c>
      <c r="B24" s="2" t="s">
        <v>535</v>
      </c>
      <c r="C24" s="2">
        <v>31</v>
      </c>
      <c r="D24" s="78">
        <v>508</v>
      </c>
      <c r="E24" s="78">
        <v>4</v>
      </c>
      <c r="F24" s="140" t="s">
        <v>535</v>
      </c>
      <c r="G24" t="s">
        <v>563</v>
      </c>
      <c r="H24" s="2" t="s">
        <v>83</v>
      </c>
      <c r="I24" t="s">
        <v>84</v>
      </c>
      <c r="J24" s="49" t="s">
        <v>894</v>
      </c>
      <c r="K24" s="49"/>
      <c r="L24" t="s">
        <v>856</v>
      </c>
      <c r="M24" s="148"/>
      <c r="N24" s="148"/>
      <c r="O24" s="148"/>
      <c r="P24" s="147"/>
      <c r="Q24" s="147"/>
      <c r="T24" s="78" t="s">
        <v>1755</v>
      </c>
      <c r="U24" t="s">
        <v>1734</v>
      </c>
      <c r="V24">
        <v>1</v>
      </c>
      <c r="W24" s="77"/>
    </row>
    <row r="25" spans="1:23" ht="15" customHeight="1" x14ac:dyDescent="0.25">
      <c r="A25" s="2" t="s">
        <v>1687</v>
      </c>
      <c r="B25" s="2" t="s">
        <v>574</v>
      </c>
      <c r="C25" s="2">
        <v>86</v>
      </c>
      <c r="D25" s="78">
        <v>201</v>
      </c>
      <c r="E25" s="69">
        <v>4</v>
      </c>
      <c r="F25" s="175" t="s">
        <v>566</v>
      </c>
      <c r="G25" t="s">
        <v>567</v>
      </c>
      <c r="H25" s="2" t="s">
        <v>264</v>
      </c>
      <c r="I25" t="s">
        <v>265</v>
      </c>
      <c r="J25" t="s">
        <v>850</v>
      </c>
      <c r="L25" t="s">
        <v>856</v>
      </c>
      <c r="M25" s="148"/>
      <c r="N25" s="148"/>
      <c r="O25" s="148"/>
      <c r="P25" s="147"/>
      <c r="Q25" s="147"/>
      <c r="T25" s="78" t="s">
        <v>1755</v>
      </c>
      <c r="U25" s="165" t="s">
        <v>1712</v>
      </c>
      <c r="V25">
        <v>1</v>
      </c>
      <c r="W25" s="77"/>
    </row>
    <row r="26" spans="1:23" ht="15" customHeight="1" x14ac:dyDescent="0.25">
      <c r="A26" s="2" t="s">
        <v>1687</v>
      </c>
      <c r="B26" s="2" t="s">
        <v>574</v>
      </c>
      <c r="C26" s="2">
        <v>86</v>
      </c>
      <c r="D26" s="78">
        <v>204</v>
      </c>
      <c r="E26" s="78">
        <v>4</v>
      </c>
      <c r="F26" s="140" t="s">
        <v>556</v>
      </c>
      <c r="G26" t="s">
        <v>557</v>
      </c>
      <c r="H26" s="2" t="s">
        <v>509</v>
      </c>
      <c r="I26" t="s">
        <v>510</v>
      </c>
      <c r="J26" t="s">
        <v>515</v>
      </c>
      <c r="L26" t="s">
        <v>838</v>
      </c>
      <c r="M26" s="148"/>
      <c r="N26" s="148"/>
      <c r="O26" s="148"/>
      <c r="P26" s="147"/>
      <c r="Q26" s="147"/>
      <c r="T26" s="78" t="s">
        <v>1755</v>
      </c>
      <c r="U26" s="165" t="s">
        <v>1734</v>
      </c>
      <c r="V26">
        <v>1</v>
      </c>
      <c r="W26" s="77"/>
    </row>
    <row r="27" spans="1:23" ht="15" customHeight="1" x14ac:dyDescent="0.25">
      <c r="A27" s="2" t="s">
        <v>1687</v>
      </c>
      <c r="B27" s="2" t="s">
        <v>574</v>
      </c>
      <c r="C27" s="2">
        <v>86</v>
      </c>
      <c r="D27" s="78">
        <v>205</v>
      </c>
      <c r="E27" s="78">
        <v>4</v>
      </c>
      <c r="F27" s="140" t="s">
        <v>558</v>
      </c>
      <c r="G27" t="s">
        <v>855</v>
      </c>
      <c r="H27" s="2" t="s">
        <v>509</v>
      </c>
      <c r="I27" t="s">
        <v>510</v>
      </c>
      <c r="J27" t="s">
        <v>515</v>
      </c>
      <c r="L27" t="s">
        <v>856</v>
      </c>
      <c r="M27" s="148"/>
      <c r="N27" s="148"/>
      <c r="O27" s="148"/>
      <c r="P27" s="147"/>
      <c r="Q27" s="147"/>
      <c r="T27" s="78" t="s">
        <v>1755</v>
      </c>
      <c r="U27" s="165" t="s">
        <v>1734</v>
      </c>
      <c r="V27">
        <v>1</v>
      </c>
      <c r="W27" s="77"/>
    </row>
    <row r="28" spans="1:23" ht="15" customHeight="1" x14ac:dyDescent="0.25">
      <c r="A28" s="2" t="s">
        <v>1687</v>
      </c>
      <c r="B28" s="2" t="s">
        <v>574</v>
      </c>
      <c r="C28" s="2">
        <v>86</v>
      </c>
      <c r="D28" s="78">
        <v>208</v>
      </c>
      <c r="E28" s="78">
        <v>4</v>
      </c>
      <c r="F28" s="140" t="s">
        <v>533</v>
      </c>
      <c r="G28" t="s">
        <v>532</v>
      </c>
      <c r="H28" s="2" t="s">
        <v>511</v>
      </c>
      <c r="I28" t="s">
        <v>512</v>
      </c>
      <c r="J28" s="49" t="s">
        <v>894</v>
      </c>
      <c r="K28" s="49"/>
      <c r="L28" t="s">
        <v>864</v>
      </c>
      <c r="M28" s="148"/>
      <c r="N28" s="148"/>
      <c r="O28" s="148"/>
      <c r="P28" s="147"/>
      <c r="Q28" s="147"/>
      <c r="T28" s="78" t="s">
        <v>1755</v>
      </c>
      <c r="U28" s="165" t="s">
        <v>1734</v>
      </c>
      <c r="V28">
        <v>1</v>
      </c>
      <c r="W28" s="77"/>
    </row>
    <row r="29" spans="1:23" ht="15" customHeight="1" x14ac:dyDescent="0.25">
      <c r="A29" s="2" t="s">
        <v>1687</v>
      </c>
      <c r="B29" s="2" t="s">
        <v>574</v>
      </c>
      <c r="C29" s="2">
        <v>86</v>
      </c>
      <c r="D29" s="78">
        <v>209</v>
      </c>
      <c r="E29" s="78">
        <v>4</v>
      </c>
      <c r="F29" s="140" t="s">
        <v>530</v>
      </c>
      <c r="G29" t="s">
        <v>531</v>
      </c>
      <c r="H29" s="2" t="s">
        <v>467</v>
      </c>
      <c r="I29" t="s">
        <v>468</v>
      </c>
      <c r="J29" t="s">
        <v>850</v>
      </c>
      <c r="L29" t="s">
        <v>856</v>
      </c>
      <c r="M29" s="148"/>
      <c r="N29" s="148"/>
      <c r="O29" s="148"/>
      <c r="P29" s="147"/>
      <c r="Q29" s="147"/>
      <c r="T29" s="78" t="s">
        <v>1755</v>
      </c>
      <c r="U29" s="165" t="s">
        <v>1734</v>
      </c>
      <c r="V29">
        <v>1</v>
      </c>
      <c r="W29" s="77"/>
    </row>
    <row r="30" spans="1:23" ht="15" customHeight="1" x14ac:dyDescent="0.25">
      <c r="A30" s="2" t="s">
        <v>1687</v>
      </c>
      <c r="B30" s="2" t="s">
        <v>574</v>
      </c>
      <c r="C30" s="2">
        <v>86</v>
      </c>
      <c r="D30" s="78">
        <v>211</v>
      </c>
      <c r="E30" s="78">
        <v>4</v>
      </c>
      <c r="F30" s="140"/>
      <c r="G30" t="s">
        <v>529</v>
      </c>
      <c r="H30" s="2" t="s">
        <v>7</v>
      </c>
      <c r="I30" t="s">
        <v>8</v>
      </c>
      <c r="J30" t="s">
        <v>514</v>
      </c>
      <c r="L30" t="s">
        <v>856</v>
      </c>
      <c r="M30" s="148"/>
      <c r="N30" s="148"/>
      <c r="O30" s="148"/>
      <c r="P30" s="147"/>
      <c r="Q30" s="147"/>
      <c r="T30" s="78" t="s">
        <v>1755</v>
      </c>
      <c r="U30" t="s">
        <v>1734</v>
      </c>
      <c r="V30">
        <v>1</v>
      </c>
      <c r="W30" s="77"/>
    </row>
    <row r="31" spans="1:23" ht="15" customHeight="1" x14ac:dyDescent="0.25">
      <c r="A31" s="2" t="s">
        <v>1687</v>
      </c>
      <c r="B31" s="2" t="s">
        <v>574</v>
      </c>
      <c r="C31" s="2">
        <v>86</v>
      </c>
      <c r="D31" s="78">
        <v>213</v>
      </c>
      <c r="E31" s="78">
        <v>4</v>
      </c>
      <c r="F31" s="140" t="s">
        <v>527</v>
      </c>
      <c r="G31" t="s">
        <v>528</v>
      </c>
      <c r="H31" s="2" t="s">
        <v>509</v>
      </c>
      <c r="I31" t="s">
        <v>510</v>
      </c>
      <c r="J31" t="s">
        <v>515</v>
      </c>
      <c r="L31" t="s">
        <v>856</v>
      </c>
      <c r="M31" s="148"/>
      <c r="N31" s="148"/>
      <c r="O31" s="148"/>
      <c r="P31" s="147"/>
      <c r="Q31" s="147"/>
      <c r="T31" s="78" t="s">
        <v>1755</v>
      </c>
      <c r="U31" t="s">
        <v>1734</v>
      </c>
      <c r="V31">
        <v>1</v>
      </c>
      <c r="W31" s="77"/>
    </row>
    <row r="32" spans="1:23" ht="15" customHeight="1" x14ac:dyDescent="0.25">
      <c r="A32" s="2" t="s">
        <v>1687</v>
      </c>
      <c r="B32" s="2" t="s">
        <v>574</v>
      </c>
      <c r="C32" s="2">
        <v>86</v>
      </c>
      <c r="D32" s="78">
        <v>219</v>
      </c>
      <c r="E32" s="78">
        <v>4</v>
      </c>
      <c r="F32" s="140" t="s">
        <v>525</v>
      </c>
      <c r="G32" t="s">
        <v>526</v>
      </c>
      <c r="H32" s="2" t="s">
        <v>7</v>
      </c>
      <c r="I32" t="s">
        <v>8</v>
      </c>
      <c r="J32" t="s">
        <v>514</v>
      </c>
      <c r="L32" t="s">
        <v>856</v>
      </c>
      <c r="M32" s="148"/>
      <c r="N32" s="148"/>
      <c r="O32" s="148"/>
      <c r="P32" s="147"/>
      <c r="Q32" s="147"/>
      <c r="T32" s="78" t="s">
        <v>1755</v>
      </c>
      <c r="U32" t="s">
        <v>1734</v>
      </c>
      <c r="V32">
        <v>1</v>
      </c>
      <c r="W32" s="77"/>
    </row>
    <row r="33" spans="1:23" ht="15" customHeight="1" x14ac:dyDescent="0.25">
      <c r="A33" s="2" t="s">
        <v>1687</v>
      </c>
      <c r="B33" s="2" t="s">
        <v>574</v>
      </c>
      <c r="C33" s="2">
        <v>86</v>
      </c>
      <c r="D33" s="78">
        <v>220</v>
      </c>
      <c r="E33" s="78">
        <v>4</v>
      </c>
      <c r="F33" s="140"/>
      <c r="G33" t="s">
        <v>524</v>
      </c>
      <c r="H33" s="2" t="s">
        <v>7</v>
      </c>
      <c r="I33" t="s">
        <v>8</v>
      </c>
      <c r="J33" t="s">
        <v>514</v>
      </c>
      <c r="L33" t="s">
        <v>856</v>
      </c>
      <c r="M33" s="148"/>
      <c r="N33" s="148"/>
      <c r="O33" s="148"/>
      <c r="P33" s="147"/>
      <c r="Q33" s="147"/>
      <c r="T33" s="78" t="s">
        <v>1755</v>
      </c>
      <c r="U33" t="s">
        <v>1734</v>
      </c>
      <c r="V33">
        <v>1</v>
      </c>
      <c r="W33" s="77"/>
    </row>
    <row r="34" spans="1:23" ht="15" customHeight="1" x14ac:dyDescent="0.25">
      <c r="A34" s="2" t="s">
        <v>1687</v>
      </c>
      <c r="B34" s="2" t="s">
        <v>574</v>
      </c>
      <c r="C34" s="2">
        <v>86</v>
      </c>
      <c r="D34" s="78">
        <v>221</v>
      </c>
      <c r="E34" s="78">
        <v>4</v>
      </c>
      <c r="F34" s="140"/>
      <c r="G34" t="s">
        <v>523</v>
      </c>
      <c r="H34" s="2" t="s">
        <v>21</v>
      </c>
      <c r="I34" t="s">
        <v>22</v>
      </c>
      <c r="J34" t="s">
        <v>514</v>
      </c>
      <c r="L34" t="s">
        <v>838</v>
      </c>
      <c r="M34" s="148"/>
      <c r="N34" s="148"/>
      <c r="O34" s="148"/>
      <c r="P34" s="147"/>
      <c r="Q34" s="147"/>
      <c r="T34" s="78" t="s">
        <v>1755</v>
      </c>
      <c r="U34" t="s">
        <v>1734</v>
      </c>
      <c r="V34">
        <v>1</v>
      </c>
      <c r="W34" s="77"/>
    </row>
    <row r="35" spans="1:23" ht="15" customHeight="1" x14ac:dyDescent="0.25">
      <c r="A35" s="2" t="s">
        <v>1687</v>
      </c>
      <c r="B35" s="2" t="s">
        <v>574</v>
      </c>
      <c r="C35" s="2">
        <v>86</v>
      </c>
      <c r="D35" s="78">
        <v>222</v>
      </c>
      <c r="E35" s="78">
        <v>4</v>
      </c>
      <c r="F35" s="140"/>
      <c r="G35" t="s">
        <v>522</v>
      </c>
      <c r="H35" s="2" t="s">
        <v>9</v>
      </c>
      <c r="I35" t="s">
        <v>10</v>
      </c>
      <c r="J35" t="s">
        <v>514</v>
      </c>
      <c r="L35" t="s">
        <v>856</v>
      </c>
      <c r="M35" s="148"/>
      <c r="N35" s="148"/>
      <c r="O35" s="148"/>
      <c r="P35" s="147"/>
      <c r="Q35" s="147"/>
      <c r="T35" s="78" t="s">
        <v>1755</v>
      </c>
      <c r="U35" t="s">
        <v>1734</v>
      </c>
      <c r="V35">
        <v>1</v>
      </c>
      <c r="W35" s="77"/>
    </row>
    <row r="36" spans="1:23" ht="15" customHeight="1" x14ac:dyDescent="0.25">
      <c r="A36" s="2" t="s">
        <v>1687</v>
      </c>
      <c r="B36" s="2" t="s">
        <v>574</v>
      </c>
      <c r="C36" s="2">
        <v>86</v>
      </c>
      <c r="D36" s="78">
        <v>223</v>
      </c>
      <c r="E36" s="78">
        <v>4</v>
      </c>
      <c r="F36" s="140"/>
      <c r="G36" t="s">
        <v>521</v>
      </c>
      <c r="H36" s="2" t="s">
        <v>3</v>
      </c>
      <c r="I36" t="s">
        <v>4</v>
      </c>
      <c r="J36" t="s">
        <v>514</v>
      </c>
      <c r="L36" t="s">
        <v>856</v>
      </c>
      <c r="M36" s="148"/>
      <c r="N36" s="148"/>
      <c r="O36" s="148"/>
      <c r="P36" s="147"/>
      <c r="Q36" s="147"/>
      <c r="T36" s="78" t="s">
        <v>1755</v>
      </c>
      <c r="U36" t="s">
        <v>1734</v>
      </c>
      <c r="V36">
        <v>1</v>
      </c>
      <c r="W36" s="77"/>
    </row>
    <row r="37" spans="1:23" x14ac:dyDescent="0.25">
      <c r="A37" s="2" t="s">
        <v>1687</v>
      </c>
      <c r="B37" s="2" t="s">
        <v>516</v>
      </c>
      <c r="C37" s="2">
        <v>106</v>
      </c>
      <c r="D37" s="78">
        <v>106</v>
      </c>
      <c r="E37" s="78">
        <v>4</v>
      </c>
      <c r="F37" s="140"/>
      <c r="G37" t="s">
        <v>518</v>
      </c>
      <c r="H37" s="2" t="s">
        <v>3</v>
      </c>
      <c r="I37" t="s">
        <v>4</v>
      </c>
      <c r="J37" t="s">
        <v>850</v>
      </c>
      <c r="L37" t="s">
        <v>856</v>
      </c>
      <c r="M37" s="148"/>
      <c r="N37" s="148"/>
      <c r="O37" s="148"/>
      <c r="P37" s="147"/>
      <c r="Q37" s="147"/>
      <c r="T37" s="78" t="s">
        <v>1755</v>
      </c>
      <c r="U37" t="s">
        <v>1734</v>
      </c>
      <c r="V37">
        <v>1</v>
      </c>
      <c r="W37" s="77"/>
    </row>
    <row r="46" spans="1:23" ht="15.75" thickBot="1" x14ac:dyDescent="0.3"/>
    <row r="47" spans="1:23" ht="21.75" thickBot="1" x14ac:dyDescent="0.4">
      <c r="K47" s="39">
        <f>SUM(V10:V37)</f>
        <v>28</v>
      </c>
    </row>
  </sheetData>
  <mergeCells count="4">
    <mergeCell ref="A2:D2"/>
    <mergeCell ref="A3:B3"/>
    <mergeCell ref="M8:O8"/>
    <mergeCell ref="P8:Q8"/>
  </mergeCells>
  <hyperlinks>
    <hyperlink ref="G14" r:id="rId1" xr:uid="{00000000-0004-0000-0C00-000000000000}"/>
    <hyperlink ref="G33" r:id="rId2" xr:uid="{00000000-0004-0000-0C00-000001000000}"/>
    <hyperlink ref="B22" r:id="rId3" xr:uid="{00000000-0004-0000-0C00-000002000000}"/>
    <hyperlink ref="B22:B23" r:id="rId4" display="Rée's Legat" xr:uid="{00000000-0004-0000-0C00-000003000000}"/>
  </hyperlinks>
  <pageMargins left="0.7" right="0.7" top="0.75" bottom="0.75" header="0.3" footer="0.3"/>
  <pageSetup paperSize="8" scale="53" fitToHeight="0" orientation="landscape" r:id="rId5"/>
  <tableParts count="1"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X47"/>
  <sheetViews>
    <sheetView zoomScale="70" zoomScaleNormal="70" workbookViewId="0">
      <selection activeCell="F25" sqref="F25"/>
    </sheetView>
  </sheetViews>
  <sheetFormatPr defaultRowHeight="15" x14ac:dyDescent="0.25"/>
  <cols>
    <col min="1" max="1" width="9.140625" style="2"/>
    <col min="2" max="2" width="16.140625" style="2" bestFit="1" customWidth="1"/>
    <col min="3" max="3" width="10.85546875" style="2" customWidth="1"/>
    <col min="4" max="4" width="15.140625" style="2" customWidth="1"/>
    <col min="5" max="5" width="12.28515625" bestFit="1" customWidth="1"/>
    <col min="6" max="6" width="24" bestFit="1" customWidth="1"/>
    <col min="7" max="7" width="72.5703125" style="2" customWidth="1"/>
    <col min="8" max="8" width="9.85546875" customWidth="1"/>
    <col min="9" max="9" width="13.42578125" bestFit="1" customWidth="1"/>
    <col min="10" max="10" width="24.42578125" style="2" bestFit="1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6" max="17" width="12.7109375" bestFit="1" customWidth="1"/>
    <col min="18" max="18" width="15.85546875" customWidth="1"/>
    <col min="19" max="19" width="11.42578125" customWidth="1"/>
    <col min="20" max="20" width="12" style="164" customWidth="1"/>
    <col min="21" max="21" width="41" customWidth="1"/>
  </cols>
  <sheetData>
    <row r="1" spans="1:23" ht="18.75" x14ac:dyDescent="0.3">
      <c r="A1" s="30" t="s">
        <v>846</v>
      </c>
      <c r="B1" s="26"/>
      <c r="C1" s="7"/>
    </row>
    <row r="2" spans="1:23" ht="15.75" thickBot="1" x14ac:dyDescent="0.3">
      <c r="A2" s="184" t="s">
        <v>513</v>
      </c>
      <c r="B2" s="184"/>
      <c r="C2" s="184"/>
      <c r="D2" s="184"/>
    </row>
    <row r="3" spans="1:23" x14ac:dyDescent="0.25">
      <c r="A3" s="184" t="s">
        <v>178</v>
      </c>
      <c r="B3" s="184"/>
      <c r="C3" s="20">
        <f>K7</f>
        <v>22</v>
      </c>
      <c r="J3" s="40" t="s">
        <v>838</v>
      </c>
      <c r="K3" s="41">
        <f>COUNTIFS(L:L,J3)</f>
        <v>11</v>
      </c>
    </row>
    <row r="4" spans="1:23" x14ac:dyDescent="0.25">
      <c r="A4" s="31" t="s">
        <v>311</v>
      </c>
      <c r="B4" s="22"/>
      <c r="C4" s="12"/>
      <c r="J4" s="42" t="s">
        <v>856</v>
      </c>
      <c r="K4" s="43">
        <f>COUNTIFS(L:L,J4)</f>
        <v>11</v>
      </c>
    </row>
    <row r="5" spans="1:23" x14ac:dyDescent="0.25">
      <c r="A5" s="25" t="s">
        <v>179</v>
      </c>
      <c r="B5" s="22"/>
      <c r="C5" s="12"/>
      <c r="D5" s="12"/>
      <c r="J5" s="42" t="s">
        <v>860</v>
      </c>
      <c r="K5" s="43">
        <f>COUNTIFS(L:L,J5)</f>
        <v>0</v>
      </c>
    </row>
    <row r="6" spans="1:23" ht="15.75" thickBot="1" x14ac:dyDescent="0.3">
      <c r="B6"/>
      <c r="C6" s="34"/>
      <c r="D6" s="34"/>
      <c r="E6" s="34"/>
      <c r="J6" s="44" t="s">
        <v>864</v>
      </c>
      <c r="K6" s="45">
        <f>COUNTIFS(L:L,J6)</f>
        <v>0</v>
      </c>
    </row>
    <row r="7" spans="1:23" x14ac:dyDescent="0.25">
      <c r="J7" s="78"/>
      <c r="K7" s="78">
        <f>SUM(K3:K6)</f>
        <v>22</v>
      </c>
    </row>
    <row r="8" spans="1:23" x14ac:dyDescent="0.25">
      <c r="A8" s="78"/>
      <c r="B8" s="78"/>
      <c r="C8" s="78"/>
      <c r="D8" s="78"/>
      <c r="G8" s="78"/>
      <c r="J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1138</v>
      </c>
      <c r="B10" s="78"/>
      <c r="C10" s="78">
        <v>2</v>
      </c>
      <c r="D10" s="78">
        <v>716</v>
      </c>
      <c r="E10" s="78">
        <v>4</v>
      </c>
      <c r="F10" s="175" t="s">
        <v>1149</v>
      </c>
      <c r="G10" t="s">
        <v>1150</v>
      </c>
      <c r="H10" s="78" t="s">
        <v>266</v>
      </c>
      <c r="I10" s="10" t="s">
        <v>267</v>
      </c>
      <c r="J10" s="91" t="s">
        <v>1151</v>
      </c>
      <c r="K10" s="91"/>
      <c r="L10" t="s">
        <v>856</v>
      </c>
      <c r="M10" s="148"/>
      <c r="N10" s="148"/>
      <c r="O10" s="148"/>
      <c r="P10" s="147"/>
      <c r="Q10" s="147">
        <v>3657.5</v>
      </c>
      <c r="R10" s="166">
        <v>42064</v>
      </c>
      <c r="T10" s="78" t="s">
        <v>1754</v>
      </c>
      <c r="U10" t="s">
        <v>1729</v>
      </c>
      <c r="V10">
        <v>1</v>
      </c>
      <c r="W10" s="77"/>
    </row>
    <row r="11" spans="1:23" ht="15" customHeight="1" x14ac:dyDescent="0.25">
      <c r="A11" s="2" t="s">
        <v>1138</v>
      </c>
      <c r="B11" s="78" t="s">
        <v>176</v>
      </c>
      <c r="C11" s="78">
        <v>8</v>
      </c>
      <c r="D11" s="78">
        <v>129</v>
      </c>
      <c r="E11" s="78">
        <v>4</v>
      </c>
      <c r="F11" s="68" t="s">
        <v>1124</v>
      </c>
      <c r="G11" t="s">
        <v>1125</v>
      </c>
      <c r="H11" s="2" t="s">
        <v>9</v>
      </c>
      <c r="I11" s="10" t="s">
        <v>10</v>
      </c>
      <c r="J11" s="10" t="s">
        <v>1126</v>
      </c>
      <c r="K11" s="10"/>
      <c r="L11" t="s">
        <v>856</v>
      </c>
      <c r="M11" s="148">
        <f>1924/52</f>
        <v>37</v>
      </c>
      <c r="N11" s="148">
        <v>0</v>
      </c>
      <c r="O11" s="148">
        <v>0</v>
      </c>
      <c r="P11" s="147">
        <v>0</v>
      </c>
      <c r="Q11" s="147">
        <v>0</v>
      </c>
      <c r="R11" s="166">
        <v>42005</v>
      </c>
      <c r="T11" s="78" t="s">
        <v>1754</v>
      </c>
      <c r="U11" t="s">
        <v>1732</v>
      </c>
      <c r="V11">
        <v>1</v>
      </c>
      <c r="W11" s="77"/>
    </row>
    <row r="12" spans="1:23" ht="15" customHeight="1" x14ac:dyDescent="0.25">
      <c r="A12" s="2" t="s">
        <v>1138</v>
      </c>
      <c r="B12" s="78" t="s">
        <v>176</v>
      </c>
      <c r="C12" s="78">
        <v>8</v>
      </c>
      <c r="D12" s="78">
        <v>156</v>
      </c>
      <c r="E12" s="78">
        <v>4</v>
      </c>
      <c r="F12" s="68" t="s">
        <v>710</v>
      </c>
      <c r="G12" t="s">
        <v>711</v>
      </c>
      <c r="H12" s="2" t="s">
        <v>195</v>
      </c>
      <c r="I12" s="10" t="s">
        <v>196</v>
      </c>
      <c r="J12" s="10" t="s">
        <v>870</v>
      </c>
      <c r="K12" s="10"/>
      <c r="L12" t="s">
        <v>856</v>
      </c>
      <c r="M12" s="148">
        <f>1.32692307692308+3.80769230769231+1.61538461538462</f>
        <v>6.7500000000000107</v>
      </c>
      <c r="N12" s="148">
        <v>0</v>
      </c>
      <c r="O12" s="148">
        <f>(2*6)/52</f>
        <v>0.23076923076923078</v>
      </c>
      <c r="P12" s="147">
        <v>0</v>
      </c>
      <c r="Q12" s="147">
        <f>11725</f>
        <v>11725</v>
      </c>
      <c r="R12" s="166">
        <v>43466</v>
      </c>
      <c r="T12" s="78" t="s">
        <v>1754</v>
      </c>
      <c r="V12">
        <v>1</v>
      </c>
      <c r="W12" s="77"/>
    </row>
    <row r="13" spans="1:23" ht="15" customHeight="1" x14ac:dyDescent="0.25">
      <c r="A13" s="2" t="s">
        <v>1138</v>
      </c>
      <c r="B13" s="78"/>
      <c r="C13" s="78">
        <v>9</v>
      </c>
      <c r="D13" s="78">
        <v>685</v>
      </c>
      <c r="E13" s="78">
        <v>4</v>
      </c>
      <c r="F13" s="68" t="s">
        <v>716</v>
      </c>
      <c r="G13" t="s">
        <v>717</v>
      </c>
      <c r="H13" s="2" t="s">
        <v>706</v>
      </c>
      <c r="I13" s="10" t="s">
        <v>707</v>
      </c>
      <c r="J13" s="10" t="s">
        <v>870</v>
      </c>
      <c r="K13" s="10"/>
      <c r="L13" t="s">
        <v>856</v>
      </c>
      <c r="M13" s="148">
        <f>2.89423076923077+1.63461538461538</f>
        <v>4.5288461538461497</v>
      </c>
      <c r="N13" s="148">
        <v>1.0192307692307701</v>
      </c>
      <c r="O13" s="148">
        <v>0</v>
      </c>
      <c r="P13" s="147">
        <v>0</v>
      </c>
      <c r="Q13" s="147">
        <f>12950</f>
        <v>12950</v>
      </c>
      <c r="R13" s="166">
        <v>43160</v>
      </c>
      <c r="T13" s="78" t="s">
        <v>1754</v>
      </c>
      <c r="V13">
        <v>1</v>
      </c>
      <c r="W13" s="77"/>
    </row>
    <row r="14" spans="1:23" ht="15" customHeight="1" x14ac:dyDescent="0.25">
      <c r="A14" s="2" t="s">
        <v>1138</v>
      </c>
      <c r="B14" s="78" t="s">
        <v>351</v>
      </c>
      <c r="C14" s="78">
        <v>20</v>
      </c>
      <c r="D14" s="78">
        <v>406</v>
      </c>
      <c r="E14" s="78">
        <v>4</v>
      </c>
      <c r="F14" s="175" t="s">
        <v>725</v>
      </c>
      <c r="G14" t="s">
        <v>726</v>
      </c>
      <c r="H14" s="2" t="s">
        <v>17</v>
      </c>
      <c r="I14" s="10" t="s">
        <v>18</v>
      </c>
      <c r="J14" s="10" t="s">
        <v>870</v>
      </c>
      <c r="K14" s="10"/>
      <c r="L14" t="s">
        <v>856</v>
      </c>
      <c r="M14" s="148"/>
      <c r="N14" s="148"/>
      <c r="O14" s="148"/>
      <c r="P14" s="147"/>
      <c r="Q14" s="147"/>
      <c r="T14" s="78" t="s">
        <v>1754</v>
      </c>
      <c r="U14" t="s">
        <v>1740</v>
      </c>
      <c r="V14">
        <v>1</v>
      </c>
      <c r="W14" s="77"/>
    </row>
    <row r="15" spans="1:23" ht="15" customHeight="1" x14ac:dyDescent="0.25">
      <c r="A15" s="2" t="s">
        <v>1138</v>
      </c>
      <c r="B15" s="78" t="s">
        <v>625</v>
      </c>
      <c r="C15" s="78">
        <v>87</v>
      </c>
      <c r="D15" s="78">
        <v>503</v>
      </c>
      <c r="E15" s="78">
        <v>4</v>
      </c>
      <c r="G15" t="s">
        <v>697</v>
      </c>
      <c r="H15" s="2" t="s">
        <v>15</v>
      </c>
      <c r="I15" s="10" t="s">
        <v>16</v>
      </c>
      <c r="J15" s="10" t="s">
        <v>865</v>
      </c>
      <c r="K15" s="10"/>
      <c r="L15" t="s">
        <v>838</v>
      </c>
      <c r="M15" s="148">
        <f>8.75+3.88461538461538+1.80769230769231</f>
        <v>14.44230769230769</v>
      </c>
      <c r="N15" s="148">
        <v>4.7980769230769198</v>
      </c>
      <c r="O15" s="148">
        <f>(2*6)/52</f>
        <v>0.23076923076923078</v>
      </c>
      <c r="P15" s="147">
        <f>15000+15000</f>
        <v>30000</v>
      </c>
      <c r="Q15" s="147">
        <f>11900</f>
        <v>11900</v>
      </c>
      <c r="R15" s="166">
        <v>43983</v>
      </c>
      <c r="T15" s="78" t="s">
        <v>1754</v>
      </c>
      <c r="U15" t="s">
        <v>1730</v>
      </c>
      <c r="V15">
        <v>1</v>
      </c>
      <c r="W15" s="77"/>
    </row>
    <row r="16" spans="1:23" x14ac:dyDescent="0.25">
      <c r="A16" s="2" t="s">
        <v>1138</v>
      </c>
      <c r="B16" s="78" t="s">
        <v>625</v>
      </c>
      <c r="C16" s="78">
        <v>87</v>
      </c>
      <c r="D16" s="78">
        <v>504</v>
      </c>
      <c r="E16" s="78">
        <v>4</v>
      </c>
      <c r="G16" t="s">
        <v>698</v>
      </c>
      <c r="H16" s="2" t="s">
        <v>264</v>
      </c>
      <c r="I16" s="10" t="s">
        <v>265</v>
      </c>
      <c r="J16" s="10" t="s">
        <v>865</v>
      </c>
      <c r="K16" s="10"/>
      <c r="L16" t="s">
        <v>838</v>
      </c>
      <c r="M16" s="148">
        <f>5.76923076923077+5.96153846153846+0.25</f>
        <v>11.98076923076923</v>
      </c>
      <c r="N16" s="148">
        <v>1.75</v>
      </c>
      <c r="O16" s="148">
        <v>0</v>
      </c>
      <c r="P16" s="147">
        <f>21600</f>
        <v>21600</v>
      </c>
      <c r="Q16" s="147">
        <f>11200</f>
        <v>11200</v>
      </c>
      <c r="R16" s="166">
        <v>43983</v>
      </c>
      <c r="T16" s="78" t="s">
        <v>1754</v>
      </c>
      <c r="U16" s="164" t="s">
        <v>1730</v>
      </c>
      <c r="V16">
        <v>1</v>
      </c>
      <c r="W16" s="77"/>
    </row>
    <row r="17" spans="1:24" x14ac:dyDescent="0.25">
      <c r="A17" s="2" t="s">
        <v>1138</v>
      </c>
      <c r="B17" s="78" t="s">
        <v>625</v>
      </c>
      <c r="C17" s="78">
        <v>87</v>
      </c>
      <c r="D17" s="78">
        <v>506</v>
      </c>
      <c r="E17" s="78">
        <v>4</v>
      </c>
      <c r="G17" t="s">
        <v>699</v>
      </c>
      <c r="H17" s="2" t="s">
        <v>11</v>
      </c>
      <c r="I17" s="10" t="s">
        <v>12</v>
      </c>
      <c r="J17" s="10" t="s">
        <v>865</v>
      </c>
      <c r="K17" s="10"/>
      <c r="L17" t="s">
        <v>838</v>
      </c>
      <c r="M17" s="148">
        <f>3.05769230769231+6.17307692307692</f>
        <v>9.2307692307692299</v>
      </c>
      <c r="N17" s="148">
        <v>3.4807692307692299</v>
      </c>
      <c r="O17" s="148">
        <f>(2*4)/52</f>
        <v>0.15384615384615385</v>
      </c>
      <c r="P17" s="147">
        <v>0</v>
      </c>
      <c r="Q17" s="147">
        <v>22400</v>
      </c>
      <c r="R17" s="166">
        <v>43983</v>
      </c>
      <c r="T17" s="78" t="s">
        <v>1754</v>
      </c>
      <c r="U17" s="164" t="s">
        <v>1730</v>
      </c>
      <c r="V17">
        <v>1</v>
      </c>
      <c r="W17" s="77"/>
    </row>
    <row r="18" spans="1:24" x14ac:dyDescent="0.25">
      <c r="A18" s="2" t="s">
        <v>1138</v>
      </c>
      <c r="B18" s="2" t="s">
        <v>405</v>
      </c>
      <c r="C18" s="2">
        <v>122</v>
      </c>
      <c r="D18" s="2">
        <v>740</v>
      </c>
      <c r="E18" s="2">
        <v>4</v>
      </c>
      <c r="F18" s="140" t="s">
        <v>438</v>
      </c>
      <c r="G18" t="s">
        <v>439</v>
      </c>
      <c r="H18" s="2" t="s">
        <v>242</v>
      </c>
      <c r="I18" s="10" t="s">
        <v>243</v>
      </c>
      <c r="J18" s="10" t="s">
        <v>910</v>
      </c>
      <c r="K18" s="10"/>
      <c r="L18" t="s">
        <v>838</v>
      </c>
      <c r="M18" s="148"/>
      <c r="N18" s="148"/>
      <c r="O18" s="148"/>
      <c r="P18" s="147"/>
      <c r="Q18" s="147"/>
      <c r="T18" s="78" t="s">
        <v>1755</v>
      </c>
      <c r="U18" t="s">
        <v>1734</v>
      </c>
      <c r="V18">
        <v>1</v>
      </c>
      <c r="W18" s="77"/>
    </row>
    <row r="19" spans="1:24" ht="15" customHeight="1" x14ac:dyDescent="0.25">
      <c r="A19" s="2" t="s">
        <v>1138</v>
      </c>
      <c r="B19" s="2" t="s">
        <v>403</v>
      </c>
      <c r="C19" s="2">
        <v>137</v>
      </c>
      <c r="D19" s="2">
        <v>208</v>
      </c>
      <c r="E19" s="2">
        <v>4</v>
      </c>
      <c r="F19" s="140"/>
      <c r="G19" t="s">
        <v>415</v>
      </c>
      <c r="H19" s="2" t="s">
        <v>69</v>
      </c>
      <c r="I19" s="10" t="s">
        <v>70</v>
      </c>
      <c r="J19" s="10" t="s">
        <v>412</v>
      </c>
      <c r="K19" s="10"/>
      <c r="L19" t="s">
        <v>838</v>
      </c>
      <c r="M19" s="148"/>
      <c r="N19" s="148"/>
      <c r="O19" s="148"/>
      <c r="P19" s="147"/>
      <c r="Q19" s="147"/>
      <c r="T19" s="78" t="s">
        <v>1763</v>
      </c>
      <c r="U19" t="s">
        <v>1734</v>
      </c>
      <c r="V19">
        <v>1</v>
      </c>
      <c r="W19" s="77"/>
    </row>
    <row r="20" spans="1:24" x14ac:dyDescent="0.25">
      <c r="A20" s="2" t="s">
        <v>1138</v>
      </c>
      <c r="B20" s="2" t="s">
        <v>403</v>
      </c>
      <c r="C20" s="2">
        <v>137</v>
      </c>
      <c r="D20" s="2">
        <v>209</v>
      </c>
      <c r="E20" s="2">
        <v>4</v>
      </c>
      <c r="F20" s="140"/>
      <c r="G20" t="s">
        <v>407</v>
      </c>
      <c r="H20" s="2" t="s">
        <v>69</v>
      </c>
      <c r="I20" s="10" t="s">
        <v>70</v>
      </c>
      <c r="J20" s="10" t="s">
        <v>412</v>
      </c>
      <c r="K20" s="10"/>
      <c r="L20" t="s">
        <v>838</v>
      </c>
      <c r="M20" s="148"/>
      <c r="N20" s="148"/>
      <c r="O20" s="148"/>
      <c r="P20" s="147"/>
      <c r="Q20" s="147"/>
      <c r="T20" s="78" t="s">
        <v>1755</v>
      </c>
      <c r="U20" t="s">
        <v>1734</v>
      </c>
      <c r="V20">
        <v>1</v>
      </c>
      <c r="W20" s="77"/>
    </row>
    <row r="21" spans="1:24" x14ac:dyDescent="0.25">
      <c r="A21" s="2" t="s">
        <v>1138</v>
      </c>
      <c r="B21" s="78" t="s">
        <v>606</v>
      </c>
      <c r="C21" s="78">
        <v>152</v>
      </c>
      <c r="D21" s="78">
        <v>210</v>
      </c>
      <c r="E21" s="78">
        <v>4</v>
      </c>
      <c r="F21" t="s">
        <v>603</v>
      </c>
      <c r="G21" t="s">
        <v>603</v>
      </c>
      <c r="H21" s="2" t="s">
        <v>264</v>
      </c>
      <c r="I21" s="10" t="s">
        <v>265</v>
      </c>
      <c r="J21" s="10" t="s">
        <v>874</v>
      </c>
      <c r="K21" s="10"/>
      <c r="L21" t="s">
        <v>856</v>
      </c>
      <c r="M21" s="148">
        <v>35.576923076923102</v>
      </c>
      <c r="N21" s="148">
        <v>0</v>
      </c>
      <c r="O21" s="148">
        <v>0</v>
      </c>
      <c r="P21" s="147">
        <v>0</v>
      </c>
      <c r="Q21" s="147">
        <v>22050</v>
      </c>
      <c r="R21" s="166">
        <v>43191</v>
      </c>
      <c r="S21" s="166">
        <v>43555</v>
      </c>
      <c r="T21" s="78" t="s">
        <v>1754</v>
      </c>
      <c r="U21" t="s">
        <v>1748</v>
      </c>
      <c r="V21">
        <v>1</v>
      </c>
      <c r="W21" s="77"/>
    </row>
    <row r="22" spans="1:24" s="164" customFormat="1" x14ac:dyDescent="0.25">
      <c r="A22" s="78" t="s">
        <v>1138</v>
      </c>
      <c r="B22" s="78" t="s">
        <v>606</v>
      </c>
      <c r="C22" s="78">
        <v>152</v>
      </c>
      <c r="D22" s="78">
        <v>210</v>
      </c>
      <c r="E22" s="78">
        <v>4</v>
      </c>
      <c r="F22" s="164" t="s">
        <v>603</v>
      </c>
      <c r="G22" s="164" t="s">
        <v>603</v>
      </c>
      <c r="H22" s="78" t="s">
        <v>264</v>
      </c>
      <c r="I22" s="10" t="s">
        <v>265</v>
      </c>
      <c r="J22" s="10" t="s">
        <v>874</v>
      </c>
      <c r="K22" s="10"/>
      <c r="M22" s="148">
        <v>27</v>
      </c>
      <c r="N22" s="148">
        <v>0</v>
      </c>
      <c r="O22" s="148">
        <v>0</v>
      </c>
      <c r="P22" s="147">
        <v>0</v>
      </c>
      <c r="Q22" s="147">
        <v>22050</v>
      </c>
      <c r="R22" s="166">
        <v>43556</v>
      </c>
      <c r="T22" s="78" t="s">
        <v>1754</v>
      </c>
      <c r="W22" s="77"/>
    </row>
    <row r="23" spans="1:24" x14ac:dyDescent="0.25">
      <c r="A23" s="2" t="s">
        <v>1138</v>
      </c>
      <c r="B23" s="78" t="s">
        <v>1077</v>
      </c>
      <c r="C23" s="78">
        <v>181</v>
      </c>
      <c r="D23" s="78">
        <v>301</v>
      </c>
      <c r="E23" s="78">
        <v>4</v>
      </c>
      <c r="F23" s="140"/>
      <c r="G23" t="s">
        <v>1082</v>
      </c>
      <c r="H23" s="2">
        <v>2300</v>
      </c>
      <c r="I23" s="10" t="s">
        <v>87</v>
      </c>
      <c r="J23" s="10" t="s">
        <v>1078</v>
      </c>
      <c r="K23" s="10"/>
      <c r="L23" t="s">
        <v>856</v>
      </c>
      <c r="M23" s="148"/>
      <c r="N23" s="148"/>
      <c r="O23" s="148"/>
      <c r="P23" s="147"/>
      <c r="Q23" s="147"/>
      <c r="T23" s="78" t="s">
        <v>1755</v>
      </c>
      <c r="U23" t="s">
        <v>1734</v>
      </c>
      <c r="V23">
        <v>1</v>
      </c>
      <c r="W23" s="77"/>
    </row>
    <row r="24" spans="1:24" ht="15" customHeight="1" x14ac:dyDescent="0.25">
      <c r="A24" s="2" t="s">
        <v>1138</v>
      </c>
      <c r="B24" s="78" t="s">
        <v>1077</v>
      </c>
      <c r="C24" s="78">
        <v>181</v>
      </c>
      <c r="D24" s="78">
        <v>302</v>
      </c>
      <c r="E24" s="78">
        <v>4</v>
      </c>
      <c r="F24" s="140"/>
      <c r="G24" t="s">
        <v>1083</v>
      </c>
      <c r="H24" s="2" t="s">
        <v>7</v>
      </c>
      <c r="I24" s="10" t="s">
        <v>8</v>
      </c>
      <c r="J24" s="10" t="s">
        <v>1078</v>
      </c>
      <c r="K24" s="10"/>
      <c r="L24" t="s">
        <v>856</v>
      </c>
      <c r="M24" s="148"/>
      <c r="N24" s="148"/>
      <c r="O24" s="148"/>
      <c r="P24" s="147"/>
      <c r="Q24" s="147"/>
      <c r="T24" s="78" t="s">
        <v>1755</v>
      </c>
      <c r="U24" t="s">
        <v>1734</v>
      </c>
      <c r="V24">
        <v>1</v>
      </c>
      <c r="W24" s="77"/>
    </row>
    <row r="25" spans="1:24" x14ac:dyDescent="0.25">
      <c r="A25" s="2" t="s">
        <v>1138</v>
      </c>
      <c r="B25" s="78" t="s">
        <v>1077</v>
      </c>
      <c r="C25" s="78">
        <v>181</v>
      </c>
      <c r="D25" s="78">
        <v>501</v>
      </c>
      <c r="E25" s="78">
        <v>4</v>
      </c>
      <c r="F25" t="s">
        <v>1084</v>
      </c>
      <c r="G25" t="s">
        <v>1085</v>
      </c>
      <c r="H25" s="2">
        <v>2860</v>
      </c>
      <c r="I25" s="10" t="s">
        <v>267</v>
      </c>
      <c r="J25" s="10" t="s">
        <v>1079</v>
      </c>
      <c r="K25" s="10"/>
      <c r="L25" t="s">
        <v>856</v>
      </c>
      <c r="M25" s="148">
        <f>2.88538461538462+4.07692307692308+2.20192307692308</f>
        <v>9.1642307692307803</v>
      </c>
      <c r="N25" s="148">
        <v>0</v>
      </c>
      <c r="O25" s="148">
        <v>0</v>
      </c>
      <c r="P25" s="147">
        <v>0</v>
      </c>
      <c r="Q25" s="147">
        <f>63000</f>
        <v>63000</v>
      </c>
      <c r="R25" s="166">
        <v>44013</v>
      </c>
      <c r="T25" s="78" t="s">
        <v>1754</v>
      </c>
      <c r="U25" t="s">
        <v>1768</v>
      </c>
      <c r="V25">
        <v>1</v>
      </c>
      <c r="W25" s="77"/>
    </row>
    <row r="26" spans="1:24" ht="15" customHeight="1" x14ac:dyDescent="0.25">
      <c r="A26" s="2" t="s">
        <v>1138</v>
      </c>
      <c r="B26" s="78"/>
      <c r="C26" s="78">
        <v>800</v>
      </c>
      <c r="D26" s="78">
        <v>91</v>
      </c>
      <c r="E26" s="78">
        <v>4</v>
      </c>
      <c r="F26" s="140" t="s">
        <v>1086</v>
      </c>
      <c r="G26" t="s">
        <v>1087</v>
      </c>
      <c r="H26" s="78" t="s">
        <v>7</v>
      </c>
      <c r="I26" s="10" t="s">
        <v>8</v>
      </c>
      <c r="J26" s="10" t="s">
        <v>1080</v>
      </c>
      <c r="K26" s="10"/>
      <c r="L26" t="s">
        <v>856</v>
      </c>
      <c r="M26" s="148"/>
      <c r="N26" s="148"/>
      <c r="O26" s="148"/>
      <c r="P26" s="147"/>
      <c r="Q26" s="147"/>
      <c r="T26" s="78" t="s">
        <v>1754</v>
      </c>
      <c r="U26" t="s">
        <v>1767</v>
      </c>
      <c r="V26">
        <v>1</v>
      </c>
      <c r="W26" s="77"/>
    </row>
    <row r="27" spans="1:24" ht="15" customHeight="1" x14ac:dyDescent="0.25">
      <c r="A27" s="2" t="s">
        <v>1138</v>
      </c>
      <c r="B27" s="78" t="s">
        <v>400</v>
      </c>
      <c r="C27" s="78">
        <v>15</v>
      </c>
      <c r="D27" s="78">
        <v>522</v>
      </c>
      <c r="E27" s="78">
        <v>3</v>
      </c>
      <c r="F27" s="140" t="s">
        <v>445</v>
      </c>
      <c r="G27" t="s">
        <v>446</v>
      </c>
      <c r="H27" s="78" t="s">
        <v>378</v>
      </c>
      <c r="I27" t="s">
        <v>24</v>
      </c>
      <c r="J27" s="49" t="s">
        <v>894</v>
      </c>
      <c r="K27" s="49"/>
      <c r="L27" t="s">
        <v>838</v>
      </c>
      <c r="M27" s="148"/>
      <c r="N27" s="148"/>
      <c r="O27" s="148"/>
      <c r="P27" s="147"/>
      <c r="Q27" s="147"/>
      <c r="T27" s="78" t="s">
        <v>1755</v>
      </c>
      <c r="U27" t="s">
        <v>1734</v>
      </c>
      <c r="V27">
        <v>1</v>
      </c>
      <c r="W27" s="86" t="s">
        <v>1122</v>
      </c>
    </row>
    <row r="28" spans="1:24" ht="15" customHeight="1" x14ac:dyDescent="0.25">
      <c r="A28" s="2" t="s">
        <v>1138</v>
      </c>
      <c r="B28" s="78" t="s">
        <v>400</v>
      </c>
      <c r="C28" s="2">
        <v>15</v>
      </c>
      <c r="D28" s="2">
        <v>523</v>
      </c>
      <c r="E28" s="78">
        <v>3</v>
      </c>
      <c r="F28" s="140"/>
      <c r="G28" t="s">
        <v>447</v>
      </c>
      <c r="H28" s="2" t="s">
        <v>378</v>
      </c>
      <c r="I28" t="s">
        <v>24</v>
      </c>
      <c r="J28" s="49" t="s">
        <v>894</v>
      </c>
      <c r="K28" s="49"/>
      <c r="L28" t="s">
        <v>838</v>
      </c>
      <c r="M28" s="148"/>
      <c r="N28" s="148"/>
      <c r="O28" s="148"/>
      <c r="P28" s="147"/>
      <c r="Q28" s="147"/>
      <c r="T28" s="78" t="s">
        <v>1755</v>
      </c>
      <c r="U28" t="s">
        <v>1734</v>
      </c>
      <c r="V28">
        <v>1</v>
      </c>
      <c r="W28" s="86" t="s">
        <v>1122</v>
      </c>
      <c r="X28" s="68"/>
    </row>
    <row r="29" spans="1:24" ht="15" customHeight="1" x14ac:dyDescent="0.25">
      <c r="A29" s="2" t="s">
        <v>1138</v>
      </c>
      <c r="B29" s="78" t="s">
        <v>400</v>
      </c>
      <c r="C29" s="2">
        <v>15</v>
      </c>
      <c r="D29" s="2">
        <v>526</v>
      </c>
      <c r="E29" s="78">
        <v>3</v>
      </c>
      <c r="F29" s="140"/>
      <c r="G29" t="s">
        <v>451</v>
      </c>
      <c r="H29" s="2" t="s">
        <v>379</v>
      </c>
      <c r="I29" t="s">
        <v>24</v>
      </c>
      <c r="J29" s="49" t="s">
        <v>894</v>
      </c>
      <c r="K29" s="49"/>
      <c r="L29" t="s">
        <v>838</v>
      </c>
      <c r="M29" s="148"/>
      <c r="N29" s="148"/>
      <c r="O29" s="148"/>
      <c r="P29" s="147"/>
      <c r="Q29" s="147"/>
      <c r="T29" s="78" t="s">
        <v>1755</v>
      </c>
      <c r="U29" t="s">
        <v>1734</v>
      </c>
      <c r="V29">
        <v>1</v>
      </c>
      <c r="W29" s="86" t="s">
        <v>1122</v>
      </c>
    </row>
    <row r="30" spans="1:24" ht="15" customHeight="1" x14ac:dyDescent="0.25">
      <c r="A30" s="2" t="s">
        <v>1138</v>
      </c>
      <c r="B30" s="78" t="s">
        <v>400</v>
      </c>
      <c r="C30" s="2">
        <v>15</v>
      </c>
      <c r="D30" s="72">
        <v>537</v>
      </c>
      <c r="E30" s="78">
        <v>3</v>
      </c>
      <c r="F30" s="140" t="s">
        <v>453</v>
      </c>
      <c r="G30" t="s">
        <v>452</v>
      </c>
      <c r="H30" s="2" t="s">
        <v>379</v>
      </c>
      <c r="I30" t="s">
        <v>24</v>
      </c>
      <c r="J30" s="49" t="s">
        <v>894</v>
      </c>
      <c r="K30" s="49"/>
      <c r="L30" t="s">
        <v>838</v>
      </c>
      <c r="M30" s="148"/>
      <c r="N30" s="148"/>
      <c r="O30" s="148"/>
      <c r="P30" s="147"/>
      <c r="Q30" s="147"/>
      <c r="T30" s="78" t="s">
        <v>1755</v>
      </c>
      <c r="U30" t="s">
        <v>1734</v>
      </c>
      <c r="V30">
        <v>1</v>
      </c>
      <c r="W30" s="86" t="s">
        <v>1122</v>
      </c>
    </row>
    <row r="31" spans="1:24" ht="15" customHeight="1" x14ac:dyDescent="0.25">
      <c r="A31" s="2" t="s">
        <v>1138</v>
      </c>
      <c r="B31" s="78" t="s">
        <v>400</v>
      </c>
      <c r="C31" s="2">
        <v>15</v>
      </c>
      <c r="D31" s="2">
        <v>509</v>
      </c>
      <c r="E31" s="78">
        <v>3</v>
      </c>
      <c r="F31" s="140"/>
      <c r="G31" t="s">
        <v>454</v>
      </c>
      <c r="H31" s="2" t="s">
        <v>377</v>
      </c>
      <c r="I31" t="s">
        <v>24</v>
      </c>
      <c r="J31" s="49" t="s">
        <v>894</v>
      </c>
      <c r="K31" s="49"/>
      <c r="L31" t="s">
        <v>856</v>
      </c>
      <c r="M31" s="148"/>
      <c r="N31" s="148"/>
      <c r="O31" s="148"/>
      <c r="P31" s="147"/>
      <c r="Q31" s="147"/>
      <c r="T31" s="78" t="s">
        <v>1755</v>
      </c>
      <c r="U31" t="s">
        <v>1734</v>
      </c>
      <c r="V31">
        <v>1</v>
      </c>
      <c r="W31" s="86" t="s">
        <v>1122</v>
      </c>
    </row>
    <row r="32" spans="1:24" x14ac:dyDescent="0.25">
      <c r="A32" s="2" t="s">
        <v>1138</v>
      </c>
      <c r="B32" s="78" t="s">
        <v>400</v>
      </c>
      <c r="C32" s="2">
        <v>15</v>
      </c>
      <c r="D32" s="2">
        <v>513</v>
      </c>
      <c r="E32" s="78">
        <v>3</v>
      </c>
      <c r="F32" s="140" t="s">
        <v>456</v>
      </c>
      <c r="G32" t="s">
        <v>455</v>
      </c>
      <c r="H32" s="2" t="s">
        <v>377</v>
      </c>
      <c r="I32" t="s">
        <v>24</v>
      </c>
      <c r="J32" s="49" t="s">
        <v>894</v>
      </c>
      <c r="K32" s="49"/>
      <c r="L32" t="s">
        <v>838</v>
      </c>
      <c r="M32" s="148"/>
      <c r="N32" s="148"/>
      <c r="O32" s="148"/>
      <c r="P32" s="147"/>
      <c r="Q32" s="147"/>
      <c r="T32" s="78" t="s">
        <v>1755</v>
      </c>
      <c r="U32" t="s">
        <v>1734</v>
      </c>
      <c r="V32">
        <v>1</v>
      </c>
      <c r="W32" s="86" t="s">
        <v>1122</v>
      </c>
    </row>
    <row r="33" spans="1:10" ht="15" customHeight="1" x14ac:dyDescent="0.25">
      <c r="A33" s="78"/>
      <c r="B33" s="78"/>
      <c r="C33" s="78"/>
      <c r="D33" s="78"/>
      <c r="G33" s="78"/>
      <c r="J33" s="78"/>
    </row>
    <row r="34" spans="1:10" x14ac:dyDescent="0.25">
      <c r="A34" s="78"/>
      <c r="B34" s="78"/>
      <c r="C34" s="78"/>
      <c r="D34" s="78"/>
      <c r="G34" s="78"/>
      <c r="J34"/>
    </row>
    <row r="35" spans="1:10" s="110" customFormat="1" ht="15.75" x14ac:dyDescent="0.25">
      <c r="A35" s="107">
        <v>4</v>
      </c>
      <c r="B35" s="107" t="s">
        <v>1081</v>
      </c>
      <c r="C35" s="107">
        <v>444</v>
      </c>
      <c r="D35" s="108" t="s">
        <v>894</v>
      </c>
      <c r="E35" s="109" t="s">
        <v>1089</v>
      </c>
      <c r="F35" s="109" t="s">
        <v>1088</v>
      </c>
      <c r="G35" s="107"/>
      <c r="H35" s="109"/>
      <c r="I35" s="109"/>
      <c r="J35" s="109" t="s">
        <v>856</v>
      </c>
    </row>
    <row r="44" spans="1:10" x14ac:dyDescent="0.25">
      <c r="E44" s="164"/>
    </row>
    <row r="45" spans="1:10" x14ac:dyDescent="0.25">
      <c r="E45" s="164"/>
    </row>
    <row r="46" spans="1:10" x14ac:dyDescent="0.25">
      <c r="E46" s="164"/>
    </row>
    <row r="47" spans="1:10" x14ac:dyDescent="0.25">
      <c r="E47" s="164"/>
    </row>
  </sheetData>
  <mergeCells count="4">
    <mergeCell ref="A2:D2"/>
    <mergeCell ref="A3:B3"/>
    <mergeCell ref="M8:O8"/>
    <mergeCell ref="P8:Q8"/>
  </mergeCells>
  <phoneticPr fontId="16" type="noConversion"/>
  <hyperlinks>
    <hyperlink ref="B43" r:id="rId1" display="449_x000a_i" xr:uid="{00000000-0004-0000-0E00-000002000000}"/>
    <hyperlink ref="C43" r:id="rId2" display="Ålekistevej 81-87_x000a_Ålekistevej 81-87" xr:uid="{00000000-0004-0000-0E00-000003000000}"/>
    <hyperlink ref="B65" r:id="rId3" display="450_x000a_i" xr:uid="{00000000-0004-0000-0E00-000004000000}"/>
    <hyperlink ref="C65" r:id="rId4" display="Hyltebjerg Allé 32 A - 34 B_x000a_Hyltebjerg Allé 32 A - 34 B" xr:uid="{00000000-0004-0000-0E00-000005000000}"/>
    <hyperlink ref="B87" r:id="rId5" display="492_x000a_i" xr:uid="{00000000-0004-0000-0E00-000006000000}"/>
    <hyperlink ref="C87" r:id="rId6" display="Stationsvej 4-8_x000a_Stationsvej 4-8_x000a_Frederiksborgvej 28 opdelt i ejerlejligheder" xr:uid="{00000000-0004-0000-0E00-000007000000}"/>
    <hyperlink ref="B109" r:id="rId7" display="518_x000a_i" xr:uid="{00000000-0004-0000-0E00-000008000000}"/>
    <hyperlink ref="C109" r:id="rId8" display="Godthåbsvej 229, m.fl._x000a_Godthåbsvej 229, m.fl._x000a_Godthåbsvej 229, m.fl. Sallingvej 2-4" xr:uid="{00000000-0004-0000-0E00-000009000000}"/>
    <hyperlink ref="B131" r:id="rId9" display="786_x000a_i" xr:uid="{00000000-0004-0000-0E00-00000A000000}"/>
    <hyperlink ref="C131" r:id="rId10" display="Lynggården_x000a_Rovsingsgade 17-29_x000a_Borthigsgade 16-22 Rovsingsgade 17-29 " xr:uid="{00000000-0004-0000-0E00-00000B000000}"/>
    <hyperlink ref="B154" r:id="rId11" display="196_x000a_i" xr:uid="{00000000-0004-0000-0E00-00000C000000}"/>
    <hyperlink ref="C154" r:id="rId12" display="Provianthuset / Sandkaj_x000a_Sandkaj 25 &amp; 27, Antwerpengade 6 &amp; 8_x000a_Sandkaj 25 &amp; 27, Antwerpengade 6 &amp; 8 Göteborg Plads 7-15 Bordeauxgade 4-8" xr:uid="{00000000-0004-0000-0E00-00000D000000}"/>
    <hyperlink ref="B176" r:id="rId13" display="406_x000a_i" xr:uid="{00000000-0004-0000-0E00-00000E000000}"/>
    <hyperlink ref="C176" r:id="rId14" display="Virum Haveby_x000a_Kongevejen 168-174" xr:uid="{00000000-0004-0000-0E00-00000F000000}"/>
    <hyperlink ref="B198" r:id="rId15" display="82_x000a_i" xr:uid="{00000000-0004-0000-0E00-000010000000}"/>
    <hyperlink ref="C198" r:id="rId16" display="Korsgården_x000a_Korsgårdsvej 26-28 m.fl._x000a_Sophus Bauditzvej 20" xr:uid="{00000000-0004-0000-0E00-000011000000}"/>
    <hyperlink ref="B220" r:id="rId17" display="591_x000a_i" xr:uid="{00000000-0004-0000-0E00-000012000000}"/>
    <hyperlink ref="C220" r:id="rId18" display="Ejendomsselskabet Virum Torv 4 ApS_x000a_Grønnevej 54, Engbakken 64-66,_x000a_Engbakken 64-66 Grønnevej 52-56 Virum Torv 2-4 Frederiksdalsvej 72-74 mfl" xr:uid="{00000000-0004-0000-0E00-000013000000}"/>
    <hyperlink ref="B242" r:id="rId19" display="507_x000a_i" xr:uid="{00000000-0004-0000-0E00-000014000000}"/>
    <hyperlink ref="C242" r:id="rId20" display="Gardehusarvej 5 m.fl._x000a_Gardehusarvej 5_x000a_Garnisonsvej 2-4 Kasernevej 20 " xr:uid="{00000000-0004-0000-0E00-000015000000}"/>
    <hyperlink ref="B264" r:id="rId21" display="800_x000a_i" xr:uid="{00000000-0004-0000-0E00-000016000000}"/>
    <hyperlink ref="C264" r:id="rId22" display="Mikkelborg Park, Hørsholm ApS_x000a_Mikkelborg Park 1-31" xr:uid="{00000000-0004-0000-0E00-000017000000}"/>
    <hyperlink ref="B287" r:id="rId23" display="926_x000a_i" xr:uid="{00000000-0004-0000-0E00-000018000000}"/>
    <hyperlink ref="C287" r:id="rId24" display="Rytterparken_x000a_Rytterparken 1-114_x000a_Rytterparken 115" xr:uid="{00000000-0004-0000-0E00-000019000000}"/>
    <hyperlink ref="B309" r:id="rId25" display="112_x000a_i" xr:uid="{00000000-0004-0000-0E00-00001A000000}"/>
    <hyperlink ref="C309" r:id="rId26" display="Provianthuset_x000a_Sandkaj 25-27 m.fl._x000a_Sandkaj 25-27, Antwerpengade 6-8, Göteborg Plads 5-19 &amp; Bordeauxgade 2-10" xr:uid="{00000000-0004-0000-0E00-00001B000000}"/>
    <hyperlink ref="B331" r:id="rId27" display="64_x000a_i" xr:uid="{00000000-0004-0000-0E00-00001C000000}"/>
    <hyperlink ref="C331" r:id="rId28" display="Vibenshus_x000a_Oliemøllegade 6-12_x000a_Bryggergade 6" xr:uid="{00000000-0004-0000-0E00-00001D000000}"/>
    <hyperlink ref="G31" r:id="rId29" xr:uid="{00000000-0004-0000-0800-000005000000}"/>
    <hyperlink ref="G29" r:id="rId30" xr:uid="{00000000-0004-0000-0800-000006000000}"/>
  </hyperlinks>
  <pageMargins left="0.7" right="0.7" top="0.75" bottom="0.75" header="0.3" footer="0.3"/>
  <pageSetup paperSize="8" scale="52" fitToHeight="0" orientation="landscape" r:id="rId31"/>
  <tableParts count="1">
    <tablePart r:id="rId3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W57"/>
  <sheetViews>
    <sheetView topLeftCell="A4" zoomScale="70" zoomScaleNormal="70" workbookViewId="0">
      <selection activeCell="U43" sqref="U43"/>
    </sheetView>
  </sheetViews>
  <sheetFormatPr defaultRowHeight="15" x14ac:dyDescent="0.25"/>
  <cols>
    <col min="1" max="1" width="9.140625" style="2"/>
    <col min="2" max="2" width="25.42578125" customWidth="1"/>
    <col min="3" max="3" width="10.85546875" style="2" customWidth="1"/>
    <col min="4" max="4" width="14.7109375" style="78" customWidth="1"/>
    <col min="5" max="5" width="10.42578125" customWidth="1"/>
    <col min="6" max="6" width="29.140625" bestFit="1" customWidth="1"/>
    <col min="7" max="7" width="52.28515625" style="2" customWidth="1"/>
    <col min="8" max="8" width="9.85546875" customWidth="1"/>
    <col min="9" max="9" width="15" bestFit="1" customWidth="1"/>
    <col min="10" max="10" width="26.28515625" style="2" bestFit="1" customWidth="1"/>
    <col min="11" max="11" width="14.140625" customWidth="1"/>
    <col min="12" max="12" width="11.28515625" customWidth="1"/>
    <col min="13" max="13" width="11.5703125" customWidth="1"/>
    <col min="14" max="14" width="10.42578125" customWidth="1"/>
    <col min="15" max="15" width="12.7109375" customWidth="1"/>
    <col min="16" max="16" width="8.28515625" bestFit="1" customWidth="1"/>
    <col min="17" max="17" width="13.85546875" bestFit="1" customWidth="1"/>
    <col min="18" max="18" width="15.5703125" customWidth="1"/>
    <col min="19" max="19" width="11.28515625" customWidth="1"/>
    <col min="20" max="20" width="12.28515625" style="164" customWidth="1"/>
    <col min="21" max="21" width="14.140625" customWidth="1"/>
    <col min="23" max="23" width="9.5703125" customWidth="1"/>
  </cols>
  <sheetData>
    <row r="1" spans="1:23" ht="18.75" x14ac:dyDescent="0.3">
      <c r="A1" s="30" t="s">
        <v>847</v>
      </c>
      <c r="B1" s="26"/>
      <c r="C1" s="7"/>
      <c r="U1" s="164"/>
    </row>
    <row r="2" spans="1:23" ht="15.75" thickBot="1" x14ac:dyDescent="0.3">
      <c r="A2" s="184" t="s">
        <v>513</v>
      </c>
      <c r="B2" s="184"/>
      <c r="C2" s="184"/>
      <c r="D2" s="184"/>
      <c r="U2" s="164"/>
    </row>
    <row r="3" spans="1:23" x14ac:dyDescent="0.25">
      <c r="A3" s="184" t="s">
        <v>178</v>
      </c>
      <c r="B3" s="184"/>
      <c r="C3" s="20">
        <f>K7</f>
        <v>41</v>
      </c>
      <c r="J3" s="40" t="s">
        <v>838</v>
      </c>
      <c r="K3" s="41">
        <f>COUNTIFS(L:L,J3)</f>
        <v>2</v>
      </c>
      <c r="U3" s="164"/>
    </row>
    <row r="4" spans="1:23" x14ac:dyDescent="0.25">
      <c r="A4" s="31" t="s">
        <v>311</v>
      </c>
      <c r="B4" s="22"/>
      <c r="C4" s="12"/>
      <c r="J4" s="42" t="s">
        <v>856</v>
      </c>
      <c r="K4" s="43">
        <f>COUNTIFS(L:L,J4)</f>
        <v>28</v>
      </c>
      <c r="U4" s="164"/>
    </row>
    <row r="5" spans="1:23" x14ac:dyDescent="0.25">
      <c r="A5" s="25" t="s">
        <v>179</v>
      </c>
      <c r="B5" s="22"/>
      <c r="C5" s="24"/>
      <c r="D5" s="12"/>
      <c r="J5" s="42" t="s">
        <v>860</v>
      </c>
      <c r="K5" s="43">
        <f>COUNTIFS(L:L,J5)</f>
        <v>0</v>
      </c>
      <c r="U5" s="164"/>
    </row>
    <row r="6" spans="1:23" ht="15.75" thickBot="1" x14ac:dyDescent="0.3">
      <c r="B6" s="190"/>
      <c r="C6" s="190"/>
      <c r="J6" s="44" t="s">
        <v>864</v>
      </c>
      <c r="K6" s="45">
        <f>COUNTIFS(L:L,J6)</f>
        <v>11</v>
      </c>
      <c r="U6" s="164"/>
    </row>
    <row r="7" spans="1:23" x14ac:dyDescent="0.25">
      <c r="J7" s="78"/>
      <c r="K7" s="78">
        <f>SUM(K3:K6)</f>
        <v>41</v>
      </c>
      <c r="U7" s="164"/>
    </row>
    <row r="8" spans="1:23" x14ac:dyDescent="0.25">
      <c r="A8" s="78"/>
      <c r="B8" s="78"/>
      <c r="C8" s="78"/>
      <c r="G8" s="78"/>
      <c r="J8"/>
      <c r="K8" s="78"/>
      <c r="M8" s="186" t="s">
        <v>1220</v>
      </c>
      <c r="N8" s="186"/>
      <c r="O8" s="186"/>
      <c r="P8" s="185" t="s">
        <v>1684</v>
      </c>
      <c r="Q8" s="185"/>
      <c r="U8" s="164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2" t="s">
        <v>1141</v>
      </c>
      <c r="B10" s="78"/>
      <c r="C10" s="78">
        <v>2</v>
      </c>
      <c r="D10" s="78">
        <v>821</v>
      </c>
      <c r="E10" s="78">
        <v>4</v>
      </c>
      <c r="F10" t="s">
        <v>740</v>
      </c>
      <c r="G10" t="s">
        <v>741</v>
      </c>
      <c r="H10" s="2" t="s">
        <v>88</v>
      </c>
      <c r="I10" t="s">
        <v>89</v>
      </c>
      <c r="J10" t="s">
        <v>879</v>
      </c>
      <c r="L10" t="s">
        <v>856</v>
      </c>
      <c r="M10" s="148">
        <v>11.08</v>
      </c>
      <c r="N10" s="148">
        <v>0.75</v>
      </c>
      <c r="O10" s="148">
        <v>0</v>
      </c>
      <c r="P10" s="147">
        <v>0</v>
      </c>
      <c r="Q10" s="147">
        <v>35342.36</v>
      </c>
      <c r="R10" s="143">
        <v>43647</v>
      </c>
      <c r="T10" s="78" t="s">
        <v>1754</v>
      </c>
      <c r="U10" s="164" t="s">
        <v>1703</v>
      </c>
      <c r="V10">
        <v>1</v>
      </c>
      <c r="W10" s="77"/>
    </row>
    <row r="11" spans="1:23" ht="15" customHeight="1" x14ac:dyDescent="0.25">
      <c r="A11" s="2" t="s">
        <v>1141</v>
      </c>
      <c r="B11" s="78"/>
      <c r="C11" s="78">
        <v>2</v>
      </c>
      <c r="D11" s="78">
        <v>822</v>
      </c>
      <c r="E11" s="78">
        <v>4</v>
      </c>
      <c r="F11" t="s">
        <v>742</v>
      </c>
      <c r="G11" t="s">
        <v>743</v>
      </c>
      <c r="H11" s="2" t="s">
        <v>88</v>
      </c>
      <c r="I11" t="s">
        <v>89</v>
      </c>
      <c r="J11" t="s">
        <v>879</v>
      </c>
      <c r="L11" t="s">
        <v>856</v>
      </c>
      <c r="M11" s="148">
        <v>3.72</v>
      </c>
      <c r="N11" s="148">
        <v>0.1</v>
      </c>
      <c r="O11" s="148">
        <v>0</v>
      </c>
      <c r="P11" s="147">
        <v>0</v>
      </c>
      <c r="Q11" s="147">
        <v>14315.96</v>
      </c>
      <c r="R11" s="143">
        <v>43647</v>
      </c>
      <c r="T11" s="78" t="s">
        <v>1754</v>
      </c>
      <c r="U11" s="164"/>
      <c r="V11">
        <v>1</v>
      </c>
      <c r="W11" s="77"/>
    </row>
    <row r="12" spans="1:23" ht="15" customHeight="1" x14ac:dyDescent="0.25">
      <c r="A12" s="2" t="s">
        <v>1141</v>
      </c>
      <c r="B12" s="78"/>
      <c r="C12" s="78">
        <v>2</v>
      </c>
      <c r="D12" s="78">
        <v>823</v>
      </c>
      <c r="E12" s="78">
        <v>4</v>
      </c>
      <c r="F12" t="s">
        <v>213</v>
      </c>
      <c r="G12" t="s">
        <v>744</v>
      </c>
      <c r="H12" s="2" t="s">
        <v>88</v>
      </c>
      <c r="I12" t="s">
        <v>89</v>
      </c>
      <c r="J12" t="s">
        <v>879</v>
      </c>
      <c r="L12" t="s">
        <v>856</v>
      </c>
      <c r="M12" s="148">
        <v>7.63</v>
      </c>
      <c r="N12" s="148">
        <v>0.2</v>
      </c>
      <c r="O12" s="148">
        <v>0</v>
      </c>
      <c r="P12" s="147">
        <v>0</v>
      </c>
      <c r="Q12" s="147">
        <v>28669.854720000003</v>
      </c>
      <c r="R12" s="143">
        <v>43647</v>
      </c>
      <c r="T12" s="78" t="s">
        <v>1754</v>
      </c>
      <c r="U12" s="164"/>
      <c r="V12">
        <v>1</v>
      </c>
      <c r="W12" s="77"/>
    </row>
    <row r="13" spans="1:23" ht="15" customHeight="1" x14ac:dyDescent="0.25">
      <c r="A13" s="2" t="s">
        <v>1141</v>
      </c>
      <c r="B13" s="78"/>
      <c r="C13" s="78">
        <v>2</v>
      </c>
      <c r="D13" s="78">
        <v>824</v>
      </c>
      <c r="E13" s="78">
        <v>4</v>
      </c>
      <c r="F13" t="s">
        <v>745</v>
      </c>
      <c r="G13" t="s">
        <v>746</v>
      </c>
      <c r="H13" s="2" t="s">
        <v>88</v>
      </c>
      <c r="I13" t="s">
        <v>89</v>
      </c>
      <c r="J13" t="s">
        <v>879</v>
      </c>
      <c r="L13" t="s">
        <v>856</v>
      </c>
      <c r="M13" s="148">
        <v>5.39</v>
      </c>
      <c r="N13" s="148">
        <v>0.11791359999999999</v>
      </c>
      <c r="O13" s="148">
        <v>0</v>
      </c>
      <c r="P13" s="147">
        <v>0</v>
      </c>
      <c r="Q13" s="147">
        <v>18217.704960000003</v>
      </c>
      <c r="R13" s="143">
        <v>43647</v>
      </c>
      <c r="T13" s="78" t="s">
        <v>1754</v>
      </c>
      <c r="U13" s="164"/>
      <c r="V13">
        <v>1</v>
      </c>
      <c r="W13" s="77"/>
    </row>
    <row r="14" spans="1:23" ht="15" customHeight="1" x14ac:dyDescent="0.25">
      <c r="A14" s="2" t="s">
        <v>1141</v>
      </c>
      <c r="B14" s="78"/>
      <c r="C14" s="78">
        <v>2</v>
      </c>
      <c r="D14" s="78">
        <v>825</v>
      </c>
      <c r="E14" s="78">
        <v>4</v>
      </c>
      <c r="F14" t="s">
        <v>747</v>
      </c>
      <c r="G14" t="s">
        <v>748</v>
      </c>
      <c r="H14" s="2" t="s">
        <v>88</v>
      </c>
      <c r="I14" t="s">
        <v>89</v>
      </c>
      <c r="J14" t="s">
        <v>879</v>
      </c>
      <c r="L14" t="s">
        <v>856</v>
      </c>
      <c r="M14" s="148">
        <v>2.2805913600000003</v>
      </c>
      <c r="N14" s="148">
        <v>0.13043200000000002</v>
      </c>
      <c r="O14" s="148">
        <v>0</v>
      </c>
      <c r="P14" s="147">
        <v>0</v>
      </c>
      <c r="Q14" s="147">
        <v>8785.92</v>
      </c>
      <c r="R14" s="143">
        <v>43647</v>
      </c>
      <c r="T14" s="78" t="s">
        <v>1754</v>
      </c>
      <c r="U14" s="164"/>
      <c r="V14">
        <v>1</v>
      </c>
      <c r="W14" s="77"/>
    </row>
    <row r="15" spans="1:23" ht="15" customHeight="1" x14ac:dyDescent="0.25">
      <c r="A15" s="2" t="s">
        <v>1141</v>
      </c>
      <c r="B15" s="78"/>
      <c r="C15" s="78">
        <v>2</v>
      </c>
      <c r="D15" s="78">
        <v>826</v>
      </c>
      <c r="E15" s="78">
        <v>4</v>
      </c>
      <c r="F15" t="s">
        <v>749</v>
      </c>
      <c r="G15" t="s">
        <v>750</v>
      </c>
      <c r="H15" s="2" t="s">
        <v>88</v>
      </c>
      <c r="I15" t="s">
        <v>89</v>
      </c>
      <c r="J15" t="s">
        <v>879</v>
      </c>
      <c r="L15" t="s">
        <v>856</v>
      </c>
      <c r="M15" s="148">
        <v>5.4729727999999991</v>
      </c>
      <c r="N15" s="148">
        <v>0.17754624000000002</v>
      </c>
      <c r="O15" s="148">
        <v>0</v>
      </c>
      <c r="P15" s="147">
        <v>0</v>
      </c>
      <c r="Q15" s="147">
        <v>18176.570880000003</v>
      </c>
      <c r="R15" s="143">
        <v>43647</v>
      </c>
      <c r="T15" s="78" t="s">
        <v>1754</v>
      </c>
      <c r="V15">
        <v>1</v>
      </c>
      <c r="W15" s="77"/>
    </row>
    <row r="16" spans="1:23" ht="15" customHeight="1" x14ac:dyDescent="0.25">
      <c r="A16" s="2" t="s">
        <v>1141</v>
      </c>
      <c r="B16" s="78"/>
      <c r="C16" s="78">
        <v>2</v>
      </c>
      <c r="D16" s="78">
        <v>827</v>
      </c>
      <c r="E16" s="78">
        <v>4</v>
      </c>
      <c r="F16" t="s">
        <v>213</v>
      </c>
      <c r="G16" t="s">
        <v>751</v>
      </c>
      <c r="H16" s="2" t="s">
        <v>88</v>
      </c>
      <c r="I16" t="s">
        <v>89</v>
      </c>
      <c r="J16" t="s">
        <v>879</v>
      </c>
      <c r="L16" t="s">
        <v>856</v>
      </c>
      <c r="M16" s="148">
        <v>2.7894067200000006</v>
      </c>
      <c r="N16" s="148">
        <v>0.28463616000000003</v>
      </c>
      <c r="O16" s="148">
        <v>0</v>
      </c>
      <c r="P16" s="147">
        <v>0</v>
      </c>
      <c r="Q16" s="147">
        <v>12087.429120000003</v>
      </c>
      <c r="R16" s="143">
        <v>43647</v>
      </c>
      <c r="T16" s="78" t="s">
        <v>1754</v>
      </c>
      <c r="V16">
        <v>1</v>
      </c>
      <c r="W16" s="77"/>
    </row>
    <row r="17" spans="1:23" ht="15" customHeight="1" x14ac:dyDescent="0.25">
      <c r="A17" s="2" t="s">
        <v>1141</v>
      </c>
      <c r="B17" s="78"/>
      <c r="C17" s="78">
        <v>2</v>
      </c>
      <c r="D17" s="78">
        <v>828</v>
      </c>
      <c r="E17" s="78">
        <v>4</v>
      </c>
      <c r="G17" t="s">
        <v>752</v>
      </c>
      <c r="H17" s="2" t="s">
        <v>270</v>
      </c>
      <c r="I17" t="s">
        <v>76</v>
      </c>
      <c r="J17" t="s">
        <v>879</v>
      </c>
      <c r="L17" t="s">
        <v>856</v>
      </c>
      <c r="M17" s="148">
        <v>1.56759552</v>
      </c>
      <c r="N17" s="148">
        <v>3.6577280000000004E-2</v>
      </c>
      <c r="O17" s="148">
        <v>0</v>
      </c>
      <c r="P17" s="147">
        <v>0</v>
      </c>
      <c r="Q17" s="147">
        <v>7642.0531199999987</v>
      </c>
      <c r="R17" s="143">
        <v>43647</v>
      </c>
      <c r="T17" s="78" t="s">
        <v>1754</v>
      </c>
      <c r="V17">
        <v>1</v>
      </c>
      <c r="W17" s="77"/>
    </row>
    <row r="18" spans="1:23" ht="15" customHeight="1" x14ac:dyDescent="0.25">
      <c r="A18" s="2" t="s">
        <v>1141</v>
      </c>
      <c r="B18" s="78" t="s">
        <v>738</v>
      </c>
      <c r="C18" s="78">
        <v>7</v>
      </c>
      <c r="D18" s="78">
        <v>144</v>
      </c>
      <c r="E18" s="78">
        <v>4</v>
      </c>
      <c r="F18" t="s">
        <v>753</v>
      </c>
      <c r="G18" t="s">
        <v>754</v>
      </c>
      <c r="H18" s="2" t="s">
        <v>9</v>
      </c>
      <c r="I18" t="s">
        <v>10</v>
      </c>
      <c r="J18" t="s">
        <v>869</v>
      </c>
      <c r="L18" t="s">
        <v>856</v>
      </c>
      <c r="M18" s="148">
        <v>1.7115384615384599</v>
      </c>
      <c r="N18" s="148">
        <v>0</v>
      </c>
      <c r="O18" s="148">
        <v>0</v>
      </c>
      <c r="P18" s="147">
        <v>0</v>
      </c>
      <c r="Q18" s="147">
        <v>7700</v>
      </c>
      <c r="R18" s="143">
        <v>42826</v>
      </c>
      <c r="T18" s="78" t="s">
        <v>1754</v>
      </c>
      <c r="V18">
        <v>1</v>
      </c>
      <c r="W18" s="77"/>
    </row>
    <row r="19" spans="1:23" ht="15" customHeight="1" x14ac:dyDescent="0.25">
      <c r="A19" s="2" t="s">
        <v>1141</v>
      </c>
      <c r="B19" s="78" t="s">
        <v>176</v>
      </c>
      <c r="C19" s="78">
        <v>8</v>
      </c>
      <c r="D19" s="78">
        <v>222</v>
      </c>
      <c r="E19" s="78">
        <v>4</v>
      </c>
      <c r="F19" s="175" t="s">
        <v>758</v>
      </c>
      <c r="G19" t="s">
        <v>759</v>
      </c>
      <c r="H19" s="2" t="s">
        <v>188</v>
      </c>
      <c r="I19" t="s">
        <v>189</v>
      </c>
      <c r="J19" t="s">
        <v>1090</v>
      </c>
      <c r="L19" t="s">
        <v>864</v>
      </c>
      <c r="M19" s="148"/>
      <c r="N19" s="148"/>
      <c r="O19" s="148"/>
      <c r="P19" s="147"/>
      <c r="Q19" s="147"/>
      <c r="T19" s="78" t="s">
        <v>1761</v>
      </c>
      <c r="U19" t="s">
        <v>1704</v>
      </c>
      <c r="V19">
        <v>1</v>
      </c>
      <c r="W19" s="77"/>
    </row>
    <row r="20" spans="1:23" x14ac:dyDescent="0.25">
      <c r="A20" s="2" t="s">
        <v>1141</v>
      </c>
      <c r="B20" s="78" t="s">
        <v>176</v>
      </c>
      <c r="C20" s="78">
        <v>8</v>
      </c>
      <c r="D20" s="78">
        <v>238</v>
      </c>
      <c r="E20" s="78">
        <v>4</v>
      </c>
      <c r="F20" t="s">
        <v>1091</v>
      </c>
      <c r="G20" t="s">
        <v>787</v>
      </c>
      <c r="H20" s="2" t="s">
        <v>188</v>
      </c>
      <c r="I20" t="s">
        <v>189</v>
      </c>
      <c r="J20" t="s">
        <v>880</v>
      </c>
      <c r="L20" t="s">
        <v>864</v>
      </c>
      <c r="M20" s="148">
        <v>2.0569999999999999</v>
      </c>
      <c r="N20" s="148">
        <v>0.38</v>
      </c>
      <c r="O20" s="148">
        <v>0.53800000000000003</v>
      </c>
      <c r="P20" s="147">
        <v>0</v>
      </c>
      <c r="Q20" s="147">
        <v>5950</v>
      </c>
      <c r="R20" s="143">
        <v>43344</v>
      </c>
      <c r="T20" s="78" t="s">
        <v>1754</v>
      </c>
      <c r="V20">
        <v>1</v>
      </c>
      <c r="W20" s="77"/>
    </row>
    <row r="21" spans="1:23" ht="15" customHeight="1" x14ac:dyDescent="0.25">
      <c r="A21" s="2" t="s">
        <v>1141</v>
      </c>
      <c r="B21" s="78" t="s">
        <v>176</v>
      </c>
      <c r="C21" s="78">
        <v>8</v>
      </c>
      <c r="D21" s="78">
        <v>319</v>
      </c>
      <c r="E21" s="78">
        <v>4</v>
      </c>
      <c r="F21" t="s">
        <v>1058</v>
      </c>
      <c r="G21" t="s">
        <v>1059</v>
      </c>
      <c r="H21" s="2">
        <v>2830</v>
      </c>
      <c r="I21" s="10" t="s">
        <v>18</v>
      </c>
      <c r="J21" s="10" t="s">
        <v>1060</v>
      </c>
      <c r="K21" s="10"/>
      <c r="L21" t="s">
        <v>856</v>
      </c>
      <c r="M21" s="148">
        <v>20.7</v>
      </c>
      <c r="N21" s="148">
        <v>0</v>
      </c>
      <c r="O21" s="148">
        <v>0</v>
      </c>
      <c r="P21" s="147">
        <v>0</v>
      </c>
      <c r="Q21" s="147">
        <v>24500</v>
      </c>
      <c r="R21" s="143">
        <v>43678</v>
      </c>
      <c r="T21" s="78" t="s">
        <v>1754</v>
      </c>
      <c r="V21">
        <v>1</v>
      </c>
      <c r="W21" s="77"/>
    </row>
    <row r="22" spans="1:23" ht="15" customHeight="1" x14ac:dyDescent="0.25">
      <c r="A22" s="2" t="s">
        <v>1141</v>
      </c>
      <c r="B22" s="78" t="s">
        <v>176</v>
      </c>
      <c r="C22" s="78">
        <v>8</v>
      </c>
      <c r="D22" s="78">
        <v>347</v>
      </c>
      <c r="E22" s="78">
        <v>4</v>
      </c>
      <c r="F22" t="s">
        <v>760</v>
      </c>
      <c r="G22" t="s">
        <v>761</v>
      </c>
      <c r="H22" s="2" t="s">
        <v>244</v>
      </c>
      <c r="I22" t="s">
        <v>245</v>
      </c>
      <c r="J22" t="s">
        <v>873</v>
      </c>
      <c r="L22" t="s">
        <v>856</v>
      </c>
      <c r="M22" s="148">
        <v>3.68</v>
      </c>
      <c r="N22" s="148">
        <v>1.34</v>
      </c>
      <c r="O22" s="148">
        <v>0</v>
      </c>
      <c r="P22" s="147">
        <v>0</v>
      </c>
      <c r="Q22" s="147">
        <v>7735</v>
      </c>
      <c r="R22" s="143">
        <v>42125</v>
      </c>
      <c r="T22" s="78" t="s">
        <v>1754</v>
      </c>
      <c r="V22">
        <v>1</v>
      </c>
      <c r="W22" s="77"/>
    </row>
    <row r="23" spans="1:23" ht="15" customHeight="1" x14ac:dyDescent="0.25">
      <c r="A23" s="2" t="s">
        <v>1141</v>
      </c>
      <c r="B23" s="78" t="s">
        <v>176</v>
      </c>
      <c r="C23" s="78">
        <v>8</v>
      </c>
      <c r="D23" s="78">
        <v>930</v>
      </c>
      <c r="E23" s="78">
        <v>4</v>
      </c>
      <c r="F23" t="s">
        <v>766</v>
      </c>
      <c r="G23" t="s">
        <v>767</v>
      </c>
      <c r="H23" s="2" t="s">
        <v>188</v>
      </c>
      <c r="I23" t="s">
        <v>189</v>
      </c>
      <c r="J23" t="s">
        <v>880</v>
      </c>
      <c r="L23" t="s">
        <v>856</v>
      </c>
      <c r="M23" s="148">
        <v>1</v>
      </c>
      <c r="N23" s="148">
        <v>0</v>
      </c>
      <c r="O23" s="148">
        <v>0</v>
      </c>
      <c r="P23" s="147">
        <v>0</v>
      </c>
      <c r="Q23" s="147">
        <v>0</v>
      </c>
      <c r="R23" s="143">
        <v>41671</v>
      </c>
      <c r="T23" s="78" t="s">
        <v>1754</v>
      </c>
      <c r="V23">
        <v>1</v>
      </c>
      <c r="W23" s="77"/>
    </row>
    <row r="24" spans="1:23" ht="15" customHeight="1" x14ac:dyDescent="0.25">
      <c r="A24" s="2" t="s">
        <v>1141</v>
      </c>
      <c r="B24" s="78"/>
      <c r="C24" s="78">
        <v>69</v>
      </c>
      <c r="D24" s="78">
        <v>100</v>
      </c>
      <c r="E24" s="78"/>
      <c r="F24" t="s">
        <v>1166</v>
      </c>
      <c r="G24" t="s">
        <v>336</v>
      </c>
      <c r="H24" s="78">
        <v>2000</v>
      </c>
      <c r="I24" t="s">
        <v>10</v>
      </c>
      <c r="J24"/>
      <c r="M24" s="148"/>
      <c r="N24" s="148"/>
      <c r="O24" s="148"/>
      <c r="P24" s="147"/>
      <c r="Q24" s="147"/>
      <c r="T24" s="78" t="s">
        <v>1755</v>
      </c>
      <c r="U24" t="s">
        <v>1705</v>
      </c>
      <c r="V24">
        <v>1</v>
      </c>
      <c r="W24" s="77"/>
    </row>
    <row r="25" spans="1:23" ht="15" customHeight="1" x14ac:dyDescent="0.25">
      <c r="A25" s="2" t="s">
        <v>1141</v>
      </c>
      <c r="B25" s="78" t="s">
        <v>815</v>
      </c>
      <c r="C25" s="78">
        <v>69</v>
      </c>
      <c r="D25" s="78">
        <v>101</v>
      </c>
      <c r="E25" s="78">
        <v>4</v>
      </c>
      <c r="F25" t="s">
        <v>1103</v>
      </c>
      <c r="G25" t="s">
        <v>1104</v>
      </c>
      <c r="H25" s="2">
        <v>2830</v>
      </c>
      <c r="I25" t="s">
        <v>18</v>
      </c>
      <c r="J25" t="s">
        <v>866</v>
      </c>
      <c r="L25" t="s">
        <v>856</v>
      </c>
      <c r="M25" s="148">
        <v>0.24489795918367346</v>
      </c>
      <c r="N25" s="148">
        <v>0</v>
      </c>
      <c r="O25" s="148">
        <v>0</v>
      </c>
      <c r="P25" s="147">
        <v>0</v>
      </c>
      <c r="Q25" s="147">
        <v>6750</v>
      </c>
      <c r="R25" s="143">
        <v>43831</v>
      </c>
      <c r="T25" s="78" t="s">
        <v>1754</v>
      </c>
      <c r="V25">
        <v>1</v>
      </c>
      <c r="W25" s="77"/>
    </row>
    <row r="26" spans="1:23" ht="15" customHeight="1" x14ac:dyDescent="0.25">
      <c r="A26" s="2" t="s">
        <v>1141</v>
      </c>
      <c r="B26" s="78" t="s">
        <v>815</v>
      </c>
      <c r="C26" s="78">
        <v>69</v>
      </c>
      <c r="D26" s="78">
        <v>102</v>
      </c>
      <c r="E26" s="78">
        <v>4</v>
      </c>
      <c r="F26" t="s">
        <v>1108</v>
      </c>
      <c r="G26" t="s">
        <v>1109</v>
      </c>
      <c r="H26" s="2">
        <v>2970</v>
      </c>
      <c r="I26" t="s">
        <v>26</v>
      </c>
      <c r="J26" t="s">
        <v>866</v>
      </c>
      <c r="L26" t="s">
        <v>856</v>
      </c>
      <c r="M26" s="148">
        <v>0.17687074829931976</v>
      </c>
      <c r="N26" s="148">
        <v>0</v>
      </c>
      <c r="O26" s="148">
        <v>0</v>
      </c>
      <c r="P26" s="147">
        <v>0</v>
      </c>
      <c r="Q26" s="147">
        <v>4875</v>
      </c>
      <c r="R26" s="143">
        <v>43831</v>
      </c>
      <c r="T26" s="78" t="s">
        <v>1754</v>
      </c>
      <c r="V26">
        <v>1</v>
      </c>
      <c r="W26" s="77"/>
    </row>
    <row r="27" spans="1:23" ht="15" customHeight="1" x14ac:dyDescent="0.25">
      <c r="A27" s="2" t="s">
        <v>1141</v>
      </c>
      <c r="B27" s="78" t="s">
        <v>815</v>
      </c>
      <c r="C27" s="78">
        <v>69</v>
      </c>
      <c r="D27" s="78">
        <v>103</v>
      </c>
      <c r="E27" s="78">
        <v>4</v>
      </c>
      <c r="F27" t="s">
        <v>1112</v>
      </c>
      <c r="G27" t="s">
        <v>1113</v>
      </c>
      <c r="H27" s="2">
        <v>1414</v>
      </c>
      <c r="I27" t="s">
        <v>24</v>
      </c>
      <c r="J27" t="s">
        <v>866</v>
      </c>
      <c r="L27" t="s">
        <v>856</v>
      </c>
      <c r="M27" s="148">
        <v>0.23809523809523808</v>
      </c>
      <c r="N27" s="148">
        <v>0</v>
      </c>
      <c r="O27" s="148">
        <v>0</v>
      </c>
      <c r="P27" s="147">
        <v>0</v>
      </c>
      <c r="Q27" s="147">
        <v>6562.5</v>
      </c>
      <c r="R27" s="143">
        <v>43831</v>
      </c>
      <c r="T27" s="78" t="s">
        <v>1754</v>
      </c>
      <c r="V27">
        <v>1</v>
      </c>
      <c r="W27" s="77"/>
    </row>
    <row r="28" spans="1:23" ht="15" customHeight="1" x14ac:dyDescent="0.25">
      <c r="A28" s="2" t="s">
        <v>1141</v>
      </c>
      <c r="B28" s="78" t="s">
        <v>815</v>
      </c>
      <c r="C28" s="78">
        <v>69</v>
      </c>
      <c r="D28" s="78">
        <v>104</v>
      </c>
      <c r="E28" s="78">
        <v>4</v>
      </c>
      <c r="F28" t="s">
        <v>1116</v>
      </c>
      <c r="G28" t="s">
        <v>1116</v>
      </c>
      <c r="H28" s="2">
        <v>2300</v>
      </c>
      <c r="I28" t="s">
        <v>87</v>
      </c>
      <c r="J28" t="s">
        <v>866</v>
      </c>
      <c r="L28" t="s">
        <v>856</v>
      </c>
      <c r="M28" s="148">
        <v>0.33333333333333331</v>
      </c>
      <c r="N28" s="148">
        <v>0</v>
      </c>
      <c r="O28" s="148">
        <v>0</v>
      </c>
      <c r="P28" s="147">
        <v>0</v>
      </c>
      <c r="Q28" s="147">
        <v>9187.5</v>
      </c>
      <c r="R28" s="143">
        <v>43831</v>
      </c>
      <c r="T28" s="78" t="s">
        <v>1754</v>
      </c>
      <c r="V28">
        <v>1</v>
      </c>
      <c r="W28" s="77"/>
    </row>
    <row r="29" spans="1:23" ht="15" customHeight="1" x14ac:dyDescent="0.25">
      <c r="A29" s="2" t="s">
        <v>1141</v>
      </c>
      <c r="B29" s="78" t="s">
        <v>815</v>
      </c>
      <c r="C29" s="78">
        <v>69</v>
      </c>
      <c r="D29" s="78">
        <v>105</v>
      </c>
      <c r="E29" s="78">
        <v>4</v>
      </c>
      <c r="F29" t="s">
        <v>1118</v>
      </c>
      <c r="G29" t="s">
        <v>1119</v>
      </c>
      <c r="H29" s="2">
        <v>1917</v>
      </c>
      <c r="I29" t="s">
        <v>76</v>
      </c>
      <c r="J29" t="s">
        <v>866</v>
      </c>
      <c r="L29" t="s">
        <v>856</v>
      </c>
      <c r="M29" s="148">
        <v>0.14285714285714285</v>
      </c>
      <c r="N29" s="148">
        <v>0</v>
      </c>
      <c r="O29" s="148">
        <v>0</v>
      </c>
      <c r="P29" s="147">
        <v>0</v>
      </c>
      <c r="Q29" s="147">
        <v>3937.5</v>
      </c>
      <c r="R29" s="143">
        <v>43831</v>
      </c>
      <c r="T29" s="78" t="s">
        <v>1754</v>
      </c>
      <c r="V29">
        <v>1</v>
      </c>
      <c r="W29" s="77"/>
    </row>
    <row r="30" spans="1:23" ht="15" customHeight="1" x14ac:dyDescent="0.25">
      <c r="A30" s="2" t="s">
        <v>1141</v>
      </c>
      <c r="B30" s="78" t="s">
        <v>815</v>
      </c>
      <c r="C30" s="78">
        <v>69</v>
      </c>
      <c r="D30" s="78">
        <v>106</v>
      </c>
      <c r="E30" s="78">
        <v>4</v>
      </c>
      <c r="F30" t="s">
        <v>1114</v>
      </c>
      <c r="G30" t="s">
        <v>1115</v>
      </c>
      <c r="H30" s="2">
        <v>2300</v>
      </c>
      <c r="I30" t="s">
        <v>87</v>
      </c>
      <c r="J30" t="s">
        <v>866</v>
      </c>
      <c r="L30" t="s">
        <v>856</v>
      </c>
      <c r="M30" s="148">
        <v>0.59183673469387754</v>
      </c>
      <c r="N30" s="148">
        <v>0</v>
      </c>
      <c r="O30" s="148">
        <v>0</v>
      </c>
      <c r="P30" s="147">
        <v>0</v>
      </c>
      <c r="Q30" s="147">
        <v>16312.5</v>
      </c>
      <c r="R30" s="143">
        <v>43831</v>
      </c>
      <c r="T30" s="78" t="s">
        <v>1754</v>
      </c>
      <c r="V30">
        <v>1</v>
      </c>
      <c r="W30" s="77"/>
    </row>
    <row r="31" spans="1:23" ht="15" customHeight="1" x14ac:dyDescent="0.25">
      <c r="A31" s="2" t="s">
        <v>1141</v>
      </c>
      <c r="B31" s="78" t="s">
        <v>815</v>
      </c>
      <c r="C31" s="78">
        <v>69</v>
      </c>
      <c r="D31" s="78">
        <v>200</v>
      </c>
      <c r="E31" s="78">
        <v>4</v>
      </c>
      <c r="F31" t="s">
        <v>1167</v>
      </c>
      <c r="G31" t="s">
        <v>542</v>
      </c>
      <c r="H31" s="78">
        <v>2000</v>
      </c>
      <c r="I31" t="s">
        <v>10</v>
      </c>
      <c r="J31"/>
      <c r="M31" s="148"/>
      <c r="N31" s="148"/>
      <c r="O31" s="148"/>
      <c r="P31" s="147"/>
      <c r="Q31" s="147"/>
      <c r="T31" s="78" t="s">
        <v>1755</v>
      </c>
      <c r="U31" t="s">
        <v>1705</v>
      </c>
      <c r="V31">
        <v>1</v>
      </c>
      <c r="W31" s="77"/>
    </row>
    <row r="32" spans="1:23" ht="15" customHeight="1" x14ac:dyDescent="0.25">
      <c r="A32" s="2" t="s">
        <v>1141</v>
      </c>
      <c r="B32" s="78" t="s">
        <v>815</v>
      </c>
      <c r="C32" s="78">
        <v>69</v>
      </c>
      <c r="D32" s="78">
        <v>201</v>
      </c>
      <c r="E32" s="78">
        <v>4</v>
      </c>
      <c r="F32" t="s">
        <v>1117</v>
      </c>
      <c r="G32" t="s">
        <v>1107</v>
      </c>
      <c r="H32" s="2">
        <v>2500</v>
      </c>
      <c r="I32" t="s">
        <v>20</v>
      </c>
      <c r="J32" t="s">
        <v>866</v>
      </c>
      <c r="L32" t="s">
        <v>856</v>
      </c>
      <c r="M32" s="148">
        <v>4.7619047619047623E-2</v>
      </c>
      <c r="N32" s="148">
        <v>0</v>
      </c>
      <c r="O32" s="148">
        <v>0</v>
      </c>
      <c r="P32" s="147">
        <v>0</v>
      </c>
      <c r="Q32" s="147">
        <v>1312.5</v>
      </c>
      <c r="R32" s="143">
        <v>43831</v>
      </c>
      <c r="T32" s="78" t="s">
        <v>1754</v>
      </c>
      <c r="V32">
        <v>1</v>
      </c>
      <c r="W32" s="77"/>
    </row>
    <row r="33" spans="1:23" ht="15" customHeight="1" x14ac:dyDescent="0.25">
      <c r="A33" s="2" t="s">
        <v>1141</v>
      </c>
      <c r="B33" s="78" t="s">
        <v>815</v>
      </c>
      <c r="C33" s="78">
        <v>69</v>
      </c>
      <c r="D33" s="78">
        <v>202</v>
      </c>
      <c r="E33" s="78">
        <v>5</v>
      </c>
      <c r="F33" t="s">
        <v>1120</v>
      </c>
      <c r="G33" t="s">
        <v>1121</v>
      </c>
      <c r="H33" s="2">
        <v>2500</v>
      </c>
      <c r="I33" t="s">
        <v>20</v>
      </c>
      <c r="J33" t="s">
        <v>866</v>
      </c>
      <c r="L33" t="s">
        <v>856</v>
      </c>
      <c r="M33" s="148">
        <v>7.4829931972789115E-2</v>
      </c>
      <c r="N33" s="148">
        <v>0</v>
      </c>
      <c r="O33" s="148">
        <v>0</v>
      </c>
      <c r="P33" s="147">
        <v>0</v>
      </c>
      <c r="Q33" s="147">
        <v>2062.5</v>
      </c>
      <c r="R33" s="143">
        <v>43831</v>
      </c>
      <c r="T33" s="78" t="s">
        <v>1754</v>
      </c>
      <c r="V33">
        <v>1</v>
      </c>
      <c r="W33" s="77"/>
    </row>
    <row r="34" spans="1:23" ht="15" customHeight="1" x14ac:dyDescent="0.25">
      <c r="A34" s="2" t="s">
        <v>1141</v>
      </c>
      <c r="B34" s="78" t="s">
        <v>815</v>
      </c>
      <c r="C34" s="78">
        <v>69</v>
      </c>
      <c r="D34" s="78">
        <v>300</v>
      </c>
      <c r="E34" s="78">
        <v>4</v>
      </c>
      <c r="F34" t="s">
        <v>1168</v>
      </c>
      <c r="G34" t="s">
        <v>542</v>
      </c>
      <c r="H34" s="78">
        <v>2000</v>
      </c>
      <c r="I34" t="s">
        <v>10</v>
      </c>
      <c r="J34"/>
      <c r="M34" s="148"/>
      <c r="N34" s="148"/>
      <c r="O34" s="148"/>
      <c r="P34" s="147"/>
      <c r="Q34" s="147"/>
      <c r="T34" s="78" t="s">
        <v>1755</v>
      </c>
      <c r="U34" t="s">
        <v>1705</v>
      </c>
      <c r="V34">
        <v>1</v>
      </c>
      <c r="W34" s="77"/>
    </row>
    <row r="35" spans="1:23" ht="15" customHeight="1" x14ac:dyDescent="0.25">
      <c r="A35" s="2" t="s">
        <v>1141</v>
      </c>
      <c r="B35" s="78" t="s">
        <v>815</v>
      </c>
      <c r="C35" s="78">
        <v>69</v>
      </c>
      <c r="D35" s="78">
        <v>301</v>
      </c>
      <c r="E35" s="78">
        <v>4</v>
      </c>
      <c r="F35" t="s">
        <v>1110</v>
      </c>
      <c r="G35" t="s">
        <v>1111</v>
      </c>
      <c r="H35" s="2">
        <v>1310</v>
      </c>
      <c r="I35" t="s">
        <v>24</v>
      </c>
      <c r="J35" t="s">
        <v>866</v>
      </c>
      <c r="L35" t="s">
        <v>856</v>
      </c>
      <c r="M35" s="148">
        <v>7.4829931972789115E-2</v>
      </c>
      <c r="N35" s="148">
        <v>0</v>
      </c>
      <c r="O35" s="148">
        <v>0</v>
      </c>
      <c r="P35" s="147">
        <v>0</v>
      </c>
      <c r="Q35" s="147">
        <v>2062.5</v>
      </c>
      <c r="R35" s="143">
        <v>43831</v>
      </c>
      <c r="T35" s="78" t="s">
        <v>1754</v>
      </c>
      <c r="V35">
        <v>1</v>
      </c>
      <c r="W35" s="77"/>
    </row>
    <row r="36" spans="1:23" ht="15" customHeight="1" x14ac:dyDescent="0.25">
      <c r="A36" s="2" t="s">
        <v>1141</v>
      </c>
      <c r="B36" s="78" t="s">
        <v>815</v>
      </c>
      <c r="C36" s="78">
        <v>69</v>
      </c>
      <c r="D36" s="78">
        <v>711</v>
      </c>
      <c r="E36" s="78">
        <v>4</v>
      </c>
      <c r="F36" s="1" t="s">
        <v>307</v>
      </c>
      <c r="G36" t="s">
        <v>306</v>
      </c>
      <c r="H36" s="2" t="s">
        <v>23</v>
      </c>
      <c r="I36" s="10" t="s">
        <v>24</v>
      </c>
      <c r="J36" s="10"/>
      <c r="K36" s="10"/>
      <c r="L36" t="s">
        <v>856</v>
      </c>
      <c r="M36" s="148">
        <v>2.0408163265306121E-2</v>
      </c>
      <c r="N36" s="148">
        <v>0</v>
      </c>
      <c r="O36" s="148">
        <v>0</v>
      </c>
      <c r="P36" s="147">
        <v>0</v>
      </c>
      <c r="Q36" s="147">
        <v>562.5</v>
      </c>
      <c r="R36" s="143">
        <v>43831</v>
      </c>
      <c r="T36" s="78" t="s">
        <v>1754</v>
      </c>
      <c r="V36">
        <v>1</v>
      </c>
      <c r="W36" s="77" t="s">
        <v>1137</v>
      </c>
    </row>
    <row r="37" spans="1:23" ht="15" customHeight="1" x14ac:dyDescent="0.25">
      <c r="A37" s="2" t="s">
        <v>1141</v>
      </c>
      <c r="B37" s="78" t="s">
        <v>815</v>
      </c>
      <c r="C37" s="78">
        <v>69</v>
      </c>
      <c r="D37" s="78">
        <v>721</v>
      </c>
      <c r="E37" s="78">
        <v>4</v>
      </c>
      <c r="F37" s="1" t="s">
        <v>305</v>
      </c>
      <c r="G37" t="s">
        <v>304</v>
      </c>
      <c r="H37" s="2" t="s">
        <v>23</v>
      </c>
      <c r="I37" s="10" t="s">
        <v>24</v>
      </c>
      <c r="J37" s="10"/>
      <c r="K37" s="10"/>
      <c r="L37" t="s">
        <v>856</v>
      </c>
      <c r="M37" s="148">
        <v>5.4421768707482991E-2</v>
      </c>
      <c r="N37" s="148">
        <v>0</v>
      </c>
      <c r="O37" s="148">
        <v>0</v>
      </c>
      <c r="P37" s="147">
        <v>0</v>
      </c>
      <c r="Q37" s="147">
        <v>1500</v>
      </c>
      <c r="R37" s="143">
        <v>43831</v>
      </c>
      <c r="T37" s="78" t="s">
        <v>1754</v>
      </c>
      <c r="V37">
        <v>1</v>
      </c>
      <c r="W37" s="77" t="s">
        <v>1137</v>
      </c>
    </row>
    <row r="38" spans="1:23" ht="15" customHeight="1" x14ac:dyDescent="0.25">
      <c r="A38" s="2" t="s">
        <v>1141</v>
      </c>
      <c r="B38" s="78" t="s">
        <v>625</v>
      </c>
      <c r="C38" s="78">
        <v>87</v>
      </c>
      <c r="D38" s="78">
        <v>515</v>
      </c>
      <c r="E38" s="78">
        <v>4</v>
      </c>
      <c r="F38" t="s">
        <v>885</v>
      </c>
      <c r="G38" t="s">
        <v>777</v>
      </c>
      <c r="H38" s="2" t="s">
        <v>79</v>
      </c>
      <c r="I38" t="s">
        <v>80</v>
      </c>
      <c r="J38" t="s">
        <v>873</v>
      </c>
      <c r="L38" t="s">
        <v>838</v>
      </c>
      <c r="M38" s="148">
        <v>25</v>
      </c>
      <c r="N38" s="148">
        <v>0</v>
      </c>
      <c r="O38" s="148">
        <v>0</v>
      </c>
      <c r="P38" s="147">
        <v>0</v>
      </c>
      <c r="Q38" s="147">
        <v>15600</v>
      </c>
      <c r="R38" s="143">
        <v>43252</v>
      </c>
      <c r="T38" s="78" t="s">
        <v>1754</v>
      </c>
      <c r="U38" t="s">
        <v>1706</v>
      </c>
      <c r="V38">
        <v>1</v>
      </c>
      <c r="W38" s="77"/>
    </row>
    <row r="39" spans="1:23" ht="15" customHeight="1" x14ac:dyDescent="0.25">
      <c r="A39" s="2" t="s">
        <v>1141</v>
      </c>
      <c r="B39" s="78" t="s">
        <v>625</v>
      </c>
      <c r="C39" s="78">
        <v>87</v>
      </c>
      <c r="D39" s="78">
        <v>702</v>
      </c>
      <c r="E39" s="78">
        <v>4</v>
      </c>
      <c r="F39" t="s">
        <v>1065</v>
      </c>
      <c r="G39" t="s">
        <v>1066</v>
      </c>
      <c r="H39" s="2">
        <v>2830</v>
      </c>
      <c r="I39" s="10" t="s">
        <v>18</v>
      </c>
      <c r="J39" s="10" t="s">
        <v>1060</v>
      </c>
      <c r="K39" s="10"/>
      <c r="L39" t="s">
        <v>856</v>
      </c>
      <c r="M39" s="148">
        <v>3.6</v>
      </c>
      <c r="N39" s="148">
        <v>0</v>
      </c>
      <c r="O39" s="148">
        <v>0</v>
      </c>
      <c r="P39" s="147">
        <v>0</v>
      </c>
      <c r="Q39" s="147">
        <v>26950</v>
      </c>
      <c r="R39" s="143">
        <v>43678</v>
      </c>
      <c r="T39" s="78" t="s">
        <v>1754</v>
      </c>
      <c r="V39">
        <v>1</v>
      </c>
      <c r="W39" s="77"/>
    </row>
    <row r="40" spans="1:23" ht="15" customHeight="1" x14ac:dyDescent="0.25">
      <c r="A40" s="2" t="s">
        <v>1141</v>
      </c>
      <c r="B40" s="78" t="s">
        <v>176</v>
      </c>
      <c r="C40" s="78">
        <v>108</v>
      </c>
      <c r="D40" s="78">
        <v>110</v>
      </c>
      <c r="E40" s="78">
        <v>4</v>
      </c>
      <c r="F40" t="s">
        <v>778</v>
      </c>
      <c r="G40" t="s">
        <v>779</v>
      </c>
      <c r="H40" s="2" t="s">
        <v>242</v>
      </c>
      <c r="I40" t="s">
        <v>243</v>
      </c>
      <c r="J40" t="s">
        <v>882</v>
      </c>
      <c r="L40" t="s">
        <v>856</v>
      </c>
      <c r="M40" s="148">
        <v>7.35</v>
      </c>
      <c r="N40" s="148">
        <v>0</v>
      </c>
      <c r="O40" s="148">
        <v>0</v>
      </c>
      <c r="P40" s="147">
        <v>0</v>
      </c>
      <c r="Q40" s="147">
        <v>10205</v>
      </c>
      <c r="R40" s="143">
        <v>41671</v>
      </c>
      <c r="T40" s="78" t="s">
        <v>1754</v>
      </c>
      <c r="U40" t="s">
        <v>1707</v>
      </c>
      <c r="V40">
        <v>1</v>
      </c>
      <c r="W40" s="77"/>
    </row>
    <row r="41" spans="1:23" ht="15" customHeight="1" x14ac:dyDescent="0.25">
      <c r="A41" s="2" t="s">
        <v>1141</v>
      </c>
      <c r="B41" s="78" t="s">
        <v>176</v>
      </c>
      <c r="C41" s="78">
        <v>108</v>
      </c>
      <c r="D41" s="78">
        <v>237</v>
      </c>
      <c r="E41" s="78">
        <v>4</v>
      </c>
      <c r="F41" t="s">
        <v>805</v>
      </c>
      <c r="G41" t="s">
        <v>1105</v>
      </c>
      <c r="H41" s="2" t="s">
        <v>244</v>
      </c>
      <c r="I41" t="s">
        <v>245</v>
      </c>
      <c r="J41" t="s">
        <v>873</v>
      </c>
      <c r="L41" t="s">
        <v>856</v>
      </c>
      <c r="M41" s="148">
        <v>1.2</v>
      </c>
      <c r="N41" s="148">
        <v>0.3</v>
      </c>
      <c r="O41" s="148">
        <v>0</v>
      </c>
      <c r="P41" s="147">
        <v>0</v>
      </c>
      <c r="Q41" s="147">
        <v>2625</v>
      </c>
      <c r="R41" s="143">
        <v>43101</v>
      </c>
      <c r="T41" s="78" t="s">
        <v>1754</v>
      </c>
      <c r="V41">
        <v>1</v>
      </c>
      <c r="W41" s="77"/>
    </row>
    <row r="42" spans="1:23" ht="15" customHeight="1" x14ac:dyDescent="0.25">
      <c r="A42" s="2" t="s">
        <v>1141</v>
      </c>
      <c r="B42" s="78" t="s">
        <v>572</v>
      </c>
      <c r="C42" s="78">
        <v>109</v>
      </c>
      <c r="D42" s="78">
        <v>7</v>
      </c>
      <c r="E42" s="78">
        <v>4</v>
      </c>
      <c r="F42" s="175" t="s">
        <v>804</v>
      </c>
      <c r="G42" t="s">
        <v>1106</v>
      </c>
      <c r="H42" s="2" t="s">
        <v>242</v>
      </c>
      <c r="I42" t="s">
        <v>243</v>
      </c>
      <c r="J42" t="s">
        <v>882</v>
      </c>
      <c r="L42" t="s">
        <v>838</v>
      </c>
      <c r="M42" s="148">
        <v>0</v>
      </c>
      <c r="N42" s="148">
        <v>0</v>
      </c>
      <c r="O42" s="148">
        <v>0</v>
      </c>
      <c r="P42" s="147">
        <v>0</v>
      </c>
      <c r="Q42" s="147">
        <v>0</v>
      </c>
      <c r="R42" t="s">
        <v>1708</v>
      </c>
      <c r="T42" s="78" t="s">
        <v>1754</v>
      </c>
      <c r="U42" s="163" t="s">
        <v>1709</v>
      </c>
      <c r="V42">
        <v>1</v>
      </c>
      <c r="W42" s="77"/>
    </row>
    <row r="43" spans="1:23" ht="15" customHeight="1" x14ac:dyDescent="0.25">
      <c r="A43" s="2" t="s">
        <v>1141</v>
      </c>
      <c r="B43" s="78" t="s">
        <v>572</v>
      </c>
      <c r="C43" s="78">
        <v>109</v>
      </c>
      <c r="D43" s="78">
        <v>304</v>
      </c>
      <c r="E43" s="78">
        <v>4</v>
      </c>
      <c r="F43" t="s">
        <v>802</v>
      </c>
      <c r="G43" t="s">
        <v>801</v>
      </c>
      <c r="H43" s="78" t="s">
        <v>244</v>
      </c>
      <c r="I43" t="s">
        <v>245</v>
      </c>
      <c r="J43" t="s">
        <v>873</v>
      </c>
      <c r="L43" t="s">
        <v>864</v>
      </c>
      <c r="M43" s="148">
        <f>(30+559)/52</f>
        <v>11.326923076923077</v>
      </c>
      <c r="N43" s="148">
        <v>0</v>
      </c>
      <c r="O43" s="148">
        <v>0</v>
      </c>
      <c r="P43" s="147">
        <v>0</v>
      </c>
      <c r="Q43" s="147">
        <v>12608.9</v>
      </c>
      <c r="T43" s="78" t="s">
        <v>1754</v>
      </c>
      <c r="U43" t="s">
        <v>1707</v>
      </c>
      <c r="V43">
        <v>1</v>
      </c>
      <c r="W43" s="77"/>
    </row>
    <row r="44" spans="1:23" ht="15" customHeight="1" x14ac:dyDescent="0.25">
      <c r="A44" s="2" t="s">
        <v>1141</v>
      </c>
      <c r="B44" s="78" t="s">
        <v>572</v>
      </c>
      <c r="C44" s="78">
        <v>109</v>
      </c>
      <c r="D44" s="78">
        <v>305</v>
      </c>
      <c r="E44" s="78">
        <v>4</v>
      </c>
      <c r="F44" t="s">
        <v>800</v>
      </c>
      <c r="G44" t="s">
        <v>803</v>
      </c>
      <c r="H44" s="78" t="s">
        <v>244</v>
      </c>
      <c r="I44" t="s">
        <v>245</v>
      </c>
      <c r="J44" t="s">
        <v>882</v>
      </c>
      <c r="L44" t="s">
        <v>864</v>
      </c>
      <c r="M44" s="148">
        <f>(24+653.19)/52</f>
        <v>13.022884615384616</v>
      </c>
      <c r="N44" s="148">
        <v>0</v>
      </c>
      <c r="O44" s="148">
        <f>(2*4.5)/52</f>
        <v>0.17307692307692307</v>
      </c>
      <c r="P44" s="147">
        <v>0</v>
      </c>
      <c r="Q44" s="147">
        <f>14520</f>
        <v>14520</v>
      </c>
      <c r="T44" s="78" t="s">
        <v>1754</v>
      </c>
      <c r="U44" t="s">
        <v>1707</v>
      </c>
      <c r="V44">
        <v>1</v>
      </c>
      <c r="W44" s="77"/>
    </row>
    <row r="45" spans="1:23" x14ac:dyDescent="0.25">
      <c r="A45" s="2" t="s">
        <v>1141</v>
      </c>
      <c r="B45" s="78" t="s">
        <v>606</v>
      </c>
      <c r="C45" s="78">
        <v>152</v>
      </c>
      <c r="D45" s="78">
        <v>101</v>
      </c>
      <c r="E45" s="78">
        <v>4</v>
      </c>
      <c r="F45" t="s">
        <v>798</v>
      </c>
      <c r="G45" t="s">
        <v>799</v>
      </c>
      <c r="H45" s="2" t="s">
        <v>188</v>
      </c>
      <c r="I45" t="s">
        <v>189</v>
      </c>
      <c r="J45" t="s">
        <v>880</v>
      </c>
      <c r="L45" t="s">
        <v>856</v>
      </c>
      <c r="M45" s="148">
        <v>12</v>
      </c>
      <c r="N45" s="148">
        <v>0</v>
      </c>
      <c r="O45" s="148">
        <v>0</v>
      </c>
      <c r="P45" s="147">
        <v>0</v>
      </c>
      <c r="Q45" s="147">
        <v>23450</v>
      </c>
      <c r="R45" s="166">
        <v>43191</v>
      </c>
      <c r="T45" s="78" t="s">
        <v>1754</v>
      </c>
      <c r="V45">
        <v>1</v>
      </c>
      <c r="W45" s="77"/>
    </row>
    <row r="46" spans="1:23" x14ac:dyDescent="0.25">
      <c r="A46" s="2" t="s">
        <v>1141</v>
      </c>
      <c r="B46" s="78" t="s">
        <v>709</v>
      </c>
      <c r="C46" s="78">
        <v>800</v>
      </c>
      <c r="D46" s="78">
        <v>5</v>
      </c>
      <c r="E46" s="78">
        <v>4</v>
      </c>
      <c r="F46" t="s">
        <v>796</v>
      </c>
      <c r="G46" t="s">
        <v>797</v>
      </c>
      <c r="H46" s="2" t="s">
        <v>244</v>
      </c>
      <c r="I46" t="s">
        <v>245</v>
      </c>
      <c r="J46" t="s">
        <v>882</v>
      </c>
      <c r="L46" t="s">
        <v>864</v>
      </c>
      <c r="M46" s="148">
        <f>128/52</f>
        <v>2.4615384615384617</v>
      </c>
      <c r="N46" s="148">
        <f>233/52</f>
        <v>4.4807692307692308</v>
      </c>
      <c r="O46" s="148">
        <v>0</v>
      </c>
      <c r="P46" s="147">
        <v>0</v>
      </c>
      <c r="Q46" s="147">
        <v>15750</v>
      </c>
      <c r="T46" s="78" t="s">
        <v>1754</v>
      </c>
      <c r="V46">
        <v>1</v>
      </c>
      <c r="W46" s="77"/>
    </row>
    <row r="47" spans="1:23" x14ac:dyDescent="0.25">
      <c r="A47" s="2" t="s">
        <v>1141</v>
      </c>
      <c r="B47" s="78" t="s">
        <v>709</v>
      </c>
      <c r="C47" s="78">
        <v>800</v>
      </c>
      <c r="D47" s="78">
        <v>6</v>
      </c>
      <c r="E47" s="78">
        <v>4</v>
      </c>
      <c r="F47" t="s">
        <v>794</v>
      </c>
      <c r="G47" t="s">
        <v>795</v>
      </c>
      <c r="H47" s="2" t="s">
        <v>244</v>
      </c>
      <c r="I47" t="s">
        <v>245</v>
      </c>
      <c r="J47" t="s">
        <v>882</v>
      </c>
      <c r="L47" t="s">
        <v>864</v>
      </c>
      <c r="M47" s="148">
        <f>47.25/52</f>
        <v>0.90865384615384615</v>
      </c>
      <c r="N47" s="148">
        <v>0</v>
      </c>
      <c r="O47" s="148">
        <v>0</v>
      </c>
      <c r="P47" s="147">
        <v>0</v>
      </c>
      <c r="Q47" s="147">
        <v>16800</v>
      </c>
      <c r="T47" s="78" t="s">
        <v>1754</v>
      </c>
      <c r="V47">
        <v>1</v>
      </c>
      <c r="W47" s="77"/>
    </row>
    <row r="48" spans="1:23" x14ac:dyDescent="0.25">
      <c r="A48" s="2" t="s">
        <v>1141</v>
      </c>
      <c r="B48" s="78" t="s">
        <v>709</v>
      </c>
      <c r="C48" s="78">
        <v>800</v>
      </c>
      <c r="D48" s="78">
        <v>7</v>
      </c>
      <c r="E48" s="78">
        <v>4</v>
      </c>
      <c r="F48" t="s">
        <v>792</v>
      </c>
      <c r="G48" t="s">
        <v>793</v>
      </c>
      <c r="H48" s="2" t="s">
        <v>244</v>
      </c>
      <c r="I48" t="s">
        <v>245</v>
      </c>
      <c r="J48" t="s">
        <v>882</v>
      </c>
      <c r="L48" t="s">
        <v>864</v>
      </c>
      <c r="M48" s="148">
        <f>19.25/52</f>
        <v>0.37019230769230771</v>
      </c>
      <c r="N48" s="148">
        <v>0</v>
      </c>
      <c r="O48" s="148">
        <v>0</v>
      </c>
      <c r="P48" s="147">
        <v>0</v>
      </c>
      <c r="Q48" s="147">
        <v>16800</v>
      </c>
      <c r="T48" s="78" t="s">
        <v>1754</v>
      </c>
      <c r="V48">
        <v>1</v>
      </c>
      <c r="W48" s="77"/>
    </row>
    <row r="49" spans="1:23" x14ac:dyDescent="0.25">
      <c r="A49" s="2" t="s">
        <v>1141</v>
      </c>
      <c r="B49" s="78" t="s">
        <v>709</v>
      </c>
      <c r="C49" s="78">
        <v>800</v>
      </c>
      <c r="D49" s="78">
        <v>9</v>
      </c>
      <c r="E49" s="78">
        <v>4</v>
      </c>
      <c r="F49" t="s">
        <v>791</v>
      </c>
      <c r="G49" t="s">
        <v>790</v>
      </c>
      <c r="H49" s="2" t="s">
        <v>244</v>
      </c>
      <c r="I49" t="s">
        <v>245</v>
      </c>
      <c r="J49" t="s">
        <v>882</v>
      </c>
      <c r="L49" t="s">
        <v>864</v>
      </c>
      <c r="M49" s="148">
        <f>121.25/52</f>
        <v>2.3317307692307692</v>
      </c>
      <c r="N49" s="148">
        <f>64/52</f>
        <v>1.2307692307692308</v>
      </c>
      <c r="O49" s="148">
        <v>0</v>
      </c>
      <c r="P49" s="147">
        <v>0</v>
      </c>
      <c r="Q49" s="147">
        <v>16800</v>
      </c>
      <c r="T49" s="78" t="s">
        <v>1754</v>
      </c>
      <c r="V49">
        <v>1</v>
      </c>
      <c r="W49" s="77"/>
    </row>
    <row r="50" spans="1:23" x14ac:dyDescent="0.25">
      <c r="A50" s="2" t="s">
        <v>1141</v>
      </c>
      <c r="B50" s="78" t="s">
        <v>709</v>
      </c>
      <c r="C50" s="78">
        <v>800</v>
      </c>
      <c r="D50" s="78">
        <v>32</v>
      </c>
      <c r="E50" s="78">
        <v>4</v>
      </c>
      <c r="F50" s="140" t="s">
        <v>788</v>
      </c>
      <c r="G50" t="s">
        <v>789</v>
      </c>
      <c r="H50" s="2" t="s">
        <v>735</v>
      </c>
      <c r="I50" t="s">
        <v>24</v>
      </c>
      <c r="J50" t="s">
        <v>873</v>
      </c>
      <c r="L50" t="s">
        <v>864</v>
      </c>
      <c r="M50" s="148"/>
      <c r="N50" s="148"/>
      <c r="O50" s="148"/>
      <c r="P50" s="147"/>
      <c r="Q50" s="147"/>
      <c r="T50" s="78" t="s">
        <v>1755</v>
      </c>
      <c r="U50" t="s">
        <v>1734</v>
      </c>
      <c r="V50">
        <v>1</v>
      </c>
      <c r="W50" s="77"/>
    </row>
    <row r="51" spans="1:23" x14ac:dyDescent="0.25">
      <c r="A51" s="2" t="s">
        <v>1141</v>
      </c>
      <c r="B51" s="78" t="s">
        <v>709</v>
      </c>
      <c r="C51" s="78">
        <v>800</v>
      </c>
      <c r="D51" s="78">
        <v>52</v>
      </c>
      <c r="E51" s="78">
        <v>4</v>
      </c>
      <c r="F51" t="s">
        <v>783</v>
      </c>
      <c r="G51" t="s">
        <v>784</v>
      </c>
      <c r="H51" s="2" t="s">
        <v>188</v>
      </c>
      <c r="I51" t="s">
        <v>189</v>
      </c>
      <c r="J51" t="s">
        <v>880</v>
      </c>
      <c r="L51" t="s">
        <v>856</v>
      </c>
      <c r="M51" s="148">
        <f>0.173076923076923+1.84615384615385+0.346153846153846</f>
        <v>2.365384615384619</v>
      </c>
      <c r="N51" s="148">
        <v>0</v>
      </c>
      <c r="O51" s="148">
        <v>0</v>
      </c>
      <c r="P51" s="147">
        <v>0</v>
      </c>
      <c r="Q51" s="147">
        <v>12950</v>
      </c>
      <c r="R51" s="166">
        <v>43374</v>
      </c>
      <c r="T51" s="78" t="s">
        <v>1754</v>
      </c>
      <c r="V51">
        <v>1</v>
      </c>
      <c r="W51" s="77"/>
    </row>
    <row r="52" spans="1:23" ht="15" customHeight="1" x14ac:dyDescent="0.25">
      <c r="A52" s="2" t="s">
        <v>1141</v>
      </c>
      <c r="B52" s="78" t="s">
        <v>709</v>
      </c>
      <c r="C52" s="78">
        <v>800</v>
      </c>
      <c r="D52" s="78">
        <v>92</v>
      </c>
      <c r="E52" s="78">
        <v>4</v>
      </c>
      <c r="F52" t="s">
        <v>1092</v>
      </c>
      <c r="G52" t="s">
        <v>757</v>
      </c>
      <c r="H52" s="2" t="s">
        <v>188</v>
      </c>
      <c r="I52" t="s">
        <v>189</v>
      </c>
      <c r="J52" t="s">
        <v>866</v>
      </c>
      <c r="L52" t="s">
        <v>864</v>
      </c>
      <c r="M52" s="148">
        <f>0.490384615384615+1.96153846153846+1.34615384615385</f>
        <v>3.7980769230769251</v>
      </c>
      <c r="N52" s="148">
        <v>0</v>
      </c>
      <c r="O52" s="148">
        <v>0</v>
      </c>
      <c r="P52" s="147">
        <v>0</v>
      </c>
      <c r="Q52" s="147">
        <v>7000</v>
      </c>
      <c r="R52" s="166">
        <v>43586</v>
      </c>
      <c r="T52" s="78" t="s">
        <v>1754</v>
      </c>
      <c r="U52" t="s">
        <v>1742</v>
      </c>
      <c r="V52">
        <v>1</v>
      </c>
      <c r="W52" s="77"/>
    </row>
    <row r="53" spans="1:23" x14ac:dyDescent="0.25">
      <c r="A53" s="2" t="s">
        <v>1141</v>
      </c>
      <c r="B53" s="78" t="s">
        <v>709</v>
      </c>
      <c r="C53" s="78">
        <v>800</v>
      </c>
      <c r="D53" s="78">
        <v>515</v>
      </c>
      <c r="E53" s="78">
        <v>4</v>
      </c>
      <c r="F53" s="140"/>
      <c r="G53" t="s">
        <v>780</v>
      </c>
      <c r="H53" s="2" t="s">
        <v>79</v>
      </c>
      <c r="I53" t="s">
        <v>80</v>
      </c>
      <c r="J53" t="s">
        <v>869</v>
      </c>
      <c r="L53" t="s">
        <v>864</v>
      </c>
      <c r="M53" s="148"/>
      <c r="N53" s="148"/>
      <c r="O53" s="148"/>
      <c r="P53" s="147"/>
      <c r="Q53" s="147"/>
      <c r="R53" s="166"/>
      <c r="T53" s="78" t="s">
        <v>1754</v>
      </c>
      <c r="U53" t="s">
        <v>1737</v>
      </c>
      <c r="V53">
        <v>1</v>
      </c>
      <c r="W53" s="77"/>
    </row>
    <row r="54" spans="1:23" x14ac:dyDescent="0.25">
      <c r="A54" s="78"/>
      <c r="B54" s="78"/>
      <c r="C54" s="78"/>
    </row>
    <row r="55" spans="1:23" x14ac:dyDescent="0.25">
      <c r="A55" s="78"/>
      <c r="B55" s="78"/>
      <c r="C55" s="78"/>
    </row>
    <row r="56" spans="1:23" x14ac:dyDescent="0.25">
      <c r="A56" s="78"/>
      <c r="B56" s="78"/>
      <c r="C56" s="78"/>
    </row>
    <row r="57" spans="1:23" x14ac:dyDescent="0.25">
      <c r="A57" s="78"/>
      <c r="B57" s="78"/>
      <c r="C57" s="78"/>
    </row>
  </sheetData>
  <mergeCells count="5">
    <mergeCell ref="P8:Q8"/>
    <mergeCell ref="A2:D2"/>
    <mergeCell ref="A3:B3"/>
    <mergeCell ref="B6:C6"/>
    <mergeCell ref="M8:O8"/>
  </mergeCells>
  <hyperlinks>
    <hyperlink ref="F10" r:id="rId1" display="Ålekistevej 68-84 m.fl._x000a_Ålekistevej 68-84_x000a_Bogholder Allé 75-77 Hyltebjerg Allé 28" xr:uid="{00000000-0004-0000-0F00-000000000000}"/>
    <hyperlink ref="F11" r:id="rId2" display="Hanebred 4-10 m.fl._x000a_Hanebred 4-10_x000a_Hyltebjerg Allé 39-41 " xr:uid="{00000000-0004-0000-0F00-000001000000}"/>
    <hyperlink ref="F12" r:id="rId3" display="Hanebred 12-30_x000a_Hanebred 12-30_x000a_Hyltebjerg Allé 20-22 " xr:uid="{00000000-0004-0000-0F00-000002000000}"/>
    <hyperlink ref="F13" r:id="rId4" display="Hanebred 19-33 m.fl._x000a_Hanebred 19-33_x000a_Hyltebjerg Allé 24-26 " xr:uid="{00000000-0004-0000-0F00-000003000000}"/>
    <hyperlink ref="F14" r:id="rId5" display="Jernbane Allé 5 A-C m.fl._x000a_Jernbane Allé 5 A-C_x000a_Jernbane Allé 7 A-B " xr:uid="{00000000-0004-0000-0F00-000004000000}"/>
    <hyperlink ref="F15" r:id="rId6" display="Sallingvej 21-29 m.fl._x000a_Sallingvej 21-29_x000a_Morsøvej 54 Frederiksgårds Allé 18-26 " xr:uid="{00000000-0004-0000-0F00-000005000000}"/>
    <hyperlink ref="F16" r:id="rId7" display="Ålekistevej 88-94_x000a_Ålekistevej 88-94" xr:uid="{00000000-0004-0000-0F00-000006000000}"/>
    <hyperlink ref="F18" r:id="rId8" display="A/B Guldborghus_x000a_Godthåbsvej 67-69_x000a_Godthåbsvej 67-69 Guldborgvej 38-44" xr:uid="{00000000-0004-0000-0F00-000007000000}"/>
    <hyperlink ref="F22" r:id="rId9" display="E/F Parkvej 17-23_x000a_Parkvej 17-23" xr:uid="{00000000-0004-0000-0F00-000008000000}"/>
    <hyperlink ref="F38" r:id="rId10" display="Ejby Industrivej 125-139_x000a_Ejby Industrivej 125-139" xr:uid="{00000000-0004-0000-0F00-000009000000}"/>
    <hyperlink ref="F40" r:id="rId11" display="E/F Hvidovrevej 432-438_x000a_Gl.Køge Landevej 360_x000a_Hvidovrevej 432-436 " xr:uid="{00000000-0004-0000-0F00-00000A000000}"/>
    <hyperlink ref="F41" r:id="rId12" display="E/F Thorsparken_x000a_Høje Taastrup Boulevard 76_x000a_Høje Taastrup Boulevard 82 Høje Taastrup Boulevard 86 Banestrøget 25-29" xr:uid="{00000000-0004-0000-0F00-00000B000000}"/>
    <hyperlink ref="F42" r:id="rId13" display="Hvidovre Kommune_x000a_Hvidovrevej 432-438,Gl.Køge Landevej 360_x000a_Gl.Køge Landevej 360" xr:uid="{00000000-0004-0000-0F00-00000C000000}"/>
    <hyperlink ref="F45" r:id="rId14" display="Frederikskaj_x000a_Frederikskaj 2A-N_x000a_Frederikskaj 2 A - N" xr:uid="{00000000-0004-0000-0F00-00000D000000}"/>
    <hyperlink ref="F46" r:id="rId15" display="Grdf. Høje Taastrup Et.II Øst Afd.709-01_x000a_Domea - att. Ole Pedersen" xr:uid="{00000000-0004-0000-0F00-00000E000000}"/>
    <hyperlink ref="F47" r:id="rId16" display="35073 Dades A/S_x000a_Vedr. Sportono Allé 2-10" xr:uid="{00000000-0004-0000-0F00-00000F000000}"/>
    <hyperlink ref="F48" r:id="rId17" display="35074 Dades A/S_x000a_Vedr. Sportono Allé 12-16" xr:uid="{00000000-0004-0000-0F00-000010000000}"/>
    <hyperlink ref="F49" r:id="rId18" display="35561 Dades A/S, vedr. Telegade 25_x000a_Ejendomskontoret" xr:uid="{00000000-0004-0000-0F00-000011000000}"/>
    <hyperlink ref="F50" r:id="rId19" display="Portefølje I ApS_x000a_Kresten Bernikowsgade 4, 1." xr:uid="{00000000-0004-0000-0F00-000012000000}"/>
    <hyperlink ref="F51" r:id="rId20" display="E/F Frederikskaj II_x000a_Frederikskaj 2H mm." xr:uid="{00000000-0004-0000-0F00-000013000000}"/>
    <hyperlink ref="F44" r:id="rId21" display="G/F Høje-Taastrup Station Syd_x000a_Station Syd_x000a_Thistedgade Telegade Dalbergstrøget Carl Gustavsgade " xr:uid="{00000000-0004-0000-0F00-000014000000}"/>
    <hyperlink ref="F43" r:id="rId22" display="G/F Høje-Taastrup Station Nord_x000a_Station Nord_x000a_Høje Tåstrup Boulevard Haslevgade Skagensgade " xr:uid="{00000000-0004-0000-0F00-000015000000}"/>
    <hyperlink ref="F36" r:id="rId23" xr:uid="{00000000-0004-0000-0F00-000016000000}"/>
    <hyperlink ref="F37" r:id="rId24" xr:uid="{00000000-0004-0000-0F00-000017000000}"/>
    <hyperlink ref="U42" r:id="rId25" display="link_esdh" xr:uid="{F1D7B3F0-3F66-471A-8E49-B760A36688A4}"/>
  </hyperlinks>
  <pageMargins left="0.7" right="0.7" top="0.75" bottom="0.75" header="0.3" footer="0.3"/>
  <pageSetup paperSize="8" scale="54" fitToHeight="0" orientation="landscape" r:id="rId26"/>
  <tableParts count="1">
    <tablePart r:id="rId2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  <pageSetUpPr fitToPage="1"/>
  </sheetPr>
  <dimension ref="A1:W35"/>
  <sheetViews>
    <sheetView zoomScale="90" zoomScaleNormal="90" workbookViewId="0">
      <selection activeCell="O24" sqref="O24"/>
    </sheetView>
  </sheetViews>
  <sheetFormatPr defaultRowHeight="15" x14ac:dyDescent="0.25"/>
  <cols>
    <col min="2" max="2" width="16.140625" bestFit="1" customWidth="1"/>
    <col min="3" max="3" width="9.85546875" customWidth="1"/>
    <col min="4" max="4" width="14" customWidth="1"/>
    <col min="5" max="5" width="9.5703125" customWidth="1"/>
    <col min="6" max="6" width="31.28515625" bestFit="1" customWidth="1"/>
    <col min="7" max="7" width="23.140625" bestFit="1" customWidth="1"/>
    <col min="8" max="8" width="9.42578125" customWidth="1"/>
    <col min="9" max="9" width="8.7109375" bestFit="1" customWidth="1"/>
    <col min="10" max="10" width="12.5703125" customWidth="1"/>
    <col min="11" max="11" width="13.28515625" customWidth="1"/>
    <col min="12" max="12" width="10.42578125" customWidth="1"/>
    <col min="13" max="13" width="10.85546875" customWidth="1"/>
    <col min="14" max="14" width="9.85546875" customWidth="1"/>
    <col min="15" max="15" width="11.42578125" customWidth="1"/>
    <col min="16" max="16" width="12.5703125" bestFit="1" customWidth="1"/>
    <col min="17" max="17" width="13.5703125" bestFit="1" customWidth="1"/>
    <col min="18" max="18" width="14.7109375" customWidth="1"/>
    <col min="19" max="19" width="10.42578125" customWidth="1"/>
    <col min="20" max="20" width="10.85546875" style="164" customWidth="1"/>
    <col min="21" max="21" width="13.140625" customWidth="1"/>
  </cols>
  <sheetData>
    <row r="1" spans="1:23" ht="18.75" x14ac:dyDescent="0.3">
      <c r="A1" s="36" t="s">
        <v>851</v>
      </c>
      <c r="B1" s="26"/>
      <c r="C1" s="7"/>
      <c r="D1" s="2"/>
      <c r="G1" s="2"/>
      <c r="J1" s="2"/>
    </row>
    <row r="2" spans="1:23" ht="15.75" thickBot="1" x14ac:dyDescent="0.3">
      <c r="A2" s="184" t="s">
        <v>852</v>
      </c>
      <c r="B2" s="184"/>
      <c r="C2" s="184"/>
      <c r="D2" s="184"/>
      <c r="G2" s="2"/>
      <c r="J2" s="2"/>
    </row>
    <row r="3" spans="1:23" x14ac:dyDescent="0.25">
      <c r="A3" s="184" t="s">
        <v>178</v>
      </c>
      <c r="B3" s="184"/>
      <c r="C3" s="2">
        <f>K7</f>
        <v>11</v>
      </c>
      <c r="D3" s="2"/>
      <c r="G3" s="2"/>
      <c r="J3" s="40" t="s">
        <v>838</v>
      </c>
      <c r="K3" s="41">
        <f>COUNTIFS(L:L,J3)</f>
        <v>5</v>
      </c>
    </row>
    <row r="4" spans="1:23" x14ac:dyDescent="0.25">
      <c r="A4" s="37" t="s">
        <v>311</v>
      </c>
      <c r="B4" s="22"/>
      <c r="C4" s="20"/>
      <c r="D4" s="2"/>
      <c r="G4" s="2"/>
      <c r="J4" s="42" t="s">
        <v>856</v>
      </c>
      <c r="K4" s="43">
        <f>COUNTIFS(L:L,J4)</f>
        <v>6</v>
      </c>
    </row>
    <row r="5" spans="1:23" x14ac:dyDescent="0.25">
      <c r="A5" s="37"/>
      <c r="B5" s="22"/>
      <c r="C5" s="12"/>
      <c r="D5" s="12"/>
      <c r="G5" s="2"/>
      <c r="J5" s="42" t="s">
        <v>860</v>
      </c>
      <c r="K5" s="43">
        <f>COUNTIFS(L:L,J5)</f>
        <v>0</v>
      </c>
    </row>
    <row r="6" spans="1:23" ht="15.75" thickBot="1" x14ac:dyDescent="0.3">
      <c r="A6" s="25" t="s">
        <v>179</v>
      </c>
      <c r="B6" s="190"/>
      <c r="C6" s="190"/>
      <c r="D6" s="2"/>
      <c r="G6" s="2"/>
      <c r="J6" s="44" t="s">
        <v>864</v>
      </c>
      <c r="K6" s="45">
        <f>COUNTIFS(L:L,J6)</f>
        <v>0</v>
      </c>
    </row>
    <row r="7" spans="1:23" x14ac:dyDescent="0.25">
      <c r="A7" s="2"/>
      <c r="C7" s="2"/>
      <c r="D7" s="2"/>
      <c r="G7" s="2"/>
      <c r="J7" s="78"/>
      <c r="K7" s="78">
        <f>SUM(K3:K6)</f>
        <v>11</v>
      </c>
    </row>
    <row r="8" spans="1:23" x14ac:dyDescent="0.25">
      <c r="A8" s="78"/>
      <c r="B8" s="78"/>
      <c r="C8" s="78"/>
      <c r="D8" s="78"/>
      <c r="G8" s="7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x14ac:dyDescent="0.25">
      <c r="A10" s="139" t="s">
        <v>1689</v>
      </c>
      <c r="C10" s="78">
        <v>9</v>
      </c>
      <c r="D10" s="78">
        <v>129</v>
      </c>
      <c r="E10" s="78"/>
      <c r="F10" t="s">
        <v>1093</v>
      </c>
      <c r="G10" t="s">
        <v>1094</v>
      </c>
      <c r="H10" s="2" t="s">
        <v>21</v>
      </c>
      <c r="I10" s="2" t="s">
        <v>22</v>
      </c>
      <c r="L10" s="78" t="s">
        <v>838</v>
      </c>
      <c r="M10" s="148">
        <f>19.0192307692308+8.32692307692308</f>
        <v>27.346153846153879</v>
      </c>
      <c r="N10" s="148">
        <v>1.0192307692307701</v>
      </c>
      <c r="O10" s="148">
        <f>(12*2)/52</f>
        <v>0.46153846153846156</v>
      </c>
      <c r="P10" s="147">
        <f>45000+32400</f>
        <v>77400</v>
      </c>
      <c r="Q10" s="147">
        <v>18900</v>
      </c>
      <c r="R10" s="166">
        <v>43617</v>
      </c>
      <c r="T10" s="78" t="s">
        <v>1754</v>
      </c>
    </row>
    <row r="11" spans="1:23" x14ac:dyDescent="0.25">
      <c r="A11" s="139" t="s">
        <v>1689</v>
      </c>
      <c r="B11" t="s">
        <v>625</v>
      </c>
      <c r="C11" s="78">
        <v>87</v>
      </c>
      <c r="D11" s="78">
        <v>522</v>
      </c>
      <c r="E11" s="78"/>
      <c r="G11" t="s">
        <v>1095</v>
      </c>
      <c r="H11" s="2" t="s">
        <v>21</v>
      </c>
      <c r="I11" s="2" t="s">
        <v>22</v>
      </c>
      <c r="L11" s="78" t="s">
        <v>838</v>
      </c>
      <c r="M11" s="148">
        <f>7.94230769230769+8.76923076923077+1.69230769230769</f>
        <v>18.40384615384615</v>
      </c>
      <c r="N11" s="148">
        <v>2.4615384615384599</v>
      </c>
      <c r="O11" s="148">
        <f>(2*4)/52</f>
        <v>0.15384615384615385</v>
      </c>
      <c r="P11" s="147">
        <f>30000+21600</f>
        <v>51600</v>
      </c>
      <c r="Q11" s="147">
        <v>29050</v>
      </c>
      <c r="R11" s="166">
        <v>43983</v>
      </c>
      <c r="T11" s="78" t="s">
        <v>1754</v>
      </c>
    </row>
    <row r="12" spans="1:23" x14ac:dyDescent="0.25">
      <c r="A12" s="139" t="s">
        <v>1689</v>
      </c>
      <c r="C12" s="78">
        <v>108</v>
      </c>
      <c r="D12" s="78">
        <v>294</v>
      </c>
      <c r="E12" s="78"/>
      <c r="F12" t="s">
        <v>1099</v>
      </c>
      <c r="G12" t="s">
        <v>1096</v>
      </c>
      <c r="H12" s="2">
        <v>2900</v>
      </c>
      <c r="I12" s="2" t="s">
        <v>22</v>
      </c>
      <c r="L12" s="78" t="s">
        <v>856</v>
      </c>
      <c r="M12" s="148">
        <f>289/52</f>
        <v>5.5576923076923075</v>
      </c>
      <c r="N12" s="148">
        <f>72/52</f>
        <v>1.3846153846153846</v>
      </c>
      <c r="O12" s="148">
        <v>0</v>
      </c>
      <c r="P12" s="147">
        <v>0</v>
      </c>
      <c r="Q12" s="147">
        <v>7012.5</v>
      </c>
      <c r="R12" s="166">
        <v>42583</v>
      </c>
      <c r="T12" s="78" t="s">
        <v>1754</v>
      </c>
    </row>
    <row r="13" spans="1:23" x14ac:dyDescent="0.25">
      <c r="A13" s="139" t="s">
        <v>1689</v>
      </c>
      <c r="C13" s="78">
        <v>800</v>
      </c>
      <c r="D13" s="78">
        <v>16</v>
      </c>
      <c r="E13" s="78"/>
      <c r="F13" s="175" t="s">
        <v>1097</v>
      </c>
      <c r="G13" t="s">
        <v>1098</v>
      </c>
      <c r="H13" s="2">
        <v>2900</v>
      </c>
      <c r="I13" s="2" t="s">
        <v>22</v>
      </c>
      <c r="L13" s="78" t="s">
        <v>856</v>
      </c>
      <c r="M13" s="148"/>
      <c r="N13" s="148"/>
      <c r="O13" s="148"/>
      <c r="P13" s="147"/>
      <c r="Q13" s="147">
        <v>54450</v>
      </c>
      <c r="R13" s="166">
        <v>42186</v>
      </c>
      <c r="T13" s="78" t="s">
        <v>1754</v>
      </c>
      <c r="U13" t="s">
        <v>1725</v>
      </c>
    </row>
    <row r="14" spans="1:23" x14ac:dyDescent="0.25">
      <c r="A14" s="139" t="s">
        <v>1689</v>
      </c>
      <c r="C14" s="78">
        <v>800</v>
      </c>
      <c r="D14" s="78">
        <v>18</v>
      </c>
      <c r="E14" s="78"/>
      <c r="F14" s="140" t="s">
        <v>1100</v>
      </c>
      <c r="H14" s="2">
        <v>2900</v>
      </c>
      <c r="I14" s="2" t="s">
        <v>22</v>
      </c>
      <c r="L14" s="78" t="s">
        <v>856</v>
      </c>
      <c r="M14" s="148"/>
      <c r="N14" s="148"/>
      <c r="O14" s="148"/>
      <c r="P14" s="147"/>
      <c r="Q14" s="147"/>
      <c r="R14" s="166"/>
      <c r="T14" s="78" t="s">
        <v>1754</v>
      </c>
      <c r="U14" s="173" t="s">
        <v>1735</v>
      </c>
    </row>
    <row r="15" spans="1:23" x14ac:dyDescent="0.25">
      <c r="A15" s="139" t="s">
        <v>1689</v>
      </c>
      <c r="C15" s="78">
        <v>800</v>
      </c>
      <c r="D15" s="78">
        <v>19</v>
      </c>
      <c r="E15" s="78"/>
      <c r="F15" t="s">
        <v>1197</v>
      </c>
      <c r="H15" s="78">
        <v>2900</v>
      </c>
      <c r="I15" s="78" t="s">
        <v>22</v>
      </c>
      <c r="L15" s="78" t="s">
        <v>856</v>
      </c>
      <c r="M15" s="148">
        <f>1.57692307692308+9.76923076923077+2.04</f>
        <v>13.386153846153849</v>
      </c>
      <c r="N15" s="148">
        <v>5.9903846153846096</v>
      </c>
      <c r="O15" s="148">
        <f>(6*4)/52</f>
        <v>0.46153846153846156</v>
      </c>
      <c r="P15" s="147">
        <v>0</v>
      </c>
      <c r="Q15" s="147">
        <v>23100</v>
      </c>
      <c r="R15" s="166">
        <v>43891</v>
      </c>
      <c r="T15" s="78" t="s">
        <v>1754</v>
      </c>
    </row>
    <row r="16" spans="1:23" x14ac:dyDescent="0.25">
      <c r="A16" s="139" t="s">
        <v>1689</v>
      </c>
      <c r="C16" s="78">
        <v>800</v>
      </c>
      <c r="D16" s="78">
        <v>20</v>
      </c>
      <c r="E16" s="78"/>
      <c r="F16" t="s">
        <v>1198</v>
      </c>
      <c r="H16" s="78">
        <v>2900</v>
      </c>
      <c r="I16" s="78" t="s">
        <v>22</v>
      </c>
      <c r="L16" s="78" t="s">
        <v>856</v>
      </c>
      <c r="M16" s="148">
        <f>1+0.75</f>
        <v>1.75</v>
      </c>
      <c r="N16" s="148">
        <v>0.98076923076923095</v>
      </c>
      <c r="O16" s="148">
        <v>0</v>
      </c>
      <c r="P16" s="147">
        <v>0</v>
      </c>
      <c r="Q16" s="147">
        <v>0</v>
      </c>
      <c r="R16" s="166">
        <v>43556</v>
      </c>
      <c r="T16" s="78" t="s">
        <v>1754</v>
      </c>
    </row>
    <row r="17" spans="1:21" x14ac:dyDescent="0.25">
      <c r="A17" s="139" t="s">
        <v>1689</v>
      </c>
      <c r="C17" s="78">
        <v>800</v>
      </c>
      <c r="D17" s="78">
        <v>68</v>
      </c>
      <c r="E17" s="78"/>
      <c r="F17" s="140" t="s">
        <v>1200</v>
      </c>
      <c r="G17" t="s">
        <v>1199</v>
      </c>
      <c r="H17" s="78">
        <v>2900</v>
      </c>
      <c r="I17" s="78" t="s">
        <v>22</v>
      </c>
      <c r="L17" s="78" t="s">
        <v>838</v>
      </c>
      <c r="M17" s="148"/>
      <c r="N17" s="148"/>
      <c r="O17" s="148"/>
      <c r="P17" s="147"/>
      <c r="Q17" s="147"/>
      <c r="T17" s="78" t="s">
        <v>1755</v>
      </c>
      <c r="U17" s="164" t="s">
        <v>1769</v>
      </c>
    </row>
    <row r="18" spans="1:21" x14ac:dyDescent="0.25">
      <c r="A18" s="139" t="s">
        <v>1689</v>
      </c>
      <c r="C18" s="78">
        <v>800</v>
      </c>
      <c r="D18" s="78">
        <v>69</v>
      </c>
      <c r="E18" s="78"/>
      <c r="F18" s="140" t="s">
        <v>1201</v>
      </c>
      <c r="G18" t="s">
        <v>1199</v>
      </c>
      <c r="H18" s="78">
        <v>2900</v>
      </c>
      <c r="I18" s="78" t="s">
        <v>22</v>
      </c>
      <c r="L18" s="78" t="s">
        <v>838</v>
      </c>
      <c r="M18" s="148"/>
      <c r="N18" s="148"/>
      <c r="O18" s="148"/>
      <c r="P18" s="147"/>
      <c r="Q18" s="147"/>
      <c r="T18" s="78" t="s">
        <v>1755</v>
      </c>
      <c r="U18" s="164" t="s">
        <v>1770</v>
      </c>
    </row>
    <row r="19" spans="1:21" x14ac:dyDescent="0.25">
      <c r="A19" s="69" t="s">
        <v>1689</v>
      </c>
      <c r="C19" s="78">
        <v>108</v>
      </c>
      <c r="D19" s="78">
        <v>294</v>
      </c>
      <c r="E19" s="78"/>
      <c r="F19" t="s">
        <v>1099</v>
      </c>
      <c r="G19" t="s">
        <v>1096</v>
      </c>
      <c r="H19" s="78">
        <v>2900</v>
      </c>
      <c r="I19" s="78" t="s">
        <v>22</v>
      </c>
      <c r="L19" s="78" t="s">
        <v>856</v>
      </c>
      <c r="M19" s="148"/>
      <c r="N19" s="148"/>
      <c r="O19" s="148"/>
      <c r="P19" s="147"/>
      <c r="Q19" s="147"/>
      <c r="T19" s="78" t="s">
        <v>1754</v>
      </c>
      <c r="U19" t="s">
        <v>1724</v>
      </c>
    </row>
    <row r="20" spans="1:21" x14ac:dyDescent="0.25">
      <c r="A20" s="69" t="s">
        <v>1689</v>
      </c>
      <c r="C20" s="78">
        <v>800</v>
      </c>
      <c r="D20" s="78">
        <v>129</v>
      </c>
      <c r="E20" s="78"/>
      <c r="F20" s="140" t="s">
        <v>1202</v>
      </c>
      <c r="G20" t="s">
        <v>1203</v>
      </c>
      <c r="H20" s="78">
        <v>2900</v>
      </c>
      <c r="I20" s="78" t="s">
        <v>22</v>
      </c>
      <c r="L20" s="78" t="s">
        <v>838</v>
      </c>
      <c r="M20" s="148"/>
      <c r="N20" s="148"/>
      <c r="O20" s="148"/>
      <c r="P20" s="147"/>
      <c r="Q20" s="147"/>
      <c r="T20" s="78" t="s">
        <v>1755</v>
      </c>
      <c r="U20" t="s">
        <v>1770</v>
      </c>
    </row>
    <row r="21" spans="1:21" x14ac:dyDescent="0.25">
      <c r="C21" s="78"/>
      <c r="D21" s="78"/>
      <c r="J21" s="78"/>
    </row>
    <row r="22" spans="1:21" x14ac:dyDescent="0.25">
      <c r="C22" s="78"/>
      <c r="D22" s="78"/>
      <c r="J22" s="78"/>
    </row>
    <row r="23" spans="1:21" x14ac:dyDescent="0.25">
      <c r="C23" s="78"/>
      <c r="D23" s="78"/>
      <c r="J23" s="78"/>
    </row>
    <row r="24" spans="1:21" x14ac:dyDescent="0.25">
      <c r="C24" s="78"/>
      <c r="D24" s="78"/>
      <c r="J24" s="78"/>
    </row>
    <row r="25" spans="1:21" x14ac:dyDescent="0.25">
      <c r="C25" s="78"/>
      <c r="D25" s="78"/>
      <c r="J25" s="78"/>
    </row>
    <row r="26" spans="1:21" x14ac:dyDescent="0.25">
      <c r="C26" s="78"/>
      <c r="D26" s="78"/>
      <c r="J26" s="78"/>
    </row>
    <row r="27" spans="1:21" x14ac:dyDescent="0.25">
      <c r="C27" s="78"/>
      <c r="D27" s="78"/>
      <c r="J27" s="78"/>
    </row>
    <row r="28" spans="1:21" x14ac:dyDescent="0.25">
      <c r="C28" s="78"/>
      <c r="D28" s="78"/>
      <c r="J28" s="78"/>
    </row>
    <row r="29" spans="1:21" x14ac:dyDescent="0.25">
      <c r="C29" s="78"/>
      <c r="D29" s="78"/>
      <c r="J29" s="78"/>
    </row>
    <row r="30" spans="1:21" x14ac:dyDescent="0.25">
      <c r="C30" s="78"/>
      <c r="D30" s="78"/>
      <c r="J30" s="78"/>
    </row>
    <row r="31" spans="1:21" x14ac:dyDescent="0.25">
      <c r="C31" s="78"/>
      <c r="D31" s="78"/>
      <c r="J31" s="78"/>
    </row>
    <row r="32" spans="1:21" x14ac:dyDescent="0.25">
      <c r="C32" s="78"/>
      <c r="D32" s="78"/>
      <c r="J32" s="78"/>
    </row>
    <row r="33" spans="3:10" x14ac:dyDescent="0.25">
      <c r="C33" s="78"/>
      <c r="D33" s="78"/>
      <c r="J33" s="78"/>
    </row>
    <row r="34" spans="3:10" x14ac:dyDescent="0.25">
      <c r="C34" s="78"/>
      <c r="D34" s="78"/>
      <c r="J34" s="78"/>
    </row>
    <row r="35" spans="3:10" x14ac:dyDescent="0.25">
      <c r="C35" s="78"/>
      <c r="D35" s="78"/>
    </row>
  </sheetData>
  <mergeCells count="5">
    <mergeCell ref="P8:Q8"/>
    <mergeCell ref="A2:D2"/>
    <mergeCell ref="A3:B3"/>
    <mergeCell ref="B6:C6"/>
    <mergeCell ref="M8:O8"/>
  </mergeCells>
  <hyperlinks>
    <hyperlink ref="U14" r:id="rId1" xr:uid="{7516124B-0D74-45B1-9589-EC5994FEB857}"/>
  </hyperlinks>
  <pageMargins left="0.7" right="0.7" top="0.75" bottom="0.75" header="0.3" footer="0.3"/>
  <pageSetup paperSize="8" scale="51" fitToHeight="0" orientation="landscape"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8789-678D-4A06-843F-5C5AFAE88F30}">
  <sheetPr>
    <tabColor rgb="FF7030A0"/>
    <pageSetUpPr fitToPage="1"/>
  </sheetPr>
  <dimension ref="A1:W35"/>
  <sheetViews>
    <sheetView zoomScaleNormal="100" workbookViewId="0">
      <selection activeCell="S25" sqref="S25"/>
    </sheetView>
  </sheetViews>
  <sheetFormatPr defaultRowHeight="15" x14ac:dyDescent="0.25"/>
  <cols>
    <col min="2" max="2" width="8.85546875" customWidth="1"/>
    <col min="3" max="3" width="9.85546875" customWidth="1"/>
    <col min="4" max="4" width="14.140625" customWidth="1"/>
    <col min="5" max="5" width="9.7109375" customWidth="1"/>
    <col min="6" max="6" width="24.5703125" bestFit="1" customWidth="1"/>
    <col min="7" max="7" width="22.28515625" bestFit="1" customWidth="1"/>
    <col min="8" max="8" width="9.28515625" customWidth="1"/>
    <col min="9" max="9" width="8.7109375" bestFit="1" customWidth="1"/>
    <col min="10" max="10" width="13" customWidth="1"/>
    <col min="11" max="11" width="13.7109375" customWidth="1"/>
    <col min="12" max="12" width="10.5703125" customWidth="1"/>
    <col min="13" max="13" width="11.140625" customWidth="1"/>
    <col min="14" max="14" width="9.85546875" customWidth="1"/>
    <col min="15" max="15" width="12" customWidth="1"/>
    <col min="16" max="16" width="11.85546875" bestFit="1" customWidth="1"/>
    <col min="17" max="17" width="12.85546875" bestFit="1" customWidth="1"/>
    <col min="18" max="18" width="14.5703125" customWidth="1"/>
    <col min="19" max="19" width="10.5703125" customWidth="1"/>
    <col min="20" max="20" width="11" style="164" customWidth="1"/>
    <col min="21" max="21" width="13.5703125" customWidth="1"/>
  </cols>
  <sheetData>
    <row r="1" spans="1:23" ht="18.75" x14ac:dyDescent="0.3">
      <c r="A1" s="114" t="s">
        <v>1204</v>
      </c>
      <c r="B1" s="26"/>
      <c r="C1" s="7"/>
      <c r="D1" s="78"/>
      <c r="G1" s="78"/>
      <c r="J1" s="78"/>
    </row>
    <row r="2" spans="1:23" ht="15.75" thickBot="1" x14ac:dyDescent="0.3">
      <c r="A2" s="184" t="s">
        <v>852</v>
      </c>
      <c r="B2" s="184"/>
      <c r="C2" s="184"/>
      <c r="D2" s="184"/>
      <c r="G2" s="78"/>
      <c r="J2" s="78"/>
    </row>
    <row r="3" spans="1:23" x14ac:dyDescent="0.25">
      <c r="A3" s="184" t="s">
        <v>178</v>
      </c>
      <c r="B3" s="184"/>
      <c r="C3" s="78">
        <f>K7</f>
        <v>11</v>
      </c>
      <c r="D3" s="78"/>
      <c r="G3" s="78"/>
      <c r="J3" s="40" t="s">
        <v>838</v>
      </c>
      <c r="K3" s="41">
        <f>COUNTIFS(L:L,J3)</f>
        <v>9</v>
      </c>
    </row>
    <row r="4" spans="1:23" x14ac:dyDescent="0.25">
      <c r="A4" s="113" t="s">
        <v>311</v>
      </c>
      <c r="B4" s="22"/>
      <c r="C4" s="20"/>
      <c r="D4" s="78"/>
      <c r="G4" s="78"/>
      <c r="J4" s="42" t="s">
        <v>856</v>
      </c>
      <c r="K4" s="43">
        <f>COUNTIFS(L:L,J4)</f>
        <v>2</v>
      </c>
    </row>
    <row r="5" spans="1:23" x14ac:dyDescent="0.25">
      <c r="A5" s="113"/>
      <c r="B5" s="22"/>
      <c r="C5" s="12"/>
      <c r="D5" s="12"/>
      <c r="G5" s="78"/>
      <c r="J5" s="42" t="s">
        <v>860</v>
      </c>
      <c r="K5" s="43">
        <f>COUNTIFS(L:L,J5)</f>
        <v>0</v>
      </c>
    </row>
    <row r="6" spans="1:23" ht="15.75" thickBot="1" x14ac:dyDescent="0.3">
      <c r="A6" s="25" t="s">
        <v>179</v>
      </c>
      <c r="B6" s="190"/>
      <c r="C6" s="190"/>
      <c r="D6" s="78"/>
      <c r="G6" s="78"/>
      <c r="J6" s="44" t="s">
        <v>864</v>
      </c>
      <c r="K6" s="45">
        <f>COUNTIFS(L:L,J6)</f>
        <v>0</v>
      </c>
    </row>
    <row r="7" spans="1:23" x14ac:dyDescent="0.25">
      <c r="A7" s="78"/>
      <c r="C7" s="78"/>
      <c r="D7" s="78"/>
      <c r="G7" s="78"/>
      <c r="J7" s="78"/>
      <c r="K7" s="78">
        <f>SUM(K3:K6)</f>
        <v>11</v>
      </c>
    </row>
    <row r="8" spans="1:23" x14ac:dyDescent="0.25">
      <c r="A8" s="78"/>
      <c r="B8" s="78"/>
      <c r="C8" s="78"/>
      <c r="D8" s="78"/>
      <c r="G8" s="7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x14ac:dyDescent="0.25">
      <c r="A10" t="s">
        <v>1690</v>
      </c>
      <c r="C10" s="78">
        <v>9</v>
      </c>
      <c r="D10" s="78">
        <v>7</v>
      </c>
      <c r="E10" s="78"/>
      <c r="F10" t="s">
        <v>1205</v>
      </c>
      <c r="H10" s="78" t="s">
        <v>21</v>
      </c>
      <c r="I10" s="78" t="s">
        <v>22</v>
      </c>
      <c r="L10" s="78" t="s">
        <v>838</v>
      </c>
      <c r="M10" s="148">
        <f>1015.64/52</f>
        <v>19.53153846153846</v>
      </c>
      <c r="N10" s="148">
        <v>0</v>
      </c>
      <c r="O10" s="148">
        <f>(12*3)/52</f>
        <v>0.69230769230769229</v>
      </c>
      <c r="P10" s="147">
        <v>0</v>
      </c>
      <c r="Q10" s="147">
        <v>84528</v>
      </c>
      <c r="R10" s="166">
        <v>42186</v>
      </c>
      <c r="T10" s="78" t="s">
        <v>1754</v>
      </c>
    </row>
    <row r="11" spans="1:23" x14ac:dyDescent="0.25">
      <c r="A11" t="s">
        <v>1690</v>
      </c>
      <c r="C11" s="78">
        <v>9</v>
      </c>
      <c r="D11" s="78">
        <v>701</v>
      </c>
      <c r="E11" s="78"/>
      <c r="F11" t="s">
        <v>1206</v>
      </c>
      <c r="H11" s="78" t="s">
        <v>21</v>
      </c>
      <c r="I11" s="78" t="s">
        <v>22</v>
      </c>
      <c r="L11" s="78" t="s">
        <v>838</v>
      </c>
      <c r="M11" s="148">
        <f>763/52</f>
        <v>14.673076923076923</v>
      </c>
      <c r="N11" s="148">
        <f>602/52</f>
        <v>11.576923076923077</v>
      </c>
      <c r="O11" s="148">
        <f>(26*3)/52</f>
        <v>1.5</v>
      </c>
      <c r="P11" s="147">
        <v>0</v>
      </c>
      <c r="Q11" s="147">
        <v>68000</v>
      </c>
      <c r="R11" s="166">
        <v>42005</v>
      </c>
      <c r="T11" s="78" t="s">
        <v>1754</v>
      </c>
    </row>
    <row r="12" spans="1:23" x14ac:dyDescent="0.25">
      <c r="A12" t="s">
        <v>1690</v>
      </c>
      <c r="C12" s="78">
        <v>11</v>
      </c>
      <c r="D12" s="78">
        <v>484</v>
      </c>
      <c r="E12" s="78"/>
      <c r="G12" t="s">
        <v>1207</v>
      </c>
      <c r="H12" s="78">
        <v>2900</v>
      </c>
      <c r="I12" s="78" t="s">
        <v>22</v>
      </c>
      <c r="L12" s="78" t="s">
        <v>838</v>
      </c>
      <c r="M12" s="148">
        <f>(542.25+90.5)/52</f>
        <v>12.16826923076923</v>
      </c>
      <c r="N12" s="148">
        <f>95/52</f>
        <v>1.8269230769230769</v>
      </c>
      <c r="O12" s="148">
        <v>0</v>
      </c>
      <c r="P12" s="147">
        <f>43200+30000</f>
        <v>73200</v>
      </c>
      <c r="Q12" s="147">
        <v>62100</v>
      </c>
      <c r="R12" s="166">
        <v>42309</v>
      </c>
      <c r="T12" s="78" t="s">
        <v>1754</v>
      </c>
    </row>
    <row r="13" spans="1:23" x14ac:dyDescent="0.25">
      <c r="A13" t="s">
        <v>1690</v>
      </c>
      <c r="C13" s="78">
        <v>11</v>
      </c>
      <c r="D13" s="78">
        <v>486</v>
      </c>
      <c r="E13" s="78"/>
      <c r="G13" t="s">
        <v>1165</v>
      </c>
      <c r="H13" s="78">
        <v>2900</v>
      </c>
      <c r="I13" s="78" t="s">
        <v>22</v>
      </c>
      <c r="L13" s="78" t="s">
        <v>838</v>
      </c>
      <c r="M13" s="148">
        <f>(1378.84+513)/52</f>
        <v>36.381538461538462</v>
      </c>
      <c r="N13" s="148">
        <f>71/52</f>
        <v>1.3653846153846154</v>
      </c>
      <c r="O13" s="148">
        <f>26/52</f>
        <v>0.5</v>
      </c>
      <c r="P13" s="147">
        <f>45000+32400</f>
        <v>77400</v>
      </c>
      <c r="Q13" s="147">
        <v>171300</v>
      </c>
      <c r="R13" s="166">
        <v>42339</v>
      </c>
      <c r="T13" s="78" t="s">
        <v>1754</v>
      </c>
    </row>
    <row r="14" spans="1:23" x14ac:dyDescent="0.25">
      <c r="A14" t="s">
        <v>1690</v>
      </c>
      <c r="C14" s="78">
        <v>11</v>
      </c>
      <c r="D14" s="78">
        <v>487</v>
      </c>
      <c r="E14" s="78"/>
      <c r="F14" t="s">
        <v>1208</v>
      </c>
      <c r="G14" t="s">
        <v>1209</v>
      </c>
      <c r="H14" s="78">
        <v>2900</v>
      </c>
      <c r="I14" s="78" t="s">
        <v>22</v>
      </c>
      <c r="L14" s="78" t="s">
        <v>838</v>
      </c>
      <c r="M14" s="148">
        <f>(884+110.75)/52</f>
        <v>19.129807692307693</v>
      </c>
      <c r="N14" s="148">
        <f>142/52</f>
        <v>2.7307692307692308</v>
      </c>
      <c r="O14" s="148">
        <v>0</v>
      </c>
      <c r="P14" s="147">
        <f>43200+30000</f>
        <v>73200</v>
      </c>
      <c r="Q14" s="147">
        <f>201900</f>
        <v>201900</v>
      </c>
      <c r="R14" s="166">
        <v>42339</v>
      </c>
      <c r="T14" s="78" t="s">
        <v>1754</v>
      </c>
    </row>
    <row r="15" spans="1:23" x14ac:dyDescent="0.25">
      <c r="A15" t="s">
        <v>1690</v>
      </c>
      <c r="C15" s="78">
        <v>11</v>
      </c>
      <c r="D15" s="78">
        <v>489</v>
      </c>
      <c r="E15" s="78"/>
      <c r="F15" t="s">
        <v>1210</v>
      </c>
      <c r="G15" t="s">
        <v>1210</v>
      </c>
      <c r="H15" s="78">
        <v>2900</v>
      </c>
      <c r="I15" s="78" t="s">
        <v>22</v>
      </c>
      <c r="L15" s="78" t="s">
        <v>856</v>
      </c>
      <c r="M15" s="148">
        <f>(123+21)/52</f>
        <v>2.7692307692307692</v>
      </c>
      <c r="N15" s="148">
        <v>0</v>
      </c>
      <c r="O15" s="148">
        <f>(6*2)/52</f>
        <v>0.23076923076923078</v>
      </c>
      <c r="P15" s="147">
        <v>0</v>
      </c>
      <c r="Q15" s="147">
        <v>32100</v>
      </c>
      <c r="R15" s="166">
        <v>42064</v>
      </c>
      <c r="T15" s="78" t="s">
        <v>1754</v>
      </c>
    </row>
    <row r="16" spans="1:23" x14ac:dyDescent="0.25">
      <c r="A16" t="s">
        <v>1690</v>
      </c>
      <c r="C16" s="78">
        <v>87</v>
      </c>
      <c r="D16" s="78">
        <v>501</v>
      </c>
      <c r="E16" s="78"/>
      <c r="G16" t="s">
        <v>1211</v>
      </c>
      <c r="H16" s="78">
        <v>2900</v>
      </c>
      <c r="I16" s="78" t="s">
        <v>22</v>
      </c>
      <c r="L16" s="78" t="s">
        <v>856</v>
      </c>
      <c r="M16" s="148">
        <f>52/52</f>
        <v>1</v>
      </c>
      <c r="N16" s="148">
        <v>0</v>
      </c>
      <c r="O16" s="148">
        <v>0</v>
      </c>
      <c r="P16" s="147">
        <v>0</v>
      </c>
      <c r="Q16" s="147">
        <v>1316</v>
      </c>
      <c r="R16" s="166">
        <v>42125</v>
      </c>
      <c r="T16" s="78" t="s">
        <v>1754</v>
      </c>
    </row>
    <row r="17" spans="1:21" x14ac:dyDescent="0.25">
      <c r="A17" t="s">
        <v>1690</v>
      </c>
      <c r="C17" s="78">
        <v>87</v>
      </c>
      <c r="D17" s="78">
        <v>511</v>
      </c>
      <c r="E17" s="78"/>
      <c r="F17" s="140"/>
      <c r="G17" t="s">
        <v>1212</v>
      </c>
      <c r="H17" s="78">
        <v>2900</v>
      </c>
      <c r="I17" s="78" t="s">
        <v>22</v>
      </c>
      <c r="L17" s="78" t="s">
        <v>838</v>
      </c>
      <c r="M17" s="148"/>
      <c r="N17" s="148"/>
      <c r="O17" s="148"/>
      <c r="P17" s="147"/>
      <c r="Q17" s="147"/>
      <c r="R17" s="166"/>
      <c r="T17" s="78" t="s">
        <v>1755</v>
      </c>
      <c r="U17" t="s">
        <v>1734</v>
      </c>
    </row>
    <row r="18" spans="1:21" x14ac:dyDescent="0.25">
      <c r="A18" t="s">
        <v>1690</v>
      </c>
      <c r="C18" s="78">
        <v>87</v>
      </c>
      <c r="D18" s="78">
        <v>512</v>
      </c>
      <c r="E18" s="78"/>
      <c r="F18" t="s">
        <v>1214</v>
      </c>
      <c r="G18" t="s">
        <v>1213</v>
      </c>
      <c r="H18" s="78">
        <v>2900</v>
      </c>
      <c r="I18" s="78" t="s">
        <v>22</v>
      </c>
      <c r="L18" s="78" t="s">
        <v>838</v>
      </c>
      <c r="M18" s="148">
        <f>7.98076923076923+5.76923076923077+0.0576923076923077</f>
        <v>13.807692307692308</v>
      </c>
      <c r="N18" s="148">
        <v>4</v>
      </c>
      <c r="O18" s="148">
        <f>(12*1.5)/52</f>
        <v>0.34615384615384615</v>
      </c>
      <c r="P18" s="147">
        <f>45000+32400</f>
        <v>77400</v>
      </c>
      <c r="Q18" s="147">
        <v>32900</v>
      </c>
      <c r="R18" s="166">
        <v>43525</v>
      </c>
      <c r="T18" s="78" t="s">
        <v>1754</v>
      </c>
    </row>
    <row r="19" spans="1:21" x14ac:dyDescent="0.25">
      <c r="A19" t="s">
        <v>1690</v>
      </c>
      <c r="C19" s="78">
        <v>800</v>
      </c>
      <c r="D19" s="78">
        <v>13</v>
      </c>
      <c r="E19" s="78"/>
      <c r="F19" t="s">
        <v>1215</v>
      </c>
      <c r="H19" s="78">
        <v>2900</v>
      </c>
      <c r="I19" s="78" t="s">
        <v>22</v>
      </c>
      <c r="L19" s="78" t="s">
        <v>838</v>
      </c>
      <c r="M19" s="148">
        <f>183/52</f>
        <v>3.5192307692307692</v>
      </c>
      <c r="N19" s="148">
        <v>0</v>
      </c>
      <c r="O19" s="148">
        <v>0</v>
      </c>
      <c r="P19" s="147">
        <v>0</v>
      </c>
      <c r="Q19" s="147">
        <v>0</v>
      </c>
      <c r="R19" s="166">
        <v>35065</v>
      </c>
      <c r="T19" s="78" t="s">
        <v>1755</v>
      </c>
    </row>
    <row r="20" spans="1:21" x14ac:dyDescent="0.25">
      <c r="A20" t="s">
        <v>1690</v>
      </c>
      <c r="C20" s="78">
        <v>800</v>
      </c>
      <c r="D20" s="78">
        <v>122</v>
      </c>
      <c r="E20" s="78"/>
      <c r="F20" t="s">
        <v>1216</v>
      </c>
      <c r="G20" t="s">
        <v>1217</v>
      </c>
      <c r="H20" s="78">
        <v>2900</v>
      </c>
      <c r="I20" s="78" t="s">
        <v>22</v>
      </c>
      <c r="L20" s="78" t="s">
        <v>838</v>
      </c>
      <c r="M20" s="148">
        <f>0.230769230769231+11.0384615384615</f>
        <v>11.269230769230731</v>
      </c>
      <c r="N20" s="148">
        <v>0</v>
      </c>
      <c r="O20" s="148">
        <v>0</v>
      </c>
      <c r="P20" s="147">
        <f>45000</f>
        <v>45000</v>
      </c>
      <c r="Q20" s="147">
        <v>13300</v>
      </c>
      <c r="R20" s="166">
        <v>43952</v>
      </c>
      <c r="T20" s="78" t="s">
        <v>1754</v>
      </c>
    </row>
    <row r="21" spans="1:21" x14ac:dyDescent="0.25">
      <c r="C21" s="78"/>
      <c r="D21" s="78"/>
      <c r="J21" s="78"/>
    </row>
    <row r="22" spans="1:21" x14ac:dyDescent="0.25">
      <c r="C22" s="78"/>
      <c r="D22" s="78"/>
      <c r="J22" s="78"/>
    </row>
    <row r="23" spans="1:21" x14ac:dyDescent="0.25">
      <c r="C23" s="78"/>
      <c r="D23" s="78"/>
      <c r="J23" s="78"/>
    </row>
    <row r="24" spans="1:21" x14ac:dyDescent="0.25">
      <c r="C24" s="78"/>
      <c r="D24" s="78"/>
      <c r="J24" s="78"/>
    </row>
    <row r="25" spans="1:21" x14ac:dyDescent="0.25">
      <c r="C25" s="78"/>
      <c r="D25" s="78"/>
      <c r="J25" s="78"/>
    </row>
    <row r="26" spans="1:21" x14ac:dyDescent="0.25">
      <c r="C26" s="78"/>
      <c r="D26" s="78"/>
      <c r="J26" s="78"/>
    </row>
    <row r="27" spans="1:21" x14ac:dyDescent="0.25">
      <c r="C27" s="78"/>
      <c r="D27" s="78"/>
      <c r="J27" s="78"/>
    </row>
    <row r="28" spans="1:21" x14ac:dyDescent="0.25">
      <c r="C28" s="78"/>
      <c r="D28" s="78"/>
      <c r="J28" s="78"/>
    </row>
    <row r="29" spans="1:21" x14ac:dyDescent="0.25">
      <c r="C29" s="78"/>
      <c r="D29" s="78"/>
      <c r="J29" s="78"/>
    </row>
    <row r="30" spans="1:21" x14ac:dyDescent="0.25">
      <c r="C30" s="78"/>
      <c r="D30" s="78"/>
      <c r="J30" s="78"/>
    </row>
    <row r="31" spans="1:21" x14ac:dyDescent="0.25">
      <c r="C31" s="78"/>
      <c r="D31" s="78"/>
      <c r="J31" s="78"/>
    </row>
    <row r="32" spans="1:21" x14ac:dyDescent="0.25">
      <c r="C32" s="78"/>
      <c r="D32" s="78"/>
      <c r="J32" s="78"/>
    </row>
    <row r="33" spans="3:10" x14ac:dyDescent="0.25">
      <c r="C33" s="78"/>
      <c r="D33" s="78"/>
      <c r="J33" s="78"/>
    </row>
    <row r="34" spans="3:10" x14ac:dyDescent="0.25">
      <c r="C34" s="78"/>
      <c r="D34" s="78"/>
      <c r="J34" s="78"/>
    </row>
    <row r="35" spans="3:10" x14ac:dyDescent="0.25">
      <c r="C35" s="78"/>
      <c r="D35" s="78"/>
    </row>
  </sheetData>
  <mergeCells count="5">
    <mergeCell ref="P8:Q8"/>
    <mergeCell ref="A2:D2"/>
    <mergeCell ref="A3:B3"/>
    <mergeCell ref="B6:C6"/>
    <mergeCell ref="M8:O8"/>
  </mergeCells>
  <pageMargins left="0.7" right="0.7" top="0.75" bottom="0.75" header="0.3" footer="0.3"/>
  <pageSetup paperSize="8" scale="69" fitToHeight="0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  <pageSetUpPr fitToPage="1"/>
  </sheetPr>
  <dimension ref="A1:W47"/>
  <sheetViews>
    <sheetView zoomScale="80" zoomScaleNormal="80" workbookViewId="0">
      <selection activeCell="O32" sqref="O32"/>
    </sheetView>
  </sheetViews>
  <sheetFormatPr defaultRowHeight="15" x14ac:dyDescent="0.25"/>
  <cols>
    <col min="2" max="2" width="18.85546875" bestFit="1" customWidth="1"/>
    <col min="3" max="3" width="10.85546875" style="2" customWidth="1"/>
    <col min="4" max="4" width="15.140625" style="2" customWidth="1"/>
    <col min="5" max="5" width="10.42578125" customWidth="1"/>
    <col min="6" max="7" width="31.85546875" bestFit="1" customWidth="1"/>
    <col min="8" max="8" width="9.85546875" customWidth="1"/>
    <col min="9" max="9" width="21.42578125" bestFit="1" customWidth="1"/>
    <col min="10" max="10" width="13.28515625" customWidth="1"/>
    <col min="11" max="11" width="13.7109375" customWidth="1"/>
    <col min="12" max="13" width="11.28515625" customWidth="1"/>
    <col min="14" max="14" width="10.5703125" customWidth="1"/>
    <col min="15" max="15" width="12.85546875" customWidth="1"/>
    <col min="16" max="16" width="13.5703125" bestFit="1" customWidth="1"/>
    <col min="17" max="17" width="12.85546875" bestFit="1" customWidth="1"/>
    <col min="18" max="18" width="15.85546875" customWidth="1"/>
    <col min="19" max="19" width="11.42578125" customWidth="1"/>
    <col min="20" max="20" width="12" style="164" customWidth="1"/>
    <col min="21" max="21" width="14.28515625" customWidth="1"/>
  </cols>
  <sheetData>
    <row r="1" spans="1:23" ht="18.75" x14ac:dyDescent="0.3">
      <c r="A1" s="32" t="s">
        <v>848</v>
      </c>
      <c r="B1" s="26"/>
      <c r="C1" s="7"/>
      <c r="G1" s="2"/>
      <c r="J1" s="2"/>
    </row>
    <row r="2" spans="1:23" ht="15.75" thickBot="1" x14ac:dyDescent="0.3">
      <c r="A2" s="184" t="s">
        <v>819</v>
      </c>
      <c r="B2" s="184"/>
      <c r="C2" s="184"/>
      <c r="D2" s="184"/>
      <c r="G2" s="2"/>
      <c r="J2" s="2"/>
    </row>
    <row r="3" spans="1:23" x14ac:dyDescent="0.25">
      <c r="A3" s="184" t="s">
        <v>178</v>
      </c>
      <c r="B3" s="184"/>
      <c r="C3" s="2">
        <f>K7</f>
        <v>9</v>
      </c>
      <c r="G3" s="2"/>
      <c r="J3" s="40" t="s">
        <v>838</v>
      </c>
      <c r="K3" s="41">
        <f>COUNTIFS(L:L,J3)</f>
        <v>7</v>
      </c>
    </row>
    <row r="4" spans="1:23" x14ac:dyDescent="0.25">
      <c r="A4" s="33" t="s">
        <v>311</v>
      </c>
      <c r="B4" s="22"/>
      <c r="C4" s="20"/>
      <c r="G4" s="2"/>
      <c r="J4" s="42" t="s">
        <v>856</v>
      </c>
      <c r="K4" s="43">
        <f>COUNTIFS(L:L,J4)</f>
        <v>0</v>
      </c>
    </row>
    <row r="5" spans="1:23" x14ac:dyDescent="0.25">
      <c r="A5" s="33"/>
      <c r="B5" s="22"/>
      <c r="C5" s="12"/>
      <c r="D5" s="12"/>
      <c r="G5" s="2"/>
      <c r="J5" s="42" t="s">
        <v>860</v>
      </c>
      <c r="K5" s="43">
        <f>COUNTIFS(L:L,J5)</f>
        <v>0</v>
      </c>
    </row>
    <row r="6" spans="1:23" ht="15.75" thickBot="1" x14ac:dyDescent="0.3">
      <c r="A6" s="25" t="s">
        <v>179</v>
      </c>
      <c r="B6" s="190"/>
      <c r="C6" s="190"/>
      <c r="G6" s="2"/>
      <c r="J6" s="44" t="s">
        <v>864</v>
      </c>
      <c r="K6" s="45">
        <f>COUNTIFS(L:L,J6)</f>
        <v>2</v>
      </c>
    </row>
    <row r="7" spans="1:23" x14ac:dyDescent="0.25">
      <c r="A7" s="2"/>
      <c r="G7" s="2"/>
      <c r="J7" s="78"/>
      <c r="K7" s="78">
        <f>SUM(K3:K6)</f>
        <v>9</v>
      </c>
    </row>
    <row r="8" spans="1:23" x14ac:dyDescent="0.25">
      <c r="A8" s="78"/>
      <c r="B8" s="78"/>
      <c r="C8" s="78"/>
      <c r="D8" s="78"/>
      <c r="G8" s="7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x14ac:dyDescent="0.25">
      <c r="A10" t="s">
        <v>1691</v>
      </c>
      <c r="B10" t="s">
        <v>176</v>
      </c>
      <c r="C10" s="2">
        <v>8</v>
      </c>
      <c r="D10" s="69">
        <v>221</v>
      </c>
      <c r="E10" s="2">
        <v>0</v>
      </c>
      <c r="F10" s="68" t="s">
        <v>824</v>
      </c>
      <c r="G10" t="s">
        <v>823</v>
      </c>
      <c r="H10" s="2" t="s">
        <v>86</v>
      </c>
      <c r="I10" t="s">
        <v>87</v>
      </c>
      <c r="L10" t="s">
        <v>864</v>
      </c>
      <c r="M10" s="148">
        <v>6.75</v>
      </c>
      <c r="N10" s="148">
        <v>0</v>
      </c>
      <c r="O10" s="148">
        <v>0</v>
      </c>
      <c r="P10" s="147">
        <v>0</v>
      </c>
      <c r="Q10" s="147">
        <v>30100</v>
      </c>
      <c r="R10" s="166">
        <v>43497</v>
      </c>
      <c r="T10" s="78" t="s">
        <v>1754</v>
      </c>
      <c r="V10">
        <v>1</v>
      </c>
    </row>
    <row r="11" spans="1:23" ht="15.75" customHeight="1" x14ac:dyDescent="0.25">
      <c r="A11" t="s">
        <v>1691</v>
      </c>
      <c r="B11" t="s">
        <v>31</v>
      </c>
      <c r="C11" s="2">
        <v>11</v>
      </c>
      <c r="D11" s="69">
        <v>459</v>
      </c>
      <c r="E11" s="2">
        <v>0</v>
      </c>
      <c r="F11" s="68" t="s">
        <v>825</v>
      </c>
      <c r="G11" t="s">
        <v>336</v>
      </c>
      <c r="H11" s="2" t="s">
        <v>9</v>
      </c>
      <c r="I11" t="s">
        <v>10</v>
      </c>
      <c r="L11" t="s">
        <v>838</v>
      </c>
      <c r="M11" s="148">
        <f>9.69230769230769+8.04807692307692+44.3846153846154</f>
        <v>62.125000000000014</v>
      </c>
      <c r="N11" s="148">
        <v>3.9615384615384599</v>
      </c>
      <c r="O11" s="148">
        <f>(2*4)/52</f>
        <v>0.15384615384615385</v>
      </c>
      <c r="P11" s="147">
        <f>60000+43200</f>
        <v>103200</v>
      </c>
      <c r="Q11" s="147">
        <v>67900</v>
      </c>
      <c r="R11" s="166">
        <v>43678</v>
      </c>
      <c r="T11" s="78" t="s">
        <v>1754</v>
      </c>
      <c r="V11">
        <v>1</v>
      </c>
    </row>
    <row r="12" spans="1:23" x14ac:dyDescent="0.25">
      <c r="A12" t="s">
        <v>1691</v>
      </c>
      <c r="B12" t="s">
        <v>31</v>
      </c>
      <c r="C12" s="2">
        <v>11</v>
      </c>
      <c r="D12" s="69">
        <v>461</v>
      </c>
      <c r="E12" s="2">
        <v>0</v>
      </c>
      <c r="F12" s="68" t="s">
        <v>826</v>
      </c>
      <c r="G12" t="s">
        <v>827</v>
      </c>
      <c r="H12" s="2" t="s">
        <v>188</v>
      </c>
      <c r="I12" t="s">
        <v>189</v>
      </c>
      <c r="L12" t="s">
        <v>838</v>
      </c>
      <c r="M12" s="148">
        <f>(197.5+19)/52</f>
        <v>4.1634615384615383</v>
      </c>
      <c r="N12" s="148">
        <f>70.5/52</f>
        <v>1.3557692307692308</v>
      </c>
      <c r="O12" s="148">
        <f>(6*2.5)/52</f>
        <v>0.28846153846153844</v>
      </c>
      <c r="P12" s="147">
        <f>21600+30000</f>
        <v>51600</v>
      </c>
      <c r="Q12" s="147">
        <v>75900</v>
      </c>
      <c r="R12" s="166">
        <v>42125</v>
      </c>
      <c r="T12" s="78" t="s">
        <v>1754</v>
      </c>
      <c r="V12">
        <v>1</v>
      </c>
    </row>
    <row r="13" spans="1:23" x14ac:dyDescent="0.25">
      <c r="A13" t="s">
        <v>1691</v>
      </c>
      <c r="B13" t="s">
        <v>822</v>
      </c>
      <c r="C13" s="2">
        <v>13</v>
      </c>
      <c r="D13" s="69">
        <v>530</v>
      </c>
      <c r="E13" s="2">
        <v>0</v>
      </c>
      <c r="F13" s="68" t="s">
        <v>828</v>
      </c>
      <c r="G13" t="s">
        <v>828</v>
      </c>
      <c r="H13" s="2" t="s">
        <v>81</v>
      </c>
      <c r="I13" t="s">
        <v>82</v>
      </c>
      <c r="L13" t="s">
        <v>838</v>
      </c>
      <c r="M13" s="148">
        <f>47/52</f>
        <v>0.90384615384615385</v>
      </c>
      <c r="N13" s="148">
        <v>0</v>
      </c>
      <c r="O13" s="148">
        <v>0</v>
      </c>
      <c r="P13" s="147">
        <f>21600+30000</f>
        <v>51600</v>
      </c>
      <c r="Q13" s="147">
        <v>10500</v>
      </c>
      <c r="R13" s="166">
        <v>42370</v>
      </c>
      <c r="T13" s="78" t="s">
        <v>1754</v>
      </c>
      <c r="V13">
        <v>1</v>
      </c>
    </row>
    <row r="14" spans="1:23" x14ac:dyDescent="0.25">
      <c r="A14" t="s">
        <v>1691</v>
      </c>
      <c r="B14" t="s">
        <v>625</v>
      </c>
      <c r="C14" s="2">
        <v>87</v>
      </c>
      <c r="D14" s="69">
        <v>520</v>
      </c>
      <c r="E14" s="2">
        <v>0</v>
      </c>
      <c r="F14" s="68" t="s">
        <v>829</v>
      </c>
      <c r="G14" t="s">
        <v>829</v>
      </c>
      <c r="H14" s="2" t="s">
        <v>266</v>
      </c>
      <c r="I14" t="s">
        <v>267</v>
      </c>
      <c r="L14" t="s">
        <v>838</v>
      </c>
      <c r="M14" s="148">
        <f>6.23076923076923+9.25+0.5</f>
        <v>15.98076923076923</v>
      </c>
      <c r="N14" s="148">
        <v>0.75</v>
      </c>
      <c r="O14" s="148">
        <f>(2*8)/52</f>
        <v>0.30769230769230771</v>
      </c>
      <c r="P14" s="147">
        <f>21600+30000</f>
        <v>51600</v>
      </c>
      <c r="Q14" s="147">
        <v>18550</v>
      </c>
      <c r="R14" s="166">
        <v>43983</v>
      </c>
      <c r="T14" s="78" t="s">
        <v>1754</v>
      </c>
      <c r="V14">
        <v>1</v>
      </c>
    </row>
    <row r="15" spans="1:23" x14ac:dyDescent="0.25">
      <c r="A15" t="s">
        <v>1691</v>
      </c>
      <c r="B15" t="s">
        <v>625</v>
      </c>
      <c r="C15" s="2">
        <v>87</v>
      </c>
      <c r="D15" s="69">
        <v>521</v>
      </c>
      <c r="E15" s="2">
        <v>0</v>
      </c>
      <c r="F15" s="68" t="s">
        <v>830</v>
      </c>
      <c r="G15" t="s">
        <v>831</v>
      </c>
      <c r="H15" s="2" t="s">
        <v>266</v>
      </c>
      <c r="I15" t="s">
        <v>267</v>
      </c>
      <c r="L15" t="s">
        <v>838</v>
      </c>
      <c r="M15" s="148">
        <f>3.55769230769231+0.557692307692308</f>
        <v>4.1153846153846185</v>
      </c>
      <c r="N15" s="148">
        <v>3.5769230769230802</v>
      </c>
      <c r="O15" s="148">
        <f>(2*5)/52</f>
        <v>0.19230769230769232</v>
      </c>
      <c r="P15" s="147">
        <v>0</v>
      </c>
      <c r="Q15" s="147">
        <v>17500</v>
      </c>
      <c r="R15" s="166">
        <v>43983</v>
      </c>
      <c r="T15" s="78" t="s">
        <v>1754</v>
      </c>
      <c r="V15">
        <v>1</v>
      </c>
    </row>
    <row r="16" spans="1:23" x14ac:dyDescent="0.25">
      <c r="A16" t="s">
        <v>1691</v>
      </c>
      <c r="B16" t="s">
        <v>625</v>
      </c>
      <c r="C16" s="2">
        <v>87</v>
      </c>
      <c r="D16" s="69">
        <v>560</v>
      </c>
      <c r="E16" s="2">
        <v>0</v>
      </c>
      <c r="F16" s="175" t="s">
        <v>1073</v>
      </c>
      <c r="G16" t="s">
        <v>1074</v>
      </c>
      <c r="H16" s="2" t="s">
        <v>733</v>
      </c>
      <c r="I16" t="s">
        <v>734</v>
      </c>
      <c r="L16" t="s">
        <v>838</v>
      </c>
      <c r="M16" s="148"/>
      <c r="N16" s="148"/>
      <c r="O16" s="148"/>
      <c r="P16" s="147"/>
      <c r="Q16" s="147"/>
      <c r="R16" s="166"/>
      <c r="T16" s="78" t="s">
        <v>1755</v>
      </c>
      <c r="U16" t="s">
        <v>1712</v>
      </c>
      <c r="V16">
        <v>1</v>
      </c>
    </row>
    <row r="17" spans="1:22" x14ac:dyDescent="0.25">
      <c r="A17" t="s">
        <v>1691</v>
      </c>
      <c r="B17" t="s">
        <v>693</v>
      </c>
      <c r="C17" s="2">
        <v>160</v>
      </c>
      <c r="D17" s="69">
        <v>123</v>
      </c>
      <c r="E17" s="2">
        <v>0</v>
      </c>
      <c r="F17" s="68" t="s">
        <v>832</v>
      </c>
      <c r="G17" t="s">
        <v>833</v>
      </c>
      <c r="H17" s="2" t="s">
        <v>266</v>
      </c>
      <c r="I17" t="s">
        <v>267</v>
      </c>
      <c r="L17" t="s">
        <v>838</v>
      </c>
      <c r="M17" s="148">
        <f>0.711538461538462+0.25+1.25</f>
        <v>2.2115384615384621</v>
      </c>
      <c r="N17" s="148">
        <v>0</v>
      </c>
      <c r="O17" s="148">
        <v>0</v>
      </c>
      <c r="P17" s="147">
        <v>0</v>
      </c>
      <c r="Q17" s="147">
        <v>15050</v>
      </c>
      <c r="R17" s="166">
        <v>43586</v>
      </c>
      <c r="T17" s="78" t="s">
        <v>1754</v>
      </c>
      <c r="V17">
        <v>1</v>
      </c>
    </row>
    <row r="18" spans="1:22" ht="15.75" thickBot="1" x14ac:dyDescent="0.3">
      <c r="A18" t="s">
        <v>1691</v>
      </c>
      <c r="B18" t="s">
        <v>709</v>
      </c>
      <c r="C18" s="2">
        <v>800</v>
      </c>
      <c r="D18" s="69">
        <v>50</v>
      </c>
      <c r="E18" s="2">
        <v>0</v>
      </c>
      <c r="F18" s="68" t="s">
        <v>834</v>
      </c>
      <c r="G18" t="s">
        <v>835</v>
      </c>
      <c r="H18" s="2" t="s">
        <v>820</v>
      </c>
      <c r="I18" t="s">
        <v>821</v>
      </c>
      <c r="L18" t="s">
        <v>864</v>
      </c>
      <c r="M18" s="148">
        <f>3.89076923076923+1.55769230769231</f>
        <v>5.4484615384615402</v>
      </c>
      <c r="N18" s="148">
        <v>0</v>
      </c>
      <c r="O18" s="148">
        <v>0</v>
      </c>
      <c r="P18" s="147">
        <v>0</v>
      </c>
      <c r="Q18" s="147">
        <v>4200</v>
      </c>
      <c r="R18" s="166">
        <v>43831</v>
      </c>
      <c r="T18" s="78" t="s">
        <v>1754</v>
      </c>
      <c r="V18">
        <v>1</v>
      </c>
    </row>
    <row r="19" spans="1:22" ht="21.75" thickBot="1" x14ac:dyDescent="0.4">
      <c r="K19" s="39"/>
    </row>
    <row r="47" spans="9:9" x14ac:dyDescent="0.25">
      <c r="I47" t="s">
        <v>900</v>
      </c>
    </row>
  </sheetData>
  <mergeCells count="5">
    <mergeCell ref="P8:Q8"/>
    <mergeCell ref="A2:D2"/>
    <mergeCell ref="A3:B3"/>
    <mergeCell ref="B6:C6"/>
    <mergeCell ref="M8:O8"/>
  </mergeCells>
  <pageMargins left="0.7" right="0.7" top="0.75" bottom="0.75" header="0.3" footer="0.3"/>
  <pageSetup paperSize="8" scale="58" fitToHeight="0" orientation="landscape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12"/>
  <sheetViews>
    <sheetView tabSelected="1" zoomScaleNormal="100" workbookViewId="0">
      <selection activeCell="U10" sqref="U10"/>
    </sheetView>
  </sheetViews>
  <sheetFormatPr defaultRowHeight="15" x14ac:dyDescent="0.25"/>
  <cols>
    <col min="2" max="2" width="18.5703125" bestFit="1" customWidth="1"/>
    <col min="3" max="3" width="7.7109375" bestFit="1" customWidth="1"/>
    <col min="4" max="4" width="12" bestFit="1" customWidth="1"/>
    <col min="5" max="5" width="7.5703125" bestFit="1" customWidth="1"/>
    <col min="6" max="6" width="17" bestFit="1" customWidth="1"/>
    <col min="7" max="7" width="32.7109375" bestFit="1" customWidth="1"/>
    <col min="8" max="8" width="7.140625" bestFit="1" customWidth="1"/>
    <col min="9" max="9" width="15" bestFit="1" customWidth="1"/>
    <col min="10" max="10" width="21.5703125" bestFit="1" customWidth="1"/>
    <col min="11" max="11" width="11.5703125" bestFit="1" customWidth="1"/>
    <col min="12" max="12" width="8.42578125" bestFit="1" customWidth="1"/>
    <col min="13" max="13" width="9" bestFit="1" customWidth="1"/>
    <col min="14" max="14" width="7.7109375" bestFit="1" customWidth="1"/>
    <col min="15" max="16" width="7.7109375" customWidth="1"/>
    <col min="17" max="17" width="3.140625" bestFit="1" customWidth="1"/>
    <col min="18" max="18" width="12.42578125" bestFit="1" customWidth="1"/>
    <col min="19" max="19" width="8.42578125" bestFit="1" customWidth="1"/>
    <col min="20" max="20" width="8.42578125" style="164" customWidth="1"/>
    <col min="21" max="21" width="11.42578125" bestFit="1" customWidth="1"/>
  </cols>
  <sheetData>
    <row r="1" spans="1:23" ht="18.75" x14ac:dyDescent="0.3">
      <c r="A1" s="131" t="s">
        <v>1680</v>
      </c>
      <c r="B1" s="26"/>
      <c r="C1" s="7"/>
      <c r="D1" s="78"/>
    </row>
    <row r="2" spans="1:23" ht="15.75" thickBot="1" x14ac:dyDescent="0.3">
      <c r="A2" s="184" t="s">
        <v>1681</v>
      </c>
      <c r="B2" s="184"/>
      <c r="C2" s="184"/>
      <c r="D2" s="184"/>
    </row>
    <row r="3" spans="1:23" x14ac:dyDescent="0.25">
      <c r="A3" s="184" t="s">
        <v>178</v>
      </c>
      <c r="B3" s="184"/>
      <c r="C3" s="78">
        <f>K7</f>
        <v>3</v>
      </c>
      <c r="D3" s="78"/>
      <c r="J3" s="40" t="s">
        <v>838</v>
      </c>
      <c r="K3" s="41">
        <f>COUNTIFS(L:L,J3)</f>
        <v>1</v>
      </c>
    </row>
    <row r="4" spans="1:23" x14ac:dyDescent="0.25">
      <c r="A4" s="130" t="s">
        <v>311</v>
      </c>
      <c r="B4" s="22"/>
      <c r="C4" s="20"/>
      <c r="D4" s="78"/>
      <c r="J4" s="42" t="s">
        <v>856</v>
      </c>
      <c r="K4" s="43">
        <f>COUNTIFS(L:L,J4)</f>
        <v>2</v>
      </c>
    </row>
    <row r="5" spans="1:23" x14ac:dyDescent="0.25">
      <c r="A5" s="130"/>
      <c r="B5" s="22"/>
      <c r="C5" s="12"/>
      <c r="D5" s="12"/>
      <c r="J5" s="42" t="s">
        <v>860</v>
      </c>
      <c r="K5" s="43">
        <f>COUNTIFS(L:L,J5)</f>
        <v>0</v>
      </c>
    </row>
    <row r="6" spans="1:23" ht="15.75" thickBot="1" x14ac:dyDescent="0.3">
      <c r="A6" s="25" t="s">
        <v>179</v>
      </c>
      <c r="B6" s="190"/>
      <c r="C6" s="190"/>
      <c r="D6" s="78"/>
      <c r="J6" s="44" t="s">
        <v>864</v>
      </c>
      <c r="K6" s="45">
        <f>COUNTIFS(L:L,J6)</f>
        <v>0</v>
      </c>
    </row>
    <row r="7" spans="1:23" x14ac:dyDescent="0.25">
      <c r="J7" s="78"/>
      <c r="K7" s="78">
        <f>SUM(K3:K6)</f>
        <v>3</v>
      </c>
    </row>
    <row r="8" spans="1:23" x14ac:dyDescent="0.25">
      <c r="A8" s="78"/>
      <c r="B8" s="78"/>
      <c r="C8" s="78"/>
      <c r="D8" s="78"/>
      <c r="G8" s="78"/>
      <c r="K8" s="78"/>
      <c r="M8" s="186" t="s">
        <v>1220</v>
      </c>
      <c r="N8" s="186"/>
      <c r="O8" s="186"/>
      <c r="P8" s="185" t="s">
        <v>1684</v>
      </c>
      <c r="Q8" s="185"/>
    </row>
    <row r="9" spans="1:23" x14ac:dyDescent="0.25">
      <c r="A9" s="4" t="s">
        <v>1222</v>
      </c>
      <c r="B9" s="4" t="s">
        <v>1</v>
      </c>
      <c r="C9" s="4" t="s">
        <v>46</v>
      </c>
      <c r="D9" s="3" t="s">
        <v>2</v>
      </c>
      <c r="E9" s="3" t="s">
        <v>0</v>
      </c>
      <c r="F9" s="17" t="s">
        <v>32</v>
      </c>
      <c r="G9" s="18" t="s">
        <v>28</v>
      </c>
      <c r="H9" s="4" t="s">
        <v>29</v>
      </c>
      <c r="I9" s="4" t="s">
        <v>30</v>
      </c>
      <c r="J9" s="18" t="s">
        <v>358</v>
      </c>
      <c r="K9" s="90" t="s">
        <v>1146</v>
      </c>
      <c r="L9" s="17" t="s">
        <v>837</v>
      </c>
      <c r="M9" s="137" t="s">
        <v>1218</v>
      </c>
      <c r="N9" s="138" t="s">
        <v>1219</v>
      </c>
      <c r="O9" s="138" t="s">
        <v>1682</v>
      </c>
      <c r="P9" s="138" t="s">
        <v>1683</v>
      </c>
      <c r="Q9" s="138" t="s">
        <v>1679</v>
      </c>
      <c r="R9" s="118" t="s">
        <v>1224</v>
      </c>
      <c r="S9" s="118" t="s">
        <v>1225</v>
      </c>
      <c r="T9" s="118" t="s">
        <v>1752</v>
      </c>
      <c r="U9" s="118" t="s">
        <v>1223</v>
      </c>
      <c r="V9" t="s">
        <v>836</v>
      </c>
      <c r="W9" s="77" t="s">
        <v>1127</v>
      </c>
    </row>
    <row r="10" spans="1:23" ht="15" customHeight="1" x14ac:dyDescent="0.25">
      <c r="A10" s="78" t="s">
        <v>1692</v>
      </c>
      <c r="B10" s="78" t="s">
        <v>353</v>
      </c>
      <c r="C10" s="78">
        <v>89</v>
      </c>
      <c r="D10" s="78">
        <v>507</v>
      </c>
      <c r="E10" s="78">
        <v>4</v>
      </c>
      <c r="F10" s="140" t="s">
        <v>335</v>
      </c>
      <c r="G10" t="s">
        <v>334</v>
      </c>
      <c r="H10" s="78" t="s">
        <v>314</v>
      </c>
      <c r="I10" t="s">
        <v>76</v>
      </c>
      <c r="J10" t="s">
        <v>850</v>
      </c>
      <c r="L10" t="s">
        <v>856</v>
      </c>
      <c r="U10" t="s">
        <v>1736</v>
      </c>
      <c r="V10">
        <v>1</v>
      </c>
      <c r="W10" s="77" t="s">
        <v>1139</v>
      </c>
    </row>
    <row r="11" spans="1:23" ht="15" customHeight="1" x14ac:dyDescent="0.25">
      <c r="A11" s="78" t="s">
        <v>1692</v>
      </c>
      <c r="B11" s="78" t="s">
        <v>517</v>
      </c>
      <c r="C11" s="78">
        <v>90</v>
      </c>
      <c r="D11" s="78">
        <v>615</v>
      </c>
      <c r="E11" s="78">
        <v>4</v>
      </c>
      <c r="F11" s="140"/>
      <c r="G11" t="s">
        <v>520</v>
      </c>
      <c r="H11" s="78" t="s">
        <v>396</v>
      </c>
      <c r="I11" t="s">
        <v>397</v>
      </c>
      <c r="L11" t="s">
        <v>838</v>
      </c>
      <c r="U11" s="164" t="s">
        <v>1736</v>
      </c>
      <c r="V11">
        <v>1</v>
      </c>
      <c r="W11" s="77" t="s">
        <v>1139</v>
      </c>
    </row>
    <row r="12" spans="1:23" ht="15" customHeight="1" x14ac:dyDescent="0.25">
      <c r="A12" s="78" t="s">
        <v>1692</v>
      </c>
      <c r="B12" s="78" t="s">
        <v>517</v>
      </c>
      <c r="C12" s="78">
        <v>90</v>
      </c>
      <c r="D12" s="78">
        <v>633</v>
      </c>
      <c r="E12" s="78">
        <v>4</v>
      </c>
      <c r="F12" s="140"/>
      <c r="G12" t="s">
        <v>519</v>
      </c>
      <c r="H12" s="78" t="s">
        <v>7</v>
      </c>
      <c r="I12" t="s">
        <v>8</v>
      </c>
      <c r="J12" t="s">
        <v>850</v>
      </c>
      <c r="L12" t="s">
        <v>856</v>
      </c>
      <c r="U12" s="164" t="s">
        <v>1736</v>
      </c>
      <c r="V12">
        <v>1</v>
      </c>
      <c r="W12" s="77" t="s">
        <v>1139</v>
      </c>
    </row>
  </sheetData>
  <autoFilter ref="A9:W9" xr:uid="{4E585270-D983-4E10-AB78-FE2270467FDC}"/>
  <mergeCells count="5">
    <mergeCell ref="P8:Q8"/>
    <mergeCell ref="A2:D2"/>
    <mergeCell ref="A3:B3"/>
    <mergeCell ref="B6:C6"/>
    <mergeCell ref="M8:O8"/>
  </mergeCells>
  <hyperlinks>
    <hyperlink ref="F10" r:id="rId1" xr:uid="{00000000-0004-0000-1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22</vt:i4>
      </vt:variant>
    </vt:vector>
  </HeadingPairs>
  <TitlesOfParts>
    <vt:vector size="22" baseType="lpstr">
      <vt:lpstr>Samleark</vt:lpstr>
      <vt:lpstr>Viceværter norm</vt:lpstr>
      <vt:lpstr>1-Peter</vt:lpstr>
      <vt:lpstr>1-Lars-Peter</vt:lpstr>
      <vt:lpstr>1-Patrick</vt:lpstr>
      <vt:lpstr>1-René</vt:lpstr>
      <vt:lpstr>2-Thomas</vt:lpstr>
      <vt:lpstr>2-Martin</vt:lpstr>
      <vt:lpstr>2-Brian</vt:lpstr>
      <vt:lpstr> 2-René R</vt:lpstr>
      <vt:lpstr>3-Stefan</vt:lpstr>
      <vt:lpstr>3-Henrik W</vt:lpstr>
      <vt:lpstr>3-Michael</vt:lpstr>
      <vt:lpstr>3-Vacant</vt:lpstr>
      <vt:lpstr>4-Dan</vt:lpstr>
      <vt:lpstr>4-Christian</vt:lpstr>
      <vt:lpstr>4-Jesper</vt:lpstr>
      <vt:lpstr>4-Lars K</vt:lpstr>
      <vt:lpstr>Søren</vt:lpstr>
      <vt:lpstr>Allan</vt:lpstr>
      <vt:lpstr>JENS</vt:lpstr>
      <vt:lpstr>HOS DR</vt:lpstr>
    </vt:vector>
  </TitlesOfParts>
  <Company>DEAS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Synne Remvig</dc:creator>
  <cp:lastModifiedBy>Jacob Elholm</cp:lastModifiedBy>
  <cp:lastPrinted>2020-05-27T09:50:28Z</cp:lastPrinted>
  <dcterms:created xsi:type="dcterms:W3CDTF">2018-11-21T13:06:34Z</dcterms:created>
  <dcterms:modified xsi:type="dcterms:W3CDTF">2020-07-01T09:03:55Z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ckOfficeType">
    <vt:lpwstr>growBusiness Solutions</vt:lpwstr>
  </property>
  <property fmtid="{D5CDD505-2E9C-101B-9397-08002B2CF9AE}" pid="3" name="Server">
    <vt:lpwstr>esdh</vt:lpwstr>
  </property>
  <property fmtid="{D5CDD505-2E9C-101B-9397-08002B2CF9AE}" pid="4" name="Protocol">
    <vt:lpwstr>off</vt:lpwstr>
  </property>
  <property fmtid="{D5CDD505-2E9C-101B-9397-08002B2CF9AE}" pid="5" name="Site">
    <vt:lpwstr>/locator.aspx</vt:lpwstr>
  </property>
  <property fmtid="{D5CDD505-2E9C-101B-9397-08002B2CF9AE}" pid="6" name="FileID">
    <vt:lpwstr>6195506</vt:lpwstr>
  </property>
  <property fmtid="{D5CDD505-2E9C-101B-9397-08002B2CF9AE}" pid="7" name="VerID">
    <vt:lpwstr>0</vt:lpwstr>
  </property>
  <property fmtid="{D5CDD505-2E9C-101B-9397-08002B2CF9AE}" pid="8" name="FilePath">
    <vt:lpwstr>\\SDEASP-VAPESD04\360users_DEAS\work\de\jott</vt:lpwstr>
  </property>
  <property fmtid="{D5CDD505-2E9C-101B-9397-08002B2CF9AE}" pid="9" name="FileName">
    <vt:lpwstr>14-104699 FS viceværter og ejendomme - maj 2020 6195506_1498638_0.XLSX</vt:lpwstr>
  </property>
  <property fmtid="{D5CDD505-2E9C-101B-9397-08002B2CF9AE}" pid="10" name="FullFileName">
    <vt:lpwstr>\\SDEASP-VAPESD04\360users_DEAS\work\de\jott\14-104699 FS viceværter og ejendomme - maj 2020 6195506_1498638_0.XLSX</vt:lpwstr>
  </property>
</Properties>
</file>